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ulo/Downloads/"/>
    </mc:Choice>
  </mc:AlternateContent>
  <xr:revisionPtr revIDLastSave="0" documentId="13_ncr:1_{0B26A517-1614-E548-8C89-68F637BF6BFC}" xr6:coauthVersionLast="47" xr6:coauthVersionMax="47" xr10:uidLastSave="{00000000-0000-0000-0000-000000000000}"/>
  <bookViews>
    <workbookView xWindow="0" yWindow="500" windowWidth="33600" windowHeight="18980" xr2:uid="{0B625311-628F-A245-9A9E-4C815F03EC68}"/>
  </bookViews>
  <sheets>
    <sheet name="Contracts" sheetId="1" r:id="rId1"/>
  </sheets>
  <externalReferences>
    <externalReference r:id="rId2"/>
  </externalReferences>
  <definedNames>
    <definedName name="_xlnm.Print_Area" localSheetId="0">Contracts!$A$1:$H$103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H93" i="1"/>
  <c r="D93" i="1"/>
  <c r="F88" i="1"/>
  <c r="G88" i="1" s="1"/>
  <c r="F82" i="1"/>
  <c r="G82" i="1" s="1"/>
  <c r="F81" i="1"/>
  <c r="G81" i="1" s="1"/>
  <c r="F76" i="1"/>
  <c r="G76" i="1" s="1"/>
  <c r="F73" i="1"/>
  <c r="G73" i="1" s="1"/>
  <c r="F72" i="1"/>
  <c r="G72" i="1" s="1"/>
  <c r="F69" i="1"/>
  <c r="G69" i="1" s="1"/>
  <c r="F63" i="1"/>
  <c r="G63" i="1" s="1"/>
  <c r="F60" i="1"/>
  <c r="G60" i="1" s="1"/>
  <c r="F53" i="1"/>
  <c r="G53" i="1" s="1"/>
  <c r="F52" i="1"/>
  <c r="H52" i="1" s="1"/>
  <c r="F51" i="1"/>
  <c r="G51" i="1" s="1"/>
  <c r="F50" i="1"/>
  <c r="G50" i="1" s="1"/>
  <c r="F49" i="1"/>
  <c r="G49" i="1" s="1"/>
  <c r="F48" i="1"/>
  <c r="H48" i="1" s="1"/>
  <c r="F45" i="1"/>
  <c r="F44" i="1"/>
  <c r="F43" i="1"/>
  <c r="H43" i="1" s="1"/>
  <c r="F42" i="1"/>
  <c r="H42" i="1" s="1"/>
  <c r="F41" i="1"/>
  <c r="G41" i="1" s="1"/>
  <c r="F40" i="1"/>
  <c r="G40" i="1" s="1"/>
  <c r="F37" i="1"/>
  <c r="H37" i="1" s="1"/>
  <c r="F36" i="1"/>
  <c r="H36" i="1" s="1"/>
  <c r="F35" i="1"/>
  <c r="F9" i="1"/>
  <c r="F8" i="1"/>
  <c r="F7" i="1"/>
  <c r="D94" i="1" l="1"/>
  <c r="F21" i="1" s="1"/>
  <c r="F10" i="1"/>
  <c r="G93" i="1"/>
  <c r="F20" i="1"/>
  <c r="F55" i="1"/>
  <c r="H55" i="1"/>
  <c r="H94" i="1" s="1"/>
  <c r="F22" i="1"/>
  <c r="G35" i="1"/>
  <c r="G55" i="1" s="1"/>
  <c r="G94" i="1" s="1"/>
  <c r="F93" i="1"/>
  <c r="F94" i="1" s="1"/>
</calcChain>
</file>

<file path=xl/sharedStrings.xml><?xml version="1.0" encoding="utf-8"?>
<sst xmlns="http://schemas.openxmlformats.org/spreadsheetml/2006/main" count="131" uniqueCount="96">
  <si>
    <t>Budget Request</t>
  </si>
  <si>
    <t>May 2025-April 2026</t>
  </si>
  <si>
    <t>SCHEDULE OF DETAILS</t>
  </si>
  <si>
    <t>Total proposed credits offered for the year</t>
  </si>
  <si>
    <t>Salaried Faculty Name</t>
  </si>
  <si>
    <t>Load Reduction Reason</t>
  </si>
  <si>
    <t>Teaching Load</t>
  </si>
  <si>
    <t>Instructor1</t>
  </si>
  <si>
    <t>Dept chair</t>
  </si>
  <si>
    <t>Instructor2</t>
  </si>
  <si>
    <t>Instructor3</t>
  </si>
  <si>
    <t>Instructor4</t>
  </si>
  <si>
    <t>Instructor5</t>
  </si>
  <si>
    <t>Proposed credits to be taught by Seminary faculty</t>
  </si>
  <si>
    <t>Proposed credits to be taught by contract</t>
  </si>
  <si>
    <t xml:space="preserve"> </t>
  </si>
  <si>
    <t>OT Budget Request</t>
  </si>
  <si>
    <t>May 2025 - April 2026</t>
  </si>
  <si>
    <t>Schedule 1(b) -- Contract Salaries</t>
  </si>
  <si>
    <t>Salary</t>
  </si>
  <si>
    <t>PhD</t>
  </si>
  <si>
    <t xml:space="preserve">Persons working less than half time for </t>
  </si>
  <si>
    <t>Academic Rank</t>
  </si>
  <si>
    <t>Number of</t>
  </si>
  <si>
    <t>Rate per</t>
  </si>
  <si>
    <t>Contracts</t>
  </si>
  <si>
    <t xml:space="preserve">university and/or employed on a </t>
  </si>
  <si>
    <t>or Equivalent</t>
  </si>
  <si>
    <t>Credits Taught</t>
  </si>
  <si>
    <t>Credit</t>
  </si>
  <si>
    <t>Contract</t>
  </si>
  <si>
    <t>contract basis, including retirees</t>
  </si>
  <si>
    <t>Amount</t>
  </si>
  <si>
    <t>ON-CAMPUS CONTRACTS</t>
  </si>
  <si>
    <t>Summer 2025</t>
  </si>
  <si>
    <t xml:space="preserve">           NTST ------- NT Theology</t>
  </si>
  <si>
    <t>MC</t>
  </si>
  <si>
    <t>Lincoln Nogueira NTST 538-999 Studies in Hebrews (Async)</t>
  </si>
  <si>
    <t>Lincoln Nogueira NTST 539-999 Studies in Revelation (Async)</t>
  </si>
  <si>
    <t>Fall 2025</t>
  </si>
  <si>
    <t xml:space="preserve">Robert Johnston NTST 684 Judaism and the NT </t>
  </si>
  <si>
    <t>Cedric Vine GSEM 630 - 999 Theology of Synoptic Gospels (Async)</t>
  </si>
  <si>
    <t xml:space="preserve">Staff    NTST 551 Beginning  Greek </t>
  </si>
  <si>
    <t>Staff  NTST 551 Beginning  Greek (Async)</t>
  </si>
  <si>
    <t>Staff NTST 520 Intro to NT</t>
  </si>
  <si>
    <t>Async</t>
  </si>
  <si>
    <t>Staff NTST 530 Intro to Revelation</t>
  </si>
  <si>
    <t>Spring 2026</t>
  </si>
  <si>
    <t>PhD Student NTST552 Intermediate Greek (Async)</t>
  </si>
  <si>
    <t>PhD Student NTST552 Intermediate Greek (Dual)</t>
  </si>
  <si>
    <t>MC/Dual</t>
  </si>
  <si>
    <t>Tom Shepherd NTST 606 New Testament Textual Criticism</t>
  </si>
  <si>
    <t>PhD Student NTST 520 Intro to the NT (Dual)</t>
  </si>
  <si>
    <t>Lincoln Noguerira NTST 536-999 Studies in the Gospels (Async)</t>
  </si>
  <si>
    <t>Staff NTST 6** NT  Exegesis</t>
  </si>
  <si>
    <t>Total On Campus Contracts</t>
  </si>
  <si>
    <t>LOCATION ABBREVIATIONS</t>
  </si>
  <si>
    <t>MAPM - ENG CONTRACT</t>
  </si>
  <si>
    <t>Columbia Union - CU</t>
  </si>
  <si>
    <t>Lake Union - LU</t>
  </si>
  <si>
    <t>Tom Shepherd  NTST 536, or 537, or 538, or 539 MAPM Eng.</t>
  </si>
  <si>
    <t>NPUC, Washington</t>
  </si>
  <si>
    <t>Mid-America Union - MAU</t>
  </si>
  <si>
    <t>Pacific Union - PU</t>
  </si>
  <si>
    <t>North Pacific Union - NPU</t>
  </si>
  <si>
    <t>Staff NTST 535 MAPM Eng.</t>
  </si>
  <si>
    <t>Burman, Canada</t>
  </si>
  <si>
    <t>Poland/Baltic States - PolBal</t>
  </si>
  <si>
    <t>Romania - Rom</t>
  </si>
  <si>
    <t>MAPM - HISP CONTRACT</t>
  </si>
  <si>
    <t>Ukraine - Ukr</t>
  </si>
  <si>
    <t>Roberto Badenas NTST 537 Studies in Acts &amp; General Epistles</t>
  </si>
  <si>
    <t>LU</t>
  </si>
  <si>
    <t>AU</t>
  </si>
  <si>
    <t>Felix Cortez NTST 535 Readings in the Pauline Writings</t>
  </si>
  <si>
    <t>PU</t>
  </si>
  <si>
    <t>Main Campus - MC</t>
  </si>
  <si>
    <t>Atlantic Union - AtlU</t>
  </si>
  <si>
    <t>Felix Cortez NTST 538 Studies in Hebrews</t>
  </si>
  <si>
    <t>SU</t>
  </si>
  <si>
    <t>MA RELIGION CONTRACT</t>
  </si>
  <si>
    <t>Cedric Vine NTST 680 Greco-Roman World</t>
  </si>
  <si>
    <t>Poland/Baltic</t>
  </si>
  <si>
    <t xml:space="preserve">Cedric Vine NTST 684 Judaism and the New Testament </t>
  </si>
  <si>
    <t>Hong Kong - HK</t>
  </si>
  <si>
    <t>MDIV Spanish FL Cohort</t>
  </si>
  <si>
    <t>Carlos Camarena NTST 646 Topics in NT Exegesis</t>
  </si>
  <si>
    <t>Florida</t>
  </si>
  <si>
    <t>Total Extension School Classes</t>
  </si>
  <si>
    <t>Total Contracts</t>
  </si>
  <si>
    <t>ANDREWS UNIVERSITY</t>
  </si>
  <si>
    <t>Credits on Summer 2025 schedule</t>
  </si>
  <si>
    <t>Credits on Fall 2025 schedule</t>
  </si>
  <si>
    <t>Credits on Spring 2026 schedule</t>
  </si>
  <si>
    <t>Load by Policy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</si>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</sst>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_);_(* \(#,##0.0\);_(* &quot;-&quot;??_);_(@_)"/>
    <numFmt numFmtId="166" formatCode="&quot;$&quot;#,##0.00;[Red]&quot;$&quot;#,##0.00"/>
    <numFmt numFmtId="167" formatCode="_(&quot;$&quot;* #,##0.00_);_(&quot;$&quot;* \(#,##0.00\);_(&quot;$&quot;* &quot;-&quot;??_);_(@_)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i/>
      <u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4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 wrapText="1"/>
    </xf>
    <xf numFmtId="0" fontId="4" fillId="7" borderId="26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4" fillId="7" borderId="28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 wrapText="1"/>
    </xf>
    <xf numFmtId="0" fontId="6" fillId="0" borderId="1" xfId="0" applyFont="1" applyBorder="1"/>
    <xf numFmtId="0" fontId="6" fillId="0" borderId="0" xfId="0" quotePrefix="1" applyFont="1" applyAlignment="1">
      <alignment horizontal="left" wrapText="1"/>
    </xf>
    <xf numFmtId="0" fontId="2" fillId="4" borderId="3" xfId="0" applyFont="1" applyFill="1" applyBorder="1"/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4" borderId="6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4" borderId="1" xfId="0" applyFont="1" applyFill="1" applyBorder="1"/>
    <xf numFmtId="0" fontId="2" fillId="0" borderId="6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6" fillId="0" borderId="6" xfId="0" applyFont="1" applyBorder="1" applyProtection="1">
      <protection locked="0"/>
    </xf>
    <xf numFmtId="0" fontId="6" fillId="0" borderId="1" xfId="0" applyFont="1" applyBorder="1" applyAlignment="1" applyProtection="1">
      <alignment horizontal="center"/>
      <protection locked="0"/>
    </xf>
    <xf numFmtId="165" fontId="6" fillId="0" borderId="1" xfId="1" applyNumberFormat="1" applyFont="1" applyBorder="1" applyProtection="1">
      <protection locked="0"/>
    </xf>
    <xf numFmtId="164" fontId="6" fillId="0" borderId="1" xfId="1" applyFont="1" applyBorder="1" applyProtection="1">
      <protection locked="0"/>
    </xf>
    <xf numFmtId="164" fontId="6" fillId="2" borderId="1" xfId="1" applyFont="1" applyFill="1" applyBorder="1"/>
    <xf numFmtId="166" fontId="6" fillId="5" borderId="1" xfId="0" applyNumberFormat="1" applyFont="1" applyFill="1" applyBorder="1"/>
    <xf numFmtId="166" fontId="6" fillId="5" borderId="7" xfId="0" applyNumberFormat="1" applyFont="1" applyFill="1" applyBorder="1"/>
    <xf numFmtId="0" fontId="6" fillId="0" borderId="1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6" fillId="0" borderId="8" xfId="0" applyFont="1" applyBorder="1" applyAlignment="1" applyProtection="1">
      <alignment horizontal="left"/>
      <protection locked="0"/>
    </xf>
    <xf numFmtId="164" fontId="6" fillId="0" borderId="2" xfId="1" applyFont="1" applyBorder="1" applyProtection="1">
      <protection locked="0"/>
    </xf>
    <xf numFmtId="166" fontId="6" fillId="5" borderId="9" xfId="0" applyNumberFormat="1" applyFont="1" applyFill="1" applyBorder="1"/>
    <xf numFmtId="0" fontId="6" fillId="0" borderId="10" xfId="0" applyFont="1" applyBorder="1"/>
    <xf numFmtId="165" fontId="6" fillId="0" borderId="12" xfId="1" applyNumberFormat="1" applyFont="1" applyFill="1" applyBorder="1" applyProtection="1">
      <protection locked="0"/>
    </xf>
    <xf numFmtId="164" fontId="6" fillId="0" borderId="13" xfId="1" applyFont="1" applyFill="1" applyBorder="1" applyProtection="1">
      <protection locked="0"/>
    </xf>
    <xf numFmtId="164" fontId="6" fillId="2" borderId="13" xfId="1" applyFont="1" applyFill="1" applyBorder="1"/>
    <xf numFmtId="166" fontId="6" fillId="5" borderId="13" xfId="0" applyNumberFormat="1" applyFont="1" applyFill="1" applyBorder="1"/>
    <xf numFmtId="166" fontId="6" fillId="5" borderId="14" xfId="0" applyNumberFormat="1" applyFont="1" applyFill="1" applyBorder="1"/>
    <xf numFmtId="0" fontId="2" fillId="0" borderId="15" xfId="0" applyFont="1" applyBorder="1" applyProtection="1">
      <protection locked="0"/>
    </xf>
    <xf numFmtId="0" fontId="2" fillId="0" borderId="16" xfId="0" applyFont="1" applyBorder="1" applyAlignment="1" applyProtection="1">
      <alignment horizontal="right"/>
      <protection locked="0"/>
    </xf>
    <xf numFmtId="165" fontId="2" fillId="0" borderId="16" xfId="1" applyNumberFormat="1" applyFont="1" applyBorder="1" applyProtection="1">
      <protection locked="0"/>
    </xf>
    <xf numFmtId="164" fontId="2" fillId="2" borderId="16" xfId="1" applyFont="1" applyFill="1" applyBorder="1"/>
    <xf numFmtId="166" fontId="2" fillId="5" borderId="16" xfId="0" applyNumberFormat="1" applyFont="1" applyFill="1" applyBorder="1"/>
    <xf numFmtId="0" fontId="2" fillId="0" borderId="17" xfId="0" applyFont="1" applyBorder="1" applyProtection="1">
      <protection locked="0"/>
    </xf>
    <xf numFmtId="0" fontId="6" fillId="0" borderId="18" xfId="0" applyFont="1" applyBorder="1" applyAlignment="1" applyProtection="1">
      <alignment horizontal="center"/>
      <protection locked="0"/>
    </xf>
    <xf numFmtId="165" fontId="6" fillId="0" borderId="18" xfId="1" applyNumberFormat="1" applyFont="1" applyBorder="1" applyProtection="1">
      <protection locked="0"/>
    </xf>
    <xf numFmtId="164" fontId="6" fillId="0" borderId="18" xfId="1" applyFont="1" applyBorder="1" applyProtection="1">
      <protection locked="0"/>
    </xf>
    <xf numFmtId="164" fontId="6" fillId="2" borderId="18" xfId="1" applyFont="1" applyFill="1" applyBorder="1"/>
    <xf numFmtId="166" fontId="6" fillId="5" borderId="18" xfId="0" applyNumberFormat="1" applyFont="1" applyFill="1" applyBorder="1"/>
    <xf numFmtId="0" fontId="2" fillId="0" borderId="19" xfId="0" applyFont="1" applyBorder="1"/>
    <xf numFmtId="0" fontId="6" fillId="0" borderId="20" xfId="0" applyFont="1" applyBorder="1" applyProtection="1">
      <protection locked="0"/>
    </xf>
    <xf numFmtId="0" fontId="6" fillId="0" borderId="2" xfId="0" applyFont="1" applyBorder="1" applyAlignment="1" applyProtection="1">
      <alignment horizontal="center"/>
      <protection locked="0"/>
    </xf>
    <xf numFmtId="165" fontId="6" fillId="0" borderId="2" xfId="1" applyNumberFormat="1" applyFont="1" applyBorder="1" applyProtection="1">
      <protection locked="0"/>
    </xf>
    <xf numFmtId="164" fontId="6" fillId="2" borderId="2" xfId="1" applyFont="1" applyFill="1" applyBorder="1"/>
    <xf numFmtId="166" fontId="6" fillId="5" borderId="2" xfId="0" applyNumberFormat="1" applyFont="1" applyFill="1" applyBorder="1"/>
    <xf numFmtId="166" fontId="6" fillId="5" borderId="5" xfId="0" applyNumberFormat="1" applyFont="1" applyFill="1" applyBorder="1"/>
    <xf numFmtId="0" fontId="6" fillId="0" borderId="6" xfId="0" applyFont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 applyProtection="1">
      <alignment horizontal="right"/>
      <protection locked="0"/>
    </xf>
    <xf numFmtId="0" fontId="6" fillId="0" borderId="6" xfId="0" applyFont="1" applyBorder="1"/>
    <xf numFmtId="0" fontId="6" fillId="0" borderId="21" xfId="0" applyFont="1" applyBorder="1" applyProtection="1">
      <protection locked="0"/>
    </xf>
    <xf numFmtId="0" fontId="6" fillId="0" borderId="13" xfId="0" applyFont="1" applyBorder="1" applyAlignment="1" applyProtection="1">
      <alignment horizontal="center"/>
      <protection locked="0"/>
    </xf>
    <xf numFmtId="165" fontId="6" fillId="0" borderId="13" xfId="1" applyNumberFormat="1" applyFont="1" applyBorder="1" applyProtection="1">
      <protection locked="0"/>
    </xf>
    <xf numFmtId="164" fontId="6" fillId="0" borderId="13" xfId="1" applyFont="1" applyBorder="1" applyProtection="1">
      <protection locked="0"/>
    </xf>
    <xf numFmtId="0" fontId="2" fillId="0" borderId="22" xfId="0" applyFont="1" applyBorder="1" applyProtection="1">
      <protection locked="0"/>
    </xf>
    <xf numFmtId="0" fontId="6" fillId="0" borderId="12" xfId="0" applyFont="1" applyBorder="1" applyAlignment="1" applyProtection="1">
      <alignment horizontal="center"/>
      <protection locked="0"/>
    </xf>
    <xf numFmtId="165" fontId="6" fillId="0" borderId="12" xfId="1" applyNumberFormat="1" applyFont="1" applyBorder="1" applyProtection="1">
      <protection locked="0"/>
    </xf>
    <xf numFmtId="164" fontId="6" fillId="0" borderId="12" xfId="1" applyFont="1" applyBorder="1" applyProtection="1">
      <protection locked="0"/>
    </xf>
    <xf numFmtId="164" fontId="6" fillId="2" borderId="12" xfId="1" applyFont="1" applyFill="1" applyBorder="1"/>
    <xf numFmtId="166" fontId="6" fillId="5" borderId="12" xfId="0" applyNumberFormat="1" applyFont="1" applyFill="1" applyBorder="1"/>
    <xf numFmtId="166" fontId="6" fillId="5" borderId="23" xfId="0" applyNumberFormat="1" applyFont="1" applyFill="1" applyBorder="1"/>
    <xf numFmtId="0" fontId="6" fillId="0" borderId="0" xfId="0" applyFont="1" applyAlignment="1">
      <alignment wrapText="1"/>
    </xf>
    <xf numFmtId="0" fontId="5" fillId="0" borderId="30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6" fillId="0" borderId="3" xfId="0" applyFont="1" applyBorder="1" applyProtection="1">
      <protection locked="0"/>
    </xf>
    <xf numFmtId="0" fontId="6" fillId="0" borderId="4" xfId="0" applyFont="1" applyBorder="1" applyAlignment="1" applyProtection="1">
      <alignment horizontal="center"/>
      <protection locked="0"/>
    </xf>
    <xf numFmtId="165" fontId="6" fillId="0" borderId="4" xfId="1" applyNumberFormat="1" applyFont="1" applyBorder="1" applyProtection="1">
      <protection locked="0"/>
    </xf>
    <xf numFmtId="164" fontId="6" fillId="0" borderId="4" xfId="1" applyFont="1" applyBorder="1" applyProtection="1">
      <protection locked="0"/>
    </xf>
    <xf numFmtId="164" fontId="6" fillId="2" borderId="4" xfId="1" applyFont="1" applyFill="1" applyBorder="1"/>
    <xf numFmtId="166" fontId="6" fillId="5" borderId="4" xfId="0" applyNumberFormat="1" applyFont="1" applyFill="1" applyBorder="1"/>
    <xf numFmtId="0" fontId="6" fillId="0" borderId="22" xfId="0" applyFont="1" applyBorder="1" applyProtection="1">
      <protection locked="0"/>
    </xf>
    <xf numFmtId="0" fontId="6" fillId="0" borderId="12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35" xfId="0" applyFont="1" applyBorder="1" applyAlignment="1" applyProtection="1">
      <alignment horizontal="center"/>
      <protection locked="0"/>
    </xf>
    <xf numFmtId="165" fontId="6" fillId="0" borderId="35" xfId="1" applyNumberFormat="1" applyFont="1" applyBorder="1" applyProtection="1">
      <protection locked="0"/>
    </xf>
    <xf numFmtId="164" fontId="6" fillId="2" borderId="35" xfId="1" applyFont="1" applyFill="1" applyBorder="1"/>
    <xf numFmtId="166" fontId="6" fillId="5" borderId="35" xfId="0" applyNumberFormat="1" applyFont="1" applyFill="1" applyBorder="1"/>
    <xf numFmtId="166" fontId="6" fillId="5" borderId="36" xfId="0" applyNumberFormat="1" applyFont="1" applyFill="1" applyBorder="1"/>
    <xf numFmtId="166" fontId="6" fillId="5" borderId="37" xfId="0" applyNumberFormat="1" applyFont="1" applyFill="1" applyBorder="1"/>
    <xf numFmtId="0" fontId="6" fillId="0" borderId="8" xfId="0" applyFont="1" applyBorder="1" applyProtection="1">
      <protection locked="0"/>
    </xf>
    <xf numFmtId="0" fontId="6" fillId="0" borderId="35" xfId="0" applyFont="1" applyBorder="1" applyAlignment="1" applyProtection="1">
      <alignment horizontal="center"/>
      <protection locked="0"/>
    </xf>
    <xf numFmtId="164" fontId="6" fillId="0" borderId="35" xfId="1" applyFont="1" applyBorder="1" applyProtection="1">
      <protection locked="0"/>
    </xf>
    <xf numFmtId="166" fontId="2" fillId="5" borderId="37" xfId="0" applyNumberFormat="1" applyFont="1" applyFill="1" applyBorder="1"/>
    <xf numFmtId="0" fontId="2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right"/>
      <protection locked="0"/>
    </xf>
    <xf numFmtId="165" fontId="2" fillId="0" borderId="0" xfId="1" applyNumberFormat="1" applyFont="1" applyBorder="1" applyProtection="1">
      <protection locked="0"/>
    </xf>
    <xf numFmtId="0" fontId="2" fillId="0" borderId="33" xfId="0" applyFont="1" applyBorder="1" applyAlignment="1" applyProtection="1">
      <alignment horizontal="left"/>
      <protection locked="0"/>
    </xf>
    <xf numFmtId="0" fontId="2" fillId="0" borderId="38" xfId="0" applyFont="1" applyBorder="1" applyAlignment="1" applyProtection="1">
      <alignment horizontal="left"/>
      <protection locked="0"/>
    </xf>
    <xf numFmtId="166" fontId="6" fillId="5" borderId="39" xfId="0" applyNumberFormat="1" applyFont="1" applyFill="1" applyBorder="1"/>
    <xf numFmtId="165" fontId="2" fillId="0" borderId="0" xfId="1" applyNumberFormat="1" applyFont="1" applyFill="1" applyBorder="1" applyProtection="1">
      <protection locked="0"/>
    </xf>
    <xf numFmtId="164" fontId="2" fillId="0" borderId="0" xfId="1" applyFont="1" applyFill="1" applyBorder="1"/>
    <xf numFmtId="166" fontId="2" fillId="0" borderId="0" xfId="0" applyNumberFormat="1" applyFont="1" applyFill="1" applyBorder="1"/>
    <xf numFmtId="1" fontId="3" fillId="2" borderId="32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left"/>
    </xf>
    <xf numFmtId="2" fontId="6" fillId="0" borderId="30" xfId="0" applyNumberFormat="1" applyFont="1" applyBorder="1" applyAlignment="1">
      <alignment horizontal="left"/>
    </xf>
    <xf numFmtId="2" fontId="6" fillId="0" borderId="31" xfId="0" applyNumberFormat="1" applyFont="1" applyBorder="1" applyAlignment="1">
      <alignment horizontal="left"/>
    </xf>
    <xf numFmtId="2" fontId="6" fillId="0" borderId="32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7" fillId="7" borderId="1" xfId="0" applyNumberFormat="1" applyFont="1" applyFill="1" applyBorder="1" applyAlignment="1">
      <alignment horizontal="center" vertical="center"/>
    </xf>
    <xf numFmtId="2" fontId="6" fillId="0" borderId="30" xfId="0" applyNumberFormat="1" applyFont="1" applyBorder="1" applyAlignment="1">
      <alignment horizontal="center"/>
    </xf>
    <xf numFmtId="2" fontId="6" fillId="0" borderId="31" xfId="0" applyNumberFormat="1" applyFont="1" applyBorder="1" applyAlignment="1">
      <alignment horizontal="center"/>
    </xf>
    <xf numFmtId="2" fontId="6" fillId="0" borderId="32" xfId="0" applyNumberFormat="1" applyFont="1" applyBorder="1" applyAlignment="1">
      <alignment horizontal="center"/>
    </xf>
    <xf numFmtId="2" fontId="2" fillId="0" borderId="30" xfId="0" applyNumberFormat="1" applyFont="1" applyBorder="1" applyAlignment="1">
      <alignment horizontal="left"/>
    </xf>
    <xf numFmtId="2" fontId="2" fillId="0" borderId="31" xfId="0" applyNumberFormat="1" applyFont="1" applyBorder="1" applyAlignment="1">
      <alignment horizontal="left"/>
    </xf>
    <xf numFmtId="2" fontId="2" fillId="0" borderId="32" xfId="0" applyNumberFormat="1" applyFont="1" applyBorder="1" applyAlignment="1">
      <alignment horizontal="left"/>
    </xf>
    <xf numFmtId="2" fontId="6" fillId="0" borderId="0" xfId="0" applyNumberFormat="1" applyFont="1" applyAlignment="1">
      <alignment horizontal="left"/>
    </xf>
    <xf numFmtId="0" fontId="0" fillId="0" borderId="0" xfId="0" applyFont="1"/>
    <xf numFmtId="0" fontId="6" fillId="0" borderId="11" xfId="0" applyFont="1" applyBorder="1" applyAlignment="1">
      <alignment horizontal="center"/>
    </xf>
    <xf numFmtId="0" fontId="2" fillId="6" borderId="0" xfId="0" applyFont="1" applyFill="1" applyAlignment="1" applyProtection="1">
      <alignment horizontal="center"/>
      <protection locked="0"/>
    </xf>
    <xf numFmtId="0" fontId="2" fillId="6" borderId="0" xfId="0" applyFont="1" applyFill="1" applyAlignment="1" applyProtection="1">
      <alignment horizontal="center"/>
      <protection locked="0"/>
    </xf>
    <xf numFmtId="0" fontId="6" fillId="6" borderId="0" xfId="0" applyFont="1" applyFill="1" applyAlignment="1" applyProtection="1">
      <alignment horizontal="center"/>
      <protection locked="0"/>
    </xf>
    <xf numFmtId="0" fontId="6" fillId="6" borderId="0" xfId="0" applyFont="1" applyFill="1" applyAlignment="1" applyProtection="1">
      <alignment horizontal="center"/>
      <protection locked="0"/>
    </xf>
    <xf numFmtId="0" fontId="2" fillId="0" borderId="24" xfId="0" applyFont="1" applyBorder="1" applyAlignment="1">
      <alignment horizontal="right"/>
    </xf>
    <xf numFmtId="0" fontId="2" fillId="0" borderId="33" xfId="0" applyFont="1" applyBorder="1" applyAlignment="1">
      <alignment horizontal="right"/>
    </xf>
    <xf numFmtId="0" fontId="2" fillId="0" borderId="34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5" fontId="2" fillId="0" borderId="15" xfId="1" applyNumberFormat="1" applyFont="1" applyFill="1" applyBorder="1"/>
    <xf numFmtId="164" fontId="2" fillId="0" borderId="16" xfId="1" applyFont="1" applyFill="1" applyBorder="1"/>
    <xf numFmtId="167" fontId="2" fillId="2" borderId="16" xfId="2" applyFont="1" applyFill="1" applyBorder="1"/>
    <xf numFmtId="167" fontId="2" fillId="5" borderId="16" xfId="2" applyFont="1" applyFill="1" applyBorder="1"/>
    <xf numFmtId="167" fontId="2" fillId="5" borderId="37" xfId="2" applyFont="1" applyFill="1" applyBorder="1"/>
    <xf numFmtId="165" fontId="2" fillId="0" borderId="15" xfId="1" applyNumberFormat="1" applyFont="1" applyBorder="1"/>
    <xf numFmtId="0" fontId="2" fillId="0" borderId="16" xfId="0" applyFont="1" applyBorder="1"/>
    <xf numFmtId="167" fontId="2" fillId="3" borderId="16" xfId="2" applyFont="1" applyFill="1" applyBorder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ulo/Downloads/1250%20NT%20Budget%20Worksheet%20FY26%20-%208.11.25.xlsx" TargetMode="External"/><Relationship Id="rId1" Type="http://schemas.openxmlformats.org/officeDocument/2006/relationships/externalLinkPath" Target="1250%20NT%20Budget%20Worksheet%20FY26%20-%208.11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Other Expenses"/>
      <sheetName val="Contracts"/>
      <sheetName val="Schedule 25 - 26"/>
      <sheetName val="Student"/>
      <sheetName val="Sum Schedule"/>
      <sheetName val="Acad Schedule (Fall)"/>
      <sheetName val="Acad Schedule (Spr)"/>
    </sheetNames>
    <sheetDataSet>
      <sheetData sheetId="0"/>
      <sheetData sheetId="1"/>
      <sheetData sheetId="2"/>
      <sheetData sheetId="3">
        <row r="70">
          <cell r="F70">
            <v>22</v>
          </cell>
          <cell r="K70">
            <v>44</v>
          </cell>
          <cell r="P70">
            <v>45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932F-6A83-694C-8163-3B7EF698EA09}">
  <sheetPr>
    <pageSetUpPr fitToPage="1"/>
  </sheetPr>
  <dimension ref="A1:M105"/>
  <sheetViews>
    <sheetView tabSelected="1" topLeftCell="A52" zoomScaleNormal="100" workbookViewId="0">
      <selection activeCell="B84" sqref="B84"/>
    </sheetView>
  </sheetViews>
  <sheetFormatPr baseColWidth="10" defaultColWidth="8.83203125" defaultRowHeight="14" x14ac:dyDescent="0.15"/>
  <cols>
    <col min="1" max="1" width="3.5" style="13" customWidth="1"/>
    <col min="2" max="2" width="66.83203125" style="13" bestFit="1" customWidth="1"/>
    <col min="3" max="3" width="25.1640625" style="13" customWidth="1"/>
    <col min="4" max="4" width="15" style="13" customWidth="1"/>
    <col min="5" max="5" width="13.5" style="13" customWidth="1"/>
    <col min="6" max="6" width="15.5" style="13" customWidth="1"/>
    <col min="7" max="7" width="11.6640625" style="13" customWidth="1"/>
    <col min="8" max="8" width="12.1640625" style="13" customWidth="1"/>
    <col min="9" max="9" width="9.33203125" style="13" customWidth="1"/>
    <col min="10" max="16384" width="8.83203125" style="13"/>
  </cols>
  <sheetData>
    <row r="1" spans="2:8" x14ac:dyDescent="0.15">
      <c r="E1" s="14"/>
      <c r="F1" s="14"/>
    </row>
    <row r="2" spans="2:8" x14ac:dyDescent="0.15">
      <c r="B2" s="1" t="s">
        <v>90</v>
      </c>
      <c r="C2" s="1"/>
      <c r="D2" s="1"/>
      <c r="E2" s="1"/>
      <c r="F2" s="1"/>
    </row>
    <row r="3" spans="2:8" x14ac:dyDescent="0.15">
      <c r="B3" s="1" t="s">
        <v>0</v>
      </c>
      <c r="C3" s="1"/>
      <c r="D3" s="1"/>
      <c r="E3" s="1"/>
      <c r="F3" s="1"/>
    </row>
    <row r="4" spans="2:8" x14ac:dyDescent="0.15">
      <c r="B4" s="1" t="s">
        <v>1</v>
      </c>
      <c r="C4" s="1"/>
      <c r="D4" s="1"/>
      <c r="E4" s="1"/>
      <c r="F4" s="1"/>
    </row>
    <row r="5" spans="2:8" x14ac:dyDescent="0.15">
      <c r="B5" s="3" t="s">
        <v>2</v>
      </c>
      <c r="C5" s="3"/>
      <c r="D5" s="3"/>
      <c r="E5" s="3"/>
      <c r="F5" s="3"/>
    </row>
    <row r="6" spans="2:8" x14ac:dyDescent="0.15">
      <c r="B6" s="4"/>
      <c r="C6" s="4"/>
      <c r="D6" s="4"/>
      <c r="E6" s="4"/>
      <c r="F6" s="4"/>
    </row>
    <row r="7" spans="2:8" x14ac:dyDescent="0.15">
      <c r="B7" s="120" t="s">
        <v>91</v>
      </c>
      <c r="C7" s="120"/>
      <c r="D7" s="120"/>
      <c r="E7" s="120"/>
      <c r="F7" s="114">
        <f>'[1]Schedule 25 - 26'!F70</f>
        <v>22</v>
      </c>
    </row>
    <row r="8" spans="2:8" x14ac:dyDescent="0.15">
      <c r="B8" s="120" t="s">
        <v>92</v>
      </c>
      <c r="C8" s="120"/>
      <c r="D8" s="120"/>
      <c r="E8" s="120"/>
      <c r="F8" s="114">
        <f>'[1]Schedule 25 - 26'!K70</f>
        <v>44</v>
      </c>
    </row>
    <row r="9" spans="2:8" ht="15" thickBot="1" x14ac:dyDescent="0.2">
      <c r="B9" s="120" t="s">
        <v>93</v>
      </c>
      <c r="C9" s="120"/>
      <c r="D9" s="120"/>
      <c r="E9" s="120"/>
      <c r="F9" s="115">
        <f>'[1]Schedule 25 - 26'!P70</f>
        <v>45</v>
      </c>
    </row>
    <row r="10" spans="2:8" ht="15" thickBot="1" x14ac:dyDescent="0.2">
      <c r="B10" s="120" t="s">
        <v>3</v>
      </c>
      <c r="C10" s="120"/>
      <c r="D10" s="120"/>
      <c r="E10" s="125"/>
      <c r="F10" s="7">
        <f>SUM(F7:F9)</f>
        <v>111</v>
      </c>
    </row>
    <row r="12" spans="2:8" x14ac:dyDescent="0.15">
      <c r="B12" s="121" t="s">
        <v>4</v>
      </c>
      <c r="C12" s="8" t="s">
        <v>5</v>
      </c>
      <c r="D12" s="9" t="s">
        <v>94</v>
      </c>
      <c r="E12" s="10"/>
      <c r="F12" s="8" t="s">
        <v>6</v>
      </c>
    </row>
    <row r="13" spans="2:8" x14ac:dyDescent="0.15">
      <c r="B13" s="121"/>
      <c r="C13" s="8"/>
      <c r="D13" s="11"/>
      <c r="E13" s="12"/>
      <c r="F13" s="8"/>
    </row>
    <row r="14" spans="2:8" x14ac:dyDescent="0.15">
      <c r="B14" s="116" t="s">
        <v>7</v>
      </c>
      <c r="C14" s="6" t="s">
        <v>8</v>
      </c>
      <c r="D14" s="84"/>
      <c r="E14" s="85"/>
      <c r="F14" s="6"/>
      <c r="G14" s="15"/>
      <c r="H14" s="15"/>
    </row>
    <row r="15" spans="2:8" x14ac:dyDescent="0.15">
      <c r="B15" s="116" t="s">
        <v>9</v>
      </c>
      <c r="C15" s="16"/>
      <c r="D15" s="84"/>
      <c r="E15" s="85"/>
      <c r="F15" s="6"/>
      <c r="G15" s="17"/>
      <c r="H15" s="17"/>
    </row>
    <row r="16" spans="2:8" x14ac:dyDescent="0.15">
      <c r="B16" s="116" t="s">
        <v>10</v>
      </c>
      <c r="C16" s="6"/>
      <c r="D16" s="84"/>
      <c r="E16" s="85"/>
      <c r="F16" s="6"/>
    </row>
    <row r="17" spans="1:8" x14ac:dyDescent="0.15">
      <c r="B17" s="116" t="s">
        <v>11</v>
      </c>
      <c r="C17" s="6"/>
      <c r="D17" s="84"/>
      <c r="E17" s="85"/>
      <c r="F17" s="6"/>
      <c r="G17" s="15"/>
      <c r="H17" s="15"/>
    </row>
    <row r="18" spans="1:8" x14ac:dyDescent="0.15">
      <c r="B18" s="116" t="s">
        <v>12</v>
      </c>
      <c r="C18" s="6"/>
      <c r="D18" s="84"/>
      <c r="E18" s="85"/>
      <c r="F18" s="6"/>
    </row>
    <row r="19" spans="1:8" x14ac:dyDescent="0.15">
      <c r="B19" s="122"/>
      <c r="C19" s="123"/>
      <c r="D19" s="123"/>
      <c r="E19" s="124"/>
      <c r="F19" s="6"/>
    </row>
    <row r="20" spans="1:8" x14ac:dyDescent="0.15">
      <c r="B20" s="117" t="s">
        <v>13</v>
      </c>
      <c r="C20" s="118"/>
      <c r="D20" s="118"/>
      <c r="E20" s="119"/>
      <c r="F20" s="5">
        <f>SUM(F14:F17)</f>
        <v>0</v>
      </c>
    </row>
    <row r="21" spans="1:8" x14ac:dyDescent="0.15">
      <c r="B21" s="117" t="s">
        <v>14</v>
      </c>
      <c r="C21" s="118"/>
      <c r="D21" s="118"/>
      <c r="E21" s="119"/>
      <c r="F21" s="5">
        <f>+D94</f>
        <v>60</v>
      </c>
    </row>
    <row r="22" spans="1:8" x14ac:dyDescent="0.15">
      <c r="B22" s="125" t="s">
        <v>95</v>
      </c>
      <c r="C22" s="126"/>
      <c r="D22" s="126"/>
      <c r="E22" s="127"/>
      <c r="F22" s="5">
        <f>SUM(F20:F21)</f>
        <v>60</v>
      </c>
    </row>
    <row r="23" spans="1:8" x14ac:dyDescent="0.15">
      <c r="E23" s="14"/>
      <c r="F23" s="14"/>
    </row>
    <row r="24" spans="1:8" x14ac:dyDescent="0.15">
      <c r="B24" s="1" t="s">
        <v>90</v>
      </c>
      <c r="C24" s="1"/>
      <c r="D24" s="1"/>
      <c r="E24" s="1"/>
      <c r="F24" s="1"/>
      <c r="G24" s="1"/>
      <c r="H24" s="1"/>
    </row>
    <row r="25" spans="1:8" x14ac:dyDescent="0.15">
      <c r="B25" s="1" t="s">
        <v>16</v>
      </c>
      <c r="C25" s="1"/>
      <c r="D25" s="1"/>
      <c r="E25" s="1"/>
      <c r="F25" s="1"/>
      <c r="G25" s="1"/>
      <c r="H25" s="1"/>
    </row>
    <row r="26" spans="1:8" x14ac:dyDescent="0.15">
      <c r="B26" s="1" t="s">
        <v>17</v>
      </c>
      <c r="C26" s="1"/>
      <c r="D26" s="1"/>
      <c r="E26" s="1"/>
      <c r="F26" s="1"/>
      <c r="G26" s="1"/>
      <c r="H26" s="1"/>
    </row>
    <row r="27" spans="1:8" x14ac:dyDescent="0.15">
      <c r="B27" s="3" t="s">
        <v>2</v>
      </c>
      <c r="C27" s="3"/>
      <c r="D27" s="3"/>
      <c r="E27" s="3"/>
      <c r="F27" s="3"/>
      <c r="G27" s="3"/>
      <c r="H27" s="3"/>
    </row>
    <row r="28" spans="1:8" x14ac:dyDescent="0.15">
      <c r="B28" s="128"/>
      <c r="C28" s="4"/>
      <c r="D28" s="4"/>
      <c r="E28" s="4"/>
      <c r="F28" s="4"/>
    </row>
    <row r="29" spans="1:8" ht="15" thickBot="1" x14ac:dyDescent="0.2">
      <c r="B29" s="2" t="s">
        <v>18</v>
      </c>
    </row>
    <row r="30" spans="1:8" x14ac:dyDescent="0.15">
      <c r="A30" s="2"/>
      <c r="B30" s="18" t="s">
        <v>21</v>
      </c>
      <c r="C30" s="19" t="s">
        <v>22</v>
      </c>
      <c r="D30" s="19" t="s">
        <v>23</v>
      </c>
      <c r="E30" s="19" t="s">
        <v>24</v>
      </c>
      <c r="F30" s="19" t="s">
        <v>30</v>
      </c>
      <c r="G30" s="20" t="s">
        <v>19</v>
      </c>
      <c r="H30" s="21" t="s">
        <v>20</v>
      </c>
    </row>
    <row r="31" spans="1:8" x14ac:dyDescent="0.15">
      <c r="A31" s="2"/>
      <c r="B31" s="22" t="s">
        <v>26</v>
      </c>
      <c r="C31" s="23" t="s">
        <v>27</v>
      </c>
      <c r="D31" s="23" t="s">
        <v>28</v>
      </c>
      <c r="E31" s="23" t="s">
        <v>29</v>
      </c>
      <c r="F31" s="23" t="s">
        <v>32</v>
      </c>
      <c r="G31" s="24" t="s">
        <v>25</v>
      </c>
      <c r="H31" s="25" t="s">
        <v>25</v>
      </c>
    </row>
    <row r="32" spans="1:8" x14ac:dyDescent="0.15">
      <c r="A32" s="2"/>
      <c r="B32" s="22" t="s">
        <v>31</v>
      </c>
      <c r="C32" s="26"/>
      <c r="D32" s="23"/>
      <c r="E32" s="23"/>
      <c r="F32" s="23"/>
      <c r="G32" s="24">
        <v>9120</v>
      </c>
      <c r="H32" s="25">
        <v>9260</v>
      </c>
    </row>
    <row r="33" spans="1:8" x14ac:dyDescent="0.15">
      <c r="A33" s="2"/>
      <c r="B33" s="27" t="s">
        <v>33</v>
      </c>
      <c r="C33" s="28"/>
      <c r="D33" s="29"/>
      <c r="E33" s="29"/>
      <c r="F33" s="29"/>
      <c r="G33" s="29"/>
      <c r="H33" s="30"/>
    </row>
    <row r="34" spans="1:8" x14ac:dyDescent="0.15">
      <c r="A34" s="2"/>
      <c r="B34" s="27" t="s">
        <v>34</v>
      </c>
      <c r="C34" s="28"/>
      <c r="D34" s="29"/>
      <c r="E34" s="29"/>
      <c r="F34" s="29"/>
      <c r="G34" s="29"/>
      <c r="H34" s="31"/>
    </row>
    <row r="35" spans="1:8" x14ac:dyDescent="0.15">
      <c r="B35" s="32" t="s">
        <v>35</v>
      </c>
      <c r="C35" s="33" t="s">
        <v>36</v>
      </c>
      <c r="D35" s="34">
        <v>3</v>
      </c>
      <c r="E35" s="35">
        <v>1050</v>
      </c>
      <c r="F35" s="36">
        <f>E35*D35</f>
        <v>3150</v>
      </c>
      <c r="G35" s="37">
        <f>+F35</f>
        <v>3150</v>
      </c>
      <c r="H35" s="38"/>
    </row>
    <row r="36" spans="1:8" x14ac:dyDescent="0.15">
      <c r="B36" s="32" t="s">
        <v>37</v>
      </c>
      <c r="C36" s="33" t="s">
        <v>36</v>
      </c>
      <c r="D36" s="34">
        <v>2</v>
      </c>
      <c r="E36" s="35">
        <v>1000</v>
      </c>
      <c r="F36" s="36">
        <f t="shared" ref="F36:F53" si="0">E36*D36</f>
        <v>2000</v>
      </c>
      <c r="G36" s="37"/>
      <c r="H36" s="38">
        <f>+F36</f>
        <v>2000</v>
      </c>
    </row>
    <row r="37" spans="1:8" x14ac:dyDescent="0.15">
      <c r="B37" s="32" t="s">
        <v>38</v>
      </c>
      <c r="C37" s="33" t="s">
        <v>36</v>
      </c>
      <c r="D37" s="34">
        <v>2</v>
      </c>
      <c r="E37" s="35">
        <v>1000</v>
      </c>
      <c r="F37" s="36">
        <f t="shared" si="0"/>
        <v>2000</v>
      </c>
      <c r="G37" s="37"/>
      <c r="H37" s="38">
        <f>+F37</f>
        <v>2000</v>
      </c>
    </row>
    <row r="38" spans="1:8" x14ac:dyDescent="0.15">
      <c r="B38" s="32"/>
      <c r="C38" s="39"/>
      <c r="D38" s="34"/>
      <c r="E38" s="35"/>
      <c r="F38" s="36"/>
      <c r="G38" s="37"/>
      <c r="H38" s="38"/>
    </row>
    <row r="39" spans="1:8" x14ac:dyDescent="0.15">
      <c r="B39" s="40" t="s">
        <v>39</v>
      </c>
      <c r="C39" s="39"/>
      <c r="D39" s="34"/>
      <c r="E39" s="35"/>
      <c r="F39" s="36"/>
      <c r="G39" s="37"/>
      <c r="H39" s="38"/>
    </row>
    <row r="40" spans="1:8" x14ac:dyDescent="0.15">
      <c r="B40" s="32" t="s">
        <v>40</v>
      </c>
      <c r="C40" s="33" t="s">
        <v>36</v>
      </c>
      <c r="D40" s="34">
        <v>2</v>
      </c>
      <c r="E40" s="35">
        <v>1050</v>
      </c>
      <c r="F40" s="36">
        <f t="shared" si="0"/>
        <v>2100</v>
      </c>
      <c r="G40" s="37">
        <f t="shared" ref="G40:G53" si="1">+F40</f>
        <v>2100</v>
      </c>
      <c r="H40" s="38"/>
    </row>
    <row r="41" spans="1:8" x14ac:dyDescent="0.15">
      <c r="B41" s="32" t="s">
        <v>41</v>
      </c>
      <c r="C41" s="33" t="s">
        <v>36</v>
      </c>
      <c r="D41" s="34">
        <v>3</v>
      </c>
      <c r="E41" s="35">
        <v>1050</v>
      </c>
      <c r="F41" s="36">
        <f t="shared" si="0"/>
        <v>3150</v>
      </c>
      <c r="G41" s="37">
        <f t="shared" si="1"/>
        <v>3150</v>
      </c>
      <c r="H41" s="38"/>
    </row>
    <row r="42" spans="1:8" x14ac:dyDescent="0.15">
      <c r="B42" s="32" t="s">
        <v>42</v>
      </c>
      <c r="C42" s="33" t="s">
        <v>36</v>
      </c>
      <c r="D42" s="34">
        <v>2</v>
      </c>
      <c r="E42" s="35">
        <v>1000</v>
      </c>
      <c r="F42" s="36">
        <f t="shared" si="0"/>
        <v>2000</v>
      </c>
      <c r="G42" s="37"/>
      <c r="H42" s="38">
        <f>+F42</f>
        <v>2000</v>
      </c>
    </row>
    <row r="43" spans="1:8" x14ac:dyDescent="0.15">
      <c r="B43" s="32" t="s">
        <v>43</v>
      </c>
      <c r="C43" s="33" t="s">
        <v>36</v>
      </c>
      <c r="D43" s="34">
        <v>2</v>
      </c>
      <c r="E43" s="35">
        <v>1000</v>
      </c>
      <c r="F43" s="36">
        <f t="shared" si="0"/>
        <v>2000</v>
      </c>
      <c r="G43" s="37"/>
      <c r="H43" s="38">
        <f>+F43</f>
        <v>2000</v>
      </c>
    </row>
    <row r="44" spans="1:8" x14ac:dyDescent="0.15">
      <c r="B44" s="32" t="s">
        <v>44</v>
      </c>
      <c r="C44" s="33" t="s">
        <v>45</v>
      </c>
      <c r="D44" s="34">
        <v>2</v>
      </c>
      <c r="E44" s="35">
        <v>1000</v>
      </c>
      <c r="F44" s="36">
        <f t="shared" si="0"/>
        <v>2000</v>
      </c>
      <c r="G44" s="37"/>
      <c r="H44" s="38">
        <v>2000</v>
      </c>
    </row>
    <row r="45" spans="1:8" x14ac:dyDescent="0.15">
      <c r="B45" s="32" t="s">
        <v>46</v>
      </c>
      <c r="C45" s="33" t="s">
        <v>45</v>
      </c>
      <c r="D45" s="34">
        <v>2</v>
      </c>
      <c r="E45" s="35">
        <v>1000</v>
      </c>
      <c r="F45" s="36">
        <f t="shared" si="0"/>
        <v>2000</v>
      </c>
      <c r="G45" s="37"/>
      <c r="H45" s="38">
        <v>2000</v>
      </c>
    </row>
    <row r="46" spans="1:8" x14ac:dyDescent="0.15">
      <c r="B46" s="32"/>
      <c r="C46" s="39"/>
      <c r="D46" s="34"/>
      <c r="E46" s="35"/>
      <c r="F46" s="36"/>
      <c r="G46" s="37"/>
      <c r="H46" s="38"/>
    </row>
    <row r="47" spans="1:8" x14ac:dyDescent="0.15">
      <c r="B47" s="40" t="s">
        <v>47</v>
      </c>
      <c r="C47" s="39"/>
      <c r="D47" s="34"/>
      <c r="E47" s="35"/>
      <c r="F47" s="36"/>
      <c r="G47" s="37"/>
      <c r="H47" s="38"/>
    </row>
    <row r="48" spans="1:8" x14ac:dyDescent="0.15">
      <c r="B48" s="32" t="s">
        <v>48</v>
      </c>
      <c r="C48" s="33" t="s">
        <v>36</v>
      </c>
      <c r="D48" s="34">
        <v>3</v>
      </c>
      <c r="E48" s="35">
        <v>1000</v>
      </c>
      <c r="F48" s="36">
        <f t="shared" si="0"/>
        <v>3000</v>
      </c>
      <c r="G48" s="37"/>
      <c r="H48" s="38">
        <f>+F48</f>
        <v>3000</v>
      </c>
    </row>
    <row r="49" spans="2:12" x14ac:dyDescent="0.15">
      <c r="B49" s="32" t="s">
        <v>49</v>
      </c>
      <c r="C49" s="33" t="s">
        <v>50</v>
      </c>
      <c r="D49" s="34">
        <v>3</v>
      </c>
      <c r="E49" s="35">
        <v>1000</v>
      </c>
      <c r="F49" s="36">
        <f t="shared" si="0"/>
        <v>3000</v>
      </c>
      <c r="G49" s="37">
        <f t="shared" si="1"/>
        <v>3000</v>
      </c>
      <c r="H49" s="38"/>
    </row>
    <row r="50" spans="2:12" x14ac:dyDescent="0.15">
      <c r="B50" s="32" t="s">
        <v>51</v>
      </c>
      <c r="C50" s="33" t="s">
        <v>36</v>
      </c>
      <c r="D50" s="34">
        <v>2</v>
      </c>
      <c r="E50" s="35">
        <v>1050</v>
      </c>
      <c r="F50" s="36">
        <f t="shared" si="0"/>
        <v>2100</v>
      </c>
      <c r="G50" s="37">
        <f t="shared" si="1"/>
        <v>2100</v>
      </c>
      <c r="H50" s="38"/>
    </row>
    <row r="51" spans="2:12" x14ac:dyDescent="0.15">
      <c r="B51" s="32" t="s">
        <v>52</v>
      </c>
      <c r="C51" s="33" t="s">
        <v>36</v>
      </c>
      <c r="D51" s="34">
        <v>2</v>
      </c>
      <c r="E51" s="35">
        <v>1050</v>
      </c>
      <c r="F51" s="36">
        <f t="shared" si="0"/>
        <v>2100</v>
      </c>
      <c r="G51" s="37">
        <f t="shared" si="1"/>
        <v>2100</v>
      </c>
      <c r="H51" s="38"/>
    </row>
    <row r="52" spans="2:12" x14ac:dyDescent="0.15">
      <c r="B52" s="32" t="s">
        <v>53</v>
      </c>
      <c r="C52" s="33" t="s">
        <v>36</v>
      </c>
      <c r="D52" s="34">
        <v>2</v>
      </c>
      <c r="E52" s="35">
        <v>1000</v>
      </c>
      <c r="F52" s="36">
        <f t="shared" si="0"/>
        <v>2000</v>
      </c>
      <c r="G52" s="37"/>
      <c r="H52" s="38">
        <f>+F52</f>
        <v>2000</v>
      </c>
    </row>
    <row r="53" spans="2:12" x14ac:dyDescent="0.15">
      <c r="B53" s="41" t="s">
        <v>54</v>
      </c>
      <c r="C53" s="33" t="s">
        <v>36</v>
      </c>
      <c r="D53" s="34">
        <v>3</v>
      </c>
      <c r="E53" s="42">
        <v>1050</v>
      </c>
      <c r="F53" s="36">
        <f t="shared" si="0"/>
        <v>3150</v>
      </c>
      <c r="G53" s="37">
        <f t="shared" si="1"/>
        <v>3150</v>
      </c>
      <c r="H53" s="43"/>
    </row>
    <row r="54" spans="2:12" ht="15" thickBot="1" x14ac:dyDescent="0.2">
      <c r="B54" s="44"/>
      <c r="C54" s="130"/>
      <c r="D54" s="45"/>
      <c r="E54" s="46"/>
      <c r="F54" s="47"/>
      <c r="G54" s="48"/>
      <c r="H54" s="49"/>
    </row>
    <row r="55" spans="2:12" ht="15" thickBot="1" x14ac:dyDescent="0.2">
      <c r="B55" s="108" t="s">
        <v>55</v>
      </c>
      <c r="C55" s="109"/>
      <c r="D55" s="52">
        <f>SUM(D35:D54)</f>
        <v>35</v>
      </c>
      <c r="E55" s="52"/>
      <c r="F55" s="53">
        <f>SUM(F35:F54)</f>
        <v>35750</v>
      </c>
      <c r="G55" s="54">
        <f>SUM(G35:G54)</f>
        <v>18750</v>
      </c>
      <c r="H55" s="104">
        <f>SUM(H35:H54)</f>
        <v>17000</v>
      </c>
      <c r="J55" s="131" t="s">
        <v>56</v>
      </c>
      <c r="K55" s="131"/>
      <c r="L55" s="131"/>
    </row>
    <row r="56" spans="2:12" ht="15" thickBot="1" x14ac:dyDescent="0.2">
      <c r="B56" s="105"/>
      <c r="C56" s="106"/>
      <c r="D56" s="107"/>
      <c r="E56" s="111"/>
      <c r="F56" s="112"/>
      <c r="G56" s="113"/>
      <c r="H56" s="113"/>
      <c r="J56" s="132"/>
      <c r="K56" s="132"/>
      <c r="L56" s="132"/>
    </row>
    <row r="57" spans="2:12" ht="15" thickBot="1" x14ac:dyDescent="0.2">
      <c r="B57" s="50" t="s">
        <v>57</v>
      </c>
      <c r="C57" s="51"/>
      <c r="D57" s="52"/>
      <c r="E57" s="52"/>
      <c r="F57" s="53"/>
      <c r="G57" s="54"/>
      <c r="H57" s="104"/>
      <c r="J57" s="132"/>
      <c r="K57" s="132"/>
      <c r="L57" s="132"/>
    </row>
    <row r="58" spans="2:12" x14ac:dyDescent="0.15">
      <c r="B58" s="101"/>
      <c r="C58" s="102"/>
      <c r="D58" s="96"/>
      <c r="E58" s="103"/>
      <c r="F58" s="97"/>
      <c r="G58" s="98"/>
      <c r="H58" s="99"/>
      <c r="J58" s="133" t="s">
        <v>58</v>
      </c>
      <c r="K58" s="133"/>
      <c r="L58" s="133"/>
    </row>
    <row r="59" spans="2:12" x14ac:dyDescent="0.15">
      <c r="B59" s="55" t="s">
        <v>39</v>
      </c>
      <c r="C59" s="56"/>
      <c r="D59" s="57"/>
      <c r="E59" s="58"/>
      <c r="F59" s="59"/>
      <c r="G59" s="60"/>
      <c r="H59" s="110"/>
      <c r="J59" s="133" t="s">
        <v>59</v>
      </c>
      <c r="K59" s="133"/>
      <c r="L59" s="133"/>
    </row>
    <row r="60" spans="2:12" x14ac:dyDescent="0.15">
      <c r="B60" s="32" t="s">
        <v>60</v>
      </c>
      <c r="C60" s="33" t="s">
        <v>61</v>
      </c>
      <c r="D60" s="34">
        <v>3</v>
      </c>
      <c r="E60" s="35">
        <v>1050</v>
      </c>
      <c r="F60" s="36">
        <f t="shared" ref="F60" si="2">E60*D60</f>
        <v>3150</v>
      </c>
      <c r="G60" s="37">
        <f t="shared" ref="G60" si="3">+F60</f>
        <v>3150</v>
      </c>
      <c r="H60" s="38"/>
      <c r="J60" s="133" t="s">
        <v>62</v>
      </c>
      <c r="K60" s="133"/>
      <c r="L60" s="133"/>
    </row>
    <row r="61" spans="2:12" x14ac:dyDescent="0.15">
      <c r="B61" s="32"/>
      <c r="C61" s="33"/>
      <c r="D61" s="34"/>
      <c r="E61" s="35"/>
      <c r="F61" s="36"/>
      <c r="G61" s="37"/>
      <c r="H61" s="38"/>
      <c r="J61" s="133" t="s">
        <v>63</v>
      </c>
      <c r="K61" s="133"/>
      <c r="L61" s="133"/>
    </row>
    <row r="62" spans="2:12" x14ac:dyDescent="0.15">
      <c r="B62" s="61" t="s">
        <v>47</v>
      </c>
      <c r="C62" s="56"/>
      <c r="D62" s="57"/>
      <c r="E62" s="58"/>
      <c r="F62" s="36"/>
      <c r="G62" s="37"/>
      <c r="H62" s="110"/>
      <c r="J62" s="133" t="s">
        <v>64</v>
      </c>
      <c r="K62" s="133"/>
      <c r="L62" s="133"/>
    </row>
    <row r="63" spans="2:12" x14ac:dyDescent="0.15">
      <c r="B63" s="32" t="s">
        <v>65</v>
      </c>
      <c r="C63" s="33" t="s">
        <v>66</v>
      </c>
      <c r="D63" s="34">
        <v>3</v>
      </c>
      <c r="E63" s="35">
        <v>1050</v>
      </c>
      <c r="F63" s="36">
        <f t="shared" ref="F63" si="4">E63*D63</f>
        <v>3150</v>
      </c>
      <c r="G63" s="37">
        <f t="shared" ref="G63" si="5">+F63</f>
        <v>3150</v>
      </c>
      <c r="H63" s="38"/>
      <c r="J63" s="133" t="s">
        <v>67</v>
      </c>
      <c r="K63" s="133"/>
      <c r="L63" s="133"/>
    </row>
    <row r="64" spans="2:12" x14ac:dyDescent="0.15">
      <c r="B64" s="32"/>
      <c r="C64" s="33"/>
      <c r="D64" s="34"/>
      <c r="E64" s="35"/>
      <c r="F64" s="36"/>
      <c r="G64" s="37"/>
      <c r="H64" s="38"/>
      <c r="J64" s="133" t="s">
        <v>67</v>
      </c>
      <c r="K64" s="133"/>
      <c r="L64" s="133"/>
    </row>
    <row r="65" spans="2:12" x14ac:dyDescent="0.15">
      <c r="B65" s="32"/>
      <c r="C65" s="33"/>
      <c r="D65" s="34"/>
      <c r="E65" s="35"/>
      <c r="F65" s="36"/>
      <c r="G65" s="37"/>
      <c r="H65" s="38"/>
      <c r="J65" s="133" t="s">
        <v>67</v>
      </c>
      <c r="K65" s="133"/>
      <c r="L65" s="133"/>
    </row>
    <row r="66" spans="2:12" ht="15" thickBot="1" x14ac:dyDescent="0.2">
      <c r="B66" s="62"/>
      <c r="C66" s="63"/>
      <c r="D66" s="64"/>
      <c r="E66" s="42"/>
      <c r="F66" s="65"/>
      <c r="G66" s="66"/>
      <c r="H66" s="43"/>
      <c r="J66" s="133" t="s">
        <v>68</v>
      </c>
      <c r="K66" s="133"/>
      <c r="L66" s="133"/>
    </row>
    <row r="67" spans="2:12" ht="15" thickBot="1" x14ac:dyDescent="0.2">
      <c r="B67" s="50" t="s">
        <v>69</v>
      </c>
      <c r="C67" s="51"/>
      <c r="D67" s="52"/>
      <c r="E67" s="52"/>
      <c r="F67" s="53"/>
      <c r="G67" s="54"/>
      <c r="H67" s="100"/>
      <c r="J67" s="134"/>
      <c r="K67" s="134"/>
      <c r="L67" s="134"/>
    </row>
    <row r="68" spans="2:12" x14ac:dyDescent="0.15">
      <c r="B68" s="94" t="s">
        <v>34</v>
      </c>
      <c r="C68" s="95"/>
      <c r="D68" s="96"/>
      <c r="E68" s="96"/>
      <c r="F68" s="97"/>
      <c r="G68" s="98"/>
      <c r="H68" s="99"/>
      <c r="J68" s="133" t="s">
        <v>70</v>
      </c>
      <c r="K68" s="133"/>
      <c r="L68" s="133"/>
    </row>
    <row r="69" spans="2:12" x14ac:dyDescent="0.15">
      <c r="B69" s="68" t="s">
        <v>71</v>
      </c>
      <c r="C69" s="69" t="s">
        <v>72</v>
      </c>
      <c r="D69" s="34">
        <v>3</v>
      </c>
      <c r="E69" s="34">
        <v>1050</v>
      </c>
      <c r="F69" s="36">
        <f t="shared" ref="F69:F76" si="6">E69*D69</f>
        <v>3150</v>
      </c>
      <c r="G69" s="37">
        <f t="shared" ref="G69:G76" si="7">+F69</f>
        <v>3150</v>
      </c>
      <c r="H69" s="38"/>
      <c r="J69" s="132"/>
      <c r="K69" s="132"/>
      <c r="L69" s="132"/>
    </row>
    <row r="70" spans="2:12" x14ac:dyDescent="0.15">
      <c r="B70" s="32"/>
      <c r="C70" s="70"/>
      <c r="D70" s="34"/>
      <c r="E70" s="34"/>
      <c r="F70" s="36"/>
      <c r="G70" s="37"/>
      <c r="H70" s="38"/>
      <c r="J70" s="132"/>
      <c r="K70" s="132"/>
      <c r="L70" s="132"/>
    </row>
    <row r="71" spans="2:12" x14ac:dyDescent="0.15">
      <c r="B71" s="40" t="s">
        <v>39</v>
      </c>
      <c r="C71" s="70"/>
      <c r="D71" s="34"/>
      <c r="E71" s="35"/>
      <c r="F71" s="36"/>
      <c r="G71" s="37"/>
      <c r="H71" s="38"/>
      <c r="J71" s="132"/>
      <c r="K71" s="132"/>
      <c r="L71" s="132"/>
    </row>
    <row r="72" spans="2:12" x14ac:dyDescent="0.15">
      <c r="B72" s="32" t="s">
        <v>78</v>
      </c>
      <c r="C72" s="33" t="s">
        <v>73</v>
      </c>
      <c r="D72" s="34">
        <v>3</v>
      </c>
      <c r="E72" s="35">
        <v>1050</v>
      </c>
      <c r="F72" s="36">
        <f t="shared" si="6"/>
        <v>3150</v>
      </c>
      <c r="G72" s="37">
        <f t="shared" si="7"/>
        <v>3150</v>
      </c>
      <c r="H72" s="38"/>
      <c r="J72" s="132"/>
      <c r="K72" s="132"/>
      <c r="L72" s="132"/>
    </row>
    <row r="73" spans="2:12" x14ac:dyDescent="0.15">
      <c r="B73" s="32" t="s">
        <v>74</v>
      </c>
      <c r="C73" s="33" t="s">
        <v>75</v>
      </c>
      <c r="D73" s="34">
        <v>3</v>
      </c>
      <c r="E73" s="35">
        <v>1050</v>
      </c>
      <c r="F73" s="36">
        <f t="shared" si="6"/>
        <v>3150</v>
      </c>
      <c r="G73" s="37">
        <f t="shared" si="7"/>
        <v>3150</v>
      </c>
      <c r="H73" s="38"/>
      <c r="J73" s="133" t="s">
        <v>76</v>
      </c>
      <c r="K73" s="133"/>
      <c r="L73" s="133"/>
    </row>
    <row r="74" spans="2:12" x14ac:dyDescent="0.15">
      <c r="B74" s="32"/>
      <c r="C74" s="33"/>
      <c r="D74" s="34"/>
      <c r="E74" s="35"/>
      <c r="F74" s="36"/>
      <c r="G74" s="37"/>
      <c r="H74" s="38"/>
      <c r="J74" s="133" t="s">
        <v>77</v>
      </c>
      <c r="K74" s="133"/>
      <c r="L74" s="133"/>
    </row>
    <row r="75" spans="2:12" x14ac:dyDescent="0.15">
      <c r="B75" s="40" t="s">
        <v>47</v>
      </c>
      <c r="C75" s="33"/>
      <c r="D75" s="34"/>
      <c r="E75" s="35"/>
      <c r="F75" s="36"/>
      <c r="G75" s="37"/>
      <c r="H75" s="38"/>
      <c r="J75" s="134"/>
      <c r="K75" s="134"/>
      <c r="L75" s="134"/>
    </row>
    <row r="76" spans="2:12" x14ac:dyDescent="0.15">
      <c r="B76" s="71" t="s">
        <v>78</v>
      </c>
      <c r="C76" s="33" t="s">
        <v>79</v>
      </c>
      <c r="D76" s="34">
        <v>3</v>
      </c>
      <c r="E76" s="35">
        <v>1050</v>
      </c>
      <c r="F76" s="36">
        <f t="shared" si="6"/>
        <v>3150</v>
      </c>
      <c r="G76" s="37">
        <f t="shared" si="7"/>
        <v>3150</v>
      </c>
      <c r="H76" s="38"/>
      <c r="J76" s="134"/>
      <c r="K76" s="134"/>
      <c r="L76" s="134"/>
    </row>
    <row r="77" spans="2:12" ht="15" thickBot="1" x14ac:dyDescent="0.2">
      <c r="B77" s="72" t="s">
        <v>15</v>
      </c>
      <c r="C77" s="73" t="s">
        <v>15</v>
      </c>
      <c r="D77" s="74"/>
      <c r="E77" s="75"/>
      <c r="F77" s="47"/>
      <c r="G77" s="48"/>
      <c r="H77" s="49"/>
      <c r="J77" s="134"/>
      <c r="K77" s="134"/>
      <c r="L77" s="134"/>
    </row>
    <row r="78" spans="2:12" ht="15" thickBot="1" x14ac:dyDescent="0.2">
      <c r="B78" s="76" t="s">
        <v>80</v>
      </c>
      <c r="C78" s="77"/>
      <c r="D78" s="78"/>
      <c r="E78" s="79"/>
      <c r="F78" s="80"/>
      <c r="G78" s="81"/>
      <c r="H78" s="82"/>
      <c r="J78" s="134"/>
      <c r="K78" s="134"/>
      <c r="L78" s="134"/>
    </row>
    <row r="79" spans="2:12" x14ac:dyDescent="0.15">
      <c r="B79" s="86"/>
      <c r="C79" s="87"/>
      <c r="D79" s="88"/>
      <c r="E79" s="89"/>
      <c r="F79" s="90"/>
      <c r="G79" s="91"/>
      <c r="H79" s="67"/>
      <c r="J79" s="134"/>
      <c r="K79" s="134"/>
      <c r="L79" s="134"/>
    </row>
    <row r="80" spans="2:12" x14ac:dyDescent="0.15">
      <c r="B80" s="40" t="s">
        <v>39</v>
      </c>
      <c r="C80" s="33" t="s">
        <v>15</v>
      </c>
      <c r="D80" s="34"/>
      <c r="E80" s="35"/>
      <c r="F80" s="36"/>
      <c r="G80" s="37"/>
      <c r="H80" s="38"/>
      <c r="J80" s="134"/>
      <c r="K80" s="134"/>
      <c r="L80" s="134"/>
    </row>
    <row r="81" spans="2:13" x14ac:dyDescent="0.15">
      <c r="B81" s="32" t="s">
        <v>81</v>
      </c>
      <c r="C81" s="33" t="s">
        <v>82</v>
      </c>
      <c r="D81" s="34">
        <v>2</v>
      </c>
      <c r="E81" s="35">
        <v>1050</v>
      </c>
      <c r="F81" s="36">
        <f t="shared" ref="F81:F82" si="8">E81*D81</f>
        <v>2100</v>
      </c>
      <c r="G81" s="37">
        <f t="shared" ref="G81:G82" si="9">+F81</f>
        <v>2100</v>
      </c>
      <c r="H81" s="38"/>
      <c r="J81" s="134"/>
      <c r="K81" s="134"/>
      <c r="L81" s="134"/>
    </row>
    <row r="82" spans="2:13" x14ac:dyDescent="0.15">
      <c r="B82" s="32" t="s">
        <v>83</v>
      </c>
      <c r="C82" s="33" t="s">
        <v>82</v>
      </c>
      <c r="D82" s="34">
        <v>2</v>
      </c>
      <c r="E82" s="35">
        <v>1050</v>
      </c>
      <c r="F82" s="36">
        <f t="shared" si="8"/>
        <v>2100</v>
      </c>
      <c r="G82" s="37">
        <f t="shared" si="9"/>
        <v>2100</v>
      </c>
      <c r="H82" s="38"/>
      <c r="J82" s="133" t="s">
        <v>84</v>
      </c>
      <c r="K82" s="133"/>
      <c r="L82" s="133"/>
    </row>
    <row r="83" spans="2:13" x14ac:dyDescent="0.15">
      <c r="B83" s="40"/>
      <c r="C83" s="33"/>
      <c r="D83" s="34"/>
      <c r="E83" s="35"/>
      <c r="F83" s="36"/>
      <c r="G83" s="37"/>
      <c r="H83" s="38"/>
      <c r="J83" s="133" t="s">
        <v>59</v>
      </c>
      <c r="K83" s="133"/>
      <c r="L83" s="133"/>
    </row>
    <row r="84" spans="2:13" ht="15" thickBot="1" x14ac:dyDescent="0.2">
      <c r="B84" s="92"/>
      <c r="C84" s="93"/>
      <c r="D84" s="78"/>
      <c r="E84" s="79"/>
      <c r="F84" s="80"/>
      <c r="G84" s="81"/>
      <c r="H84" s="82"/>
    </row>
    <row r="85" spans="2:13" ht="15" thickBot="1" x14ac:dyDescent="0.2">
      <c r="B85" s="50" t="s">
        <v>85</v>
      </c>
      <c r="C85" s="51"/>
      <c r="D85" s="52"/>
      <c r="E85" s="52"/>
      <c r="F85" s="53"/>
      <c r="G85" s="54"/>
      <c r="H85" s="104"/>
    </row>
    <row r="86" spans="2:13" x14ac:dyDescent="0.15">
      <c r="B86" s="101"/>
      <c r="C86" s="102"/>
      <c r="D86" s="96"/>
      <c r="E86" s="103"/>
      <c r="F86" s="97"/>
      <c r="G86" s="98"/>
      <c r="H86" s="99"/>
      <c r="J86" s="129"/>
      <c r="K86" s="129"/>
      <c r="L86" s="129"/>
      <c r="M86" s="129"/>
    </row>
    <row r="87" spans="2:13" x14ac:dyDescent="0.15">
      <c r="B87" s="40" t="s">
        <v>39</v>
      </c>
      <c r="C87" s="33"/>
      <c r="D87" s="34"/>
      <c r="E87" s="35"/>
      <c r="F87" s="36"/>
      <c r="G87" s="37"/>
      <c r="H87" s="38"/>
      <c r="J87" s="129"/>
      <c r="K87" s="129"/>
      <c r="L87" s="129"/>
      <c r="M87" s="129"/>
    </row>
    <row r="88" spans="2:13" x14ac:dyDescent="0.15">
      <c r="B88" s="32" t="s">
        <v>86</v>
      </c>
      <c r="C88" s="33" t="s">
        <v>87</v>
      </c>
      <c r="D88" s="34">
        <v>3</v>
      </c>
      <c r="E88" s="35">
        <v>1050</v>
      </c>
      <c r="F88" s="36">
        <f t="shared" ref="F88" si="10">E88*D88</f>
        <v>3150</v>
      </c>
      <c r="G88" s="37">
        <f t="shared" ref="G88" si="11">+F88</f>
        <v>3150</v>
      </c>
      <c r="H88" s="38" t="s">
        <v>15</v>
      </c>
      <c r="J88" s="129"/>
      <c r="K88" s="129"/>
      <c r="L88" s="129"/>
      <c r="M88" s="129"/>
    </row>
    <row r="89" spans="2:13" x14ac:dyDescent="0.15">
      <c r="B89" s="40"/>
      <c r="C89" s="33"/>
      <c r="D89" s="34"/>
      <c r="E89" s="35"/>
      <c r="F89" s="36"/>
      <c r="G89" s="37"/>
      <c r="H89" s="38"/>
      <c r="J89" s="129"/>
      <c r="K89" s="129"/>
      <c r="L89" s="129"/>
      <c r="M89" s="129"/>
    </row>
    <row r="90" spans="2:13" x14ac:dyDescent="0.15">
      <c r="B90" s="27"/>
      <c r="C90" s="33"/>
      <c r="D90" s="34"/>
      <c r="E90" s="35"/>
      <c r="F90" s="36"/>
      <c r="G90" s="37"/>
      <c r="H90" s="38"/>
      <c r="J90" s="129"/>
      <c r="K90" s="129"/>
      <c r="L90" s="129"/>
      <c r="M90" s="129"/>
    </row>
    <row r="91" spans="2:13" x14ac:dyDescent="0.15">
      <c r="B91" s="32" t="s">
        <v>15</v>
      </c>
      <c r="C91" s="33" t="s">
        <v>15</v>
      </c>
      <c r="D91" s="34" t="s">
        <v>15</v>
      </c>
      <c r="E91" s="35" t="s">
        <v>15</v>
      </c>
      <c r="F91" s="36"/>
      <c r="G91" s="37"/>
      <c r="H91" s="38" t="s">
        <v>15</v>
      </c>
      <c r="J91" s="129"/>
      <c r="K91" s="129"/>
      <c r="L91" s="129"/>
      <c r="M91" s="129"/>
    </row>
    <row r="92" spans="2:13" ht="15" thickBot="1" x14ac:dyDescent="0.2">
      <c r="B92" s="62"/>
      <c r="C92" s="63"/>
      <c r="D92" s="64"/>
      <c r="E92" s="42"/>
      <c r="F92" s="65"/>
      <c r="G92" s="66"/>
      <c r="H92" s="43"/>
      <c r="J92" s="129"/>
      <c r="K92" s="129"/>
      <c r="L92" s="129"/>
      <c r="M92" s="129"/>
    </row>
    <row r="93" spans="2:13" ht="15" thickBot="1" x14ac:dyDescent="0.2">
      <c r="B93" s="136" t="s">
        <v>88</v>
      </c>
      <c r="C93" s="137"/>
      <c r="D93" s="139">
        <f>SUM(D58:D92)</f>
        <v>25</v>
      </c>
      <c r="E93" s="140"/>
      <c r="F93" s="141">
        <f>SUM(F58:F92)</f>
        <v>26250</v>
      </c>
      <c r="G93" s="142">
        <f>SUM(G58:G92)</f>
        <v>26250</v>
      </c>
      <c r="H93" s="143">
        <f>SUM(H58:H92)</f>
        <v>0</v>
      </c>
    </row>
    <row r="94" spans="2:13" ht="15" thickBot="1" x14ac:dyDescent="0.2">
      <c r="B94" s="135" t="s">
        <v>89</v>
      </c>
      <c r="C94" s="138"/>
      <c r="D94" s="144">
        <f>+D55+D93</f>
        <v>60</v>
      </c>
      <c r="E94" s="145"/>
      <c r="F94" s="146">
        <f>+F55+F93</f>
        <v>62000</v>
      </c>
      <c r="G94" s="142">
        <f>+G55+G93</f>
        <v>45000</v>
      </c>
      <c r="H94" s="143">
        <f>+H55+H93</f>
        <v>17000</v>
      </c>
    </row>
    <row r="105" spans="2:2" x14ac:dyDescent="0.15">
      <c r="B105" s="83"/>
    </row>
  </sheetData>
  <sheetProtection selectLockedCells="1"/>
  <mergeCells count="46">
    <mergeCell ref="B94:C94"/>
    <mergeCell ref="B55:C55"/>
    <mergeCell ref="B7:E7"/>
    <mergeCell ref="B8:E8"/>
    <mergeCell ref="B9:E9"/>
    <mergeCell ref="B10:E10"/>
    <mergeCell ref="B93:C93"/>
    <mergeCell ref="B20:E20"/>
    <mergeCell ref="B21:E21"/>
    <mergeCell ref="B22:E22"/>
    <mergeCell ref="D14:E14"/>
    <mergeCell ref="D15:E15"/>
    <mergeCell ref="D16:E16"/>
    <mergeCell ref="D17:E17"/>
    <mergeCell ref="D18:E18"/>
    <mergeCell ref="B19:E19"/>
    <mergeCell ref="J82:L82"/>
    <mergeCell ref="J83:L83"/>
    <mergeCell ref="B2:F2"/>
    <mergeCell ref="B12:B13"/>
    <mergeCell ref="C12:C13"/>
    <mergeCell ref="F12:F13"/>
    <mergeCell ref="D12:E13"/>
    <mergeCell ref="J64:L64"/>
    <mergeCell ref="J65:L65"/>
    <mergeCell ref="J66:L66"/>
    <mergeCell ref="J68:L68"/>
    <mergeCell ref="J73:L73"/>
    <mergeCell ref="J74:L74"/>
    <mergeCell ref="J58:L58"/>
    <mergeCell ref="J59:L59"/>
    <mergeCell ref="J60:L60"/>
    <mergeCell ref="J61:L61"/>
    <mergeCell ref="J62:L62"/>
    <mergeCell ref="J63:L63"/>
    <mergeCell ref="G17:H17"/>
    <mergeCell ref="J55:L55"/>
    <mergeCell ref="B24:H24"/>
    <mergeCell ref="B25:H25"/>
    <mergeCell ref="B26:H26"/>
    <mergeCell ref="B27:H27"/>
    <mergeCell ref="B3:F3"/>
    <mergeCell ref="B4:F4"/>
    <mergeCell ref="B5:F5"/>
    <mergeCell ref="G14:H14"/>
    <mergeCell ref="G15:H15"/>
  </mergeCells>
  <pageMargins left="0.25" right="0.23" top="0.33" bottom="0.68" header="0.18" footer="0.5"/>
  <pageSetup scale="37" orientation="landscape" r:id="rId1"/>
  <headerFooter alignWithMargins="0"/>
  <rowBreaks count="1" manualBreakCount="1">
    <brk id="2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Contracts</vt:lpstr>
      <vt:lpstr>Contracts!Area_de_impressao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oliveira cantanhede</dc:creator>
  <cp:lastModifiedBy>saulo oliveira cantanhede</cp:lastModifiedBy>
  <dcterms:created xsi:type="dcterms:W3CDTF">2026-05-04T21:30:46Z</dcterms:created>
  <dcterms:modified xsi:type="dcterms:W3CDTF">2026-05-04T21:50:31Z</dcterms:modified>
</cp:coreProperties>
</file>