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updateLinks="always"/>
  <mc:AlternateContent xmlns:mc="http://schemas.openxmlformats.org/markup-compatibility/2006">
    <mc:Choice Requires="x15">
      <x15ac:absPath xmlns:x15ac="http://schemas.microsoft.com/office/spreadsheetml/2010/11/ac" url="https://liveandrews-my.sharepoint.com/personal/glanz_andrews_edu/Documents/0000_EfficiencyWithIT/SmartSeminary/DonSheet/"/>
    </mc:Choice>
  </mc:AlternateContent>
  <xr:revisionPtr revIDLastSave="2978" documentId="8_{E2B7A6C0-A8D0-42CC-B15E-B46469D5A248}" xr6:coauthVersionLast="47" xr6:coauthVersionMax="47" xr10:uidLastSave="{99E9B0BF-0D76-47EF-93ED-8F5CA0BA7810}"/>
  <bookViews>
    <workbookView xWindow="0" yWindow="600" windowWidth="35840" windowHeight="21800" firstSheet="1" activeTab="1" xr2:uid="{00000000-000D-0000-FFFF-FFFF00000000}"/>
  </bookViews>
  <sheets>
    <sheet name="CHIS" sheetId="1" r:id="rId1"/>
    <sheet name="DSLE" sheetId="2" r:id="rId2"/>
    <sheet name="GSEM" sheetId="3" r:id="rId3"/>
    <sheet name="MSSN" sheetId="4" r:id="rId4"/>
    <sheet name="NTST" sheetId="5" r:id="rId5"/>
    <sheet name="OTST" sheetId="6" r:id="rId6"/>
    <sheet name="PATH" sheetId="7" r:id="rId7"/>
    <sheet name="THST" sheetId="8" r:id="rId8"/>
    <sheet name="MDivHISP" sheetId="15" r:id="rId9"/>
    <sheet name="MAPmENGL" sheetId="14" r:id="rId10"/>
    <sheet name="MAPmHISP" sheetId="9" r:id="rId11"/>
    <sheet name="MA_Religion" sheetId="10" r:id="rId12"/>
    <sheet name="DMIN" sheetId="11" r:id="rId13"/>
    <sheet name="DropDownMenu" sheetId="12" state="hidden" r:id="rId14"/>
    <sheet name="InstructorMap" sheetId="13" state="hidden" r:id="rId15"/>
  </sheets>
  <externalReferences>
    <externalReference r:id="rId16"/>
    <externalReference r:id="rId17"/>
  </externalReferences>
  <definedNames>
    <definedName name="_xlnm._FilterDatabase" localSheetId="0" hidden="1">CHIS!$A$1:$CV$46</definedName>
    <definedName name="_xlnm._FilterDatabase" localSheetId="12" hidden="1">DMIN!$A$1:$CV$2</definedName>
    <definedName name="_xlnm._FilterDatabase" localSheetId="1" hidden="1">DSLE!$A$1:$CV$43</definedName>
    <definedName name="_xlnm._FilterDatabase" localSheetId="2" hidden="1">GSEM!$A$1:$CV$55</definedName>
    <definedName name="_xlnm._FilterDatabase" localSheetId="11" hidden="1">MA_Religion!$A$1:$CV$1</definedName>
    <definedName name="_xlnm._FilterDatabase" localSheetId="9" hidden="1">MAPmENGL!$A$1:$CV$1</definedName>
    <definedName name="_xlnm._FilterDatabase" localSheetId="10" hidden="1">MAPmHISP!$A$1:$CV$1</definedName>
    <definedName name="_xlnm._FilterDatabase" localSheetId="8" hidden="1">MDivHISP!$A$1:$CV$1</definedName>
    <definedName name="_xlnm._FilterDatabase" localSheetId="3" hidden="1">MSSN!$A$1:$CV$17</definedName>
    <definedName name="_xlnm._FilterDatabase" localSheetId="4" hidden="1">NTST!$A$1:$CV$32</definedName>
    <definedName name="_xlnm._FilterDatabase" localSheetId="5" hidden="1">OTST!$A$1:$CV$69</definedName>
    <definedName name="_xlnm._FilterDatabase" localSheetId="6" hidden="1">PATH!$A$1:$CV$76</definedName>
    <definedName name="_xlnm._FilterDatabase" localSheetId="7" hidden="1">THST!$A$1:$CV$32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43" i="10" l="1"/>
  <c r="AH44" i="10"/>
  <c r="AV44" i="10"/>
  <c r="AH40" i="10"/>
  <c r="AH39" i="10"/>
  <c r="AU40" i="10"/>
  <c r="AV40" i="10"/>
  <c r="AU39" i="10"/>
  <c r="AV39" i="10"/>
  <c r="AG41" i="10"/>
  <c r="AH41" i="10" s="1"/>
  <c r="AG42" i="10"/>
  <c r="AH42" i="10" s="1"/>
  <c r="AG38" i="10"/>
  <c r="AH38" i="10" s="1"/>
  <c r="AG37" i="10"/>
  <c r="AH37" i="10" s="1"/>
  <c r="AU3" i="10"/>
  <c r="AV3" i="10"/>
  <c r="AU4" i="10"/>
  <c r="AV4" i="10"/>
  <c r="AU5" i="10"/>
  <c r="AV5" i="10"/>
  <c r="AU6" i="10"/>
  <c r="AV6" i="10"/>
  <c r="AU7" i="10"/>
  <c r="AV7" i="10"/>
  <c r="AU9" i="10"/>
  <c r="AV9" i="10"/>
  <c r="AU10" i="10"/>
  <c r="AV10" i="10"/>
  <c r="AU11" i="10"/>
  <c r="AV11" i="10"/>
  <c r="AU12" i="10"/>
  <c r="AV12" i="10"/>
  <c r="AU13" i="10"/>
  <c r="AV13" i="10"/>
  <c r="AU14" i="10"/>
  <c r="AV14" i="10"/>
  <c r="AU15" i="10"/>
  <c r="AV15" i="10"/>
  <c r="AU18" i="10"/>
  <c r="AV18" i="10"/>
  <c r="AU19" i="10"/>
  <c r="AV19" i="10"/>
  <c r="AU20" i="10"/>
  <c r="AV20" i="10"/>
  <c r="AV21" i="10"/>
  <c r="AU22" i="10"/>
  <c r="AV22" i="10"/>
  <c r="AU31" i="10"/>
  <c r="AV31" i="10"/>
  <c r="AU32" i="10"/>
  <c r="AV32" i="10"/>
  <c r="AU33" i="10"/>
  <c r="AV33" i="10"/>
  <c r="AU34" i="10"/>
  <c r="AV34" i="10"/>
  <c r="AG35" i="10"/>
  <c r="AH35" i="10" s="1"/>
  <c r="AU35" i="10"/>
  <c r="AV35" i="10"/>
  <c r="AG36" i="10"/>
  <c r="AH36" i="10" s="1"/>
  <c r="AU36" i="10"/>
  <c r="AV36" i="10"/>
  <c r="AU37" i="10"/>
  <c r="AV37" i="10"/>
  <c r="AV42" i="10"/>
  <c r="AU3" i="8"/>
  <c r="AV3" i="8"/>
  <c r="AU27" i="8"/>
  <c r="AV27" i="8"/>
  <c r="AU20" i="8"/>
  <c r="AV20" i="8"/>
  <c r="AV23" i="8"/>
  <c r="AU23" i="8"/>
  <c r="AV10" i="8"/>
  <c r="AU10" i="8"/>
  <c r="AU25" i="8"/>
  <c r="AV25" i="8"/>
  <c r="AU24" i="8"/>
  <c r="AV24" i="8"/>
  <c r="AV48" i="6"/>
  <c r="AU48" i="6"/>
  <c r="AV45" i="6"/>
  <c r="AU45" i="6"/>
  <c r="AV46" i="6"/>
  <c r="AU46" i="6"/>
  <c r="AV41" i="6"/>
  <c r="AU41" i="6"/>
  <c r="AV40" i="6"/>
  <c r="AU40" i="6"/>
  <c r="AV37" i="6"/>
  <c r="AU37" i="6"/>
  <c r="AV36" i="6"/>
  <c r="AU36" i="6"/>
  <c r="AV35" i="6"/>
  <c r="AU35" i="6"/>
  <c r="AV34" i="6"/>
  <c r="AU34" i="6"/>
  <c r="AV33" i="6"/>
  <c r="AU33" i="6"/>
  <c r="AV30" i="6"/>
  <c r="AU30" i="6"/>
  <c r="AV27" i="6"/>
  <c r="AU27" i="6"/>
  <c r="AV26" i="6"/>
  <c r="AU26" i="6"/>
  <c r="AV21" i="6"/>
  <c r="AU21" i="6"/>
  <c r="AV17" i="6"/>
  <c r="AU17" i="6"/>
  <c r="AV11" i="6"/>
  <c r="AU11" i="6"/>
  <c r="AV10" i="6"/>
  <c r="AU10" i="6"/>
  <c r="AV9" i="6"/>
  <c r="AU9" i="6"/>
  <c r="AV8" i="6"/>
  <c r="AU8" i="6"/>
  <c r="AV7" i="6"/>
  <c r="AU7" i="6"/>
  <c r="AV5" i="6"/>
  <c r="AU5" i="6"/>
  <c r="AV4" i="6"/>
  <c r="AU4" i="6"/>
  <c r="AV15" i="5"/>
  <c r="AU15" i="5"/>
  <c r="AV13" i="5"/>
  <c r="AU13" i="5"/>
  <c r="AV9" i="5"/>
  <c r="AU9" i="5"/>
  <c r="AV10" i="5"/>
  <c r="AU10" i="5"/>
  <c r="AV7" i="5"/>
  <c r="AU7" i="5"/>
  <c r="AV8" i="5"/>
  <c r="AU8" i="5"/>
  <c r="AV5" i="5"/>
  <c r="AU5" i="5"/>
  <c r="AV2" i="6" l="1"/>
  <c r="AU2" i="6"/>
  <c r="AU7" i="2"/>
  <c r="AV7" i="2"/>
  <c r="AV2" i="11"/>
  <c r="AU2" i="11"/>
  <c r="AV6" i="8"/>
  <c r="AU6" i="8"/>
  <c r="AV13" i="8"/>
  <c r="AU13" i="8"/>
  <c r="AV2" i="8"/>
  <c r="AU2" i="8"/>
  <c r="AV22" i="8"/>
  <c r="AU22" i="8"/>
  <c r="AV9" i="8"/>
  <c r="AU9" i="8"/>
  <c r="AV18" i="8"/>
  <c r="AU18" i="8"/>
  <c r="AV32" i="8"/>
  <c r="AU32" i="8"/>
  <c r="AV12" i="8"/>
  <c r="AU12" i="8"/>
  <c r="AV8" i="8"/>
  <c r="AU8" i="8"/>
  <c r="AV42" i="8"/>
  <c r="AU42" i="8"/>
  <c r="AV46" i="8"/>
  <c r="AU46" i="8"/>
  <c r="AV45" i="8"/>
  <c r="AU45" i="8"/>
  <c r="AV39" i="8"/>
  <c r="AU39" i="8"/>
  <c r="AV37" i="8"/>
  <c r="AU37" i="8"/>
  <c r="AV5" i="8"/>
  <c r="AU5" i="8"/>
  <c r="AV34" i="8"/>
  <c r="AU34" i="8"/>
  <c r="AV40" i="8"/>
  <c r="AU40" i="8"/>
  <c r="AV35" i="8"/>
  <c r="AU35" i="8"/>
  <c r="AV17" i="8"/>
  <c r="AU17" i="8"/>
  <c r="AV31" i="8"/>
  <c r="AU31" i="8"/>
  <c r="AV50" i="8"/>
  <c r="AU50" i="8"/>
  <c r="AV30" i="8"/>
  <c r="AU30" i="8"/>
  <c r="AV29" i="8"/>
  <c r="AU29" i="8"/>
  <c r="AV44" i="8"/>
  <c r="AU44" i="8"/>
  <c r="AV41" i="8"/>
  <c r="AU41" i="8"/>
  <c r="AV38" i="8"/>
  <c r="AU38" i="8"/>
  <c r="AV36" i="8"/>
  <c r="AU36" i="8"/>
  <c r="AV28" i="8"/>
  <c r="AU28" i="8"/>
  <c r="AV21" i="8"/>
  <c r="AU21" i="8"/>
  <c r="AV19" i="8"/>
  <c r="AU19" i="8"/>
  <c r="AV7" i="8"/>
  <c r="AU7" i="8"/>
  <c r="AV16" i="8"/>
  <c r="AU16" i="8"/>
  <c r="AV26" i="8"/>
  <c r="AU26" i="8"/>
  <c r="AV14" i="8"/>
  <c r="AU14" i="8"/>
  <c r="AV15" i="8"/>
  <c r="AU15" i="8"/>
  <c r="AV49" i="8"/>
  <c r="AU49" i="8"/>
  <c r="AV43" i="8"/>
  <c r="AU43" i="8"/>
  <c r="AV33" i="8"/>
  <c r="AU33" i="8"/>
  <c r="AV47" i="8"/>
  <c r="AU47" i="8"/>
  <c r="AV4" i="8"/>
  <c r="AU4" i="8"/>
  <c r="AV11" i="8"/>
  <c r="AU11" i="8"/>
  <c r="AV48" i="8"/>
  <c r="AU48" i="8"/>
  <c r="AV19" i="7"/>
  <c r="AU19" i="7"/>
  <c r="AV51" i="7"/>
  <c r="AU51" i="7"/>
  <c r="AV53" i="7"/>
  <c r="AU53" i="7"/>
  <c r="AV42" i="7"/>
  <c r="AU42" i="7"/>
  <c r="AV58" i="7"/>
  <c r="AU58" i="7"/>
  <c r="AV34" i="7"/>
  <c r="AU34" i="7"/>
  <c r="AV28" i="7"/>
  <c r="AU28" i="7"/>
  <c r="AV7" i="7"/>
  <c r="AU7" i="7"/>
  <c r="AV54" i="7"/>
  <c r="AU54" i="7"/>
  <c r="AV10" i="7"/>
  <c r="AU10" i="7"/>
  <c r="AV93" i="7"/>
  <c r="AU93" i="7"/>
  <c r="AV48" i="7"/>
  <c r="AU48" i="7"/>
  <c r="AV46" i="7"/>
  <c r="AU46" i="7"/>
  <c r="AV21" i="7"/>
  <c r="AU21" i="7"/>
  <c r="AV57" i="7"/>
  <c r="AU57" i="7"/>
  <c r="AV31" i="7"/>
  <c r="AU31" i="7"/>
  <c r="AV25" i="7"/>
  <c r="AU25" i="7"/>
  <c r="AV47" i="7"/>
  <c r="AU47" i="7"/>
  <c r="AV52" i="7"/>
  <c r="AU52" i="7"/>
  <c r="AV9" i="7"/>
  <c r="AU9" i="7"/>
  <c r="AV15" i="7"/>
  <c r="AU15" i="7"/>
  <c r="AV4" i="7"/>
  <c r="AU4" i="7"/>
  <c r="AV16" i="7"/>
  <c r="AU16" i="7"/>
  <c r="AV8" i="7"/>
  <c r="AU8" i="7"/>
  <c r="AV13" i="7"/>
  <c r="AU13" i="7"/>
  <c r="AV11" i="7"/>
  <c r="AU11" i="7"/>
  <c r="AV5" i="7"/>
  <c r="AU5" i="7"/>
  <c r="AV33" i="7"/>
  <c r="AU33" i="7"/>
  <c r="AV32" i="7"/>
  <c r="AU32" i="7"/>
  <c r="AV36" i="7"/>
  <c r="AU36" i="7"/>
  <c r="AV35" i="7"/>
  <c r="AU35" i="7"/>
  <c r="AV30" i="7"/>
  <c r="AU30" i="7"/>
  <c r="AV29" i="7"/>
  <c r="AU29" i="7"/>
  <c r="AV49" i="7"/>
  <c r="AU49" i="7"/>
  <c r="AV45" i="7"/>
  <c r="AU45" i="7"/>
  <c r="AV92" i="7"/>
  <c r="AU92" i="7"/>
  <c r="AV22" i="7"/>
  <c r="AU22" i="7"/>
  <c r="AV18" i="7"/>
  <c r="AU18" i="7"/>
  <c r="AV17" i="7"/>
  <c r="AU17" i="7"/>
  <c r="AV73" i="7"/>
  <c r="AU73" i="7"/>
  <c r="AV75" i="7"/>
  <c r="AU75" i="7"/>
  <c r="AV65" i="7"/>
  <c r="AU65" i="7"/>
  <c r="AV76" i="7"/>
  <c r="AU76" i="7"/>
  <c r="AV39" i="7"/>
  <c r="AU39" i="7"/>
  <c r="AV38" i="7"/>
  <c r="AU38" i="7"/>
  <c r="AV37" i="7"/>
  <c r="AU37" i="7"/>
  <c r="AV74" i="7"/>
  <c r="AU74" i="7"/>
  <c r="AV64" i="7"/>
  <c r="AU64" i="7"/>
  <c r="AV71" i="7"/>
  <c r="AU71" i="7"/>
  <c r="AV63" i="7"/>
  <c r="AU63" i="7"/>
  <c r="AV70" i="7"/>
  <c r="AU70" i="7"/>
  <c r="AV27" i="7"/>
  <c r="AU27" i="7"/>
  <c r="AV26" i="7"/>
  <c r="AU26" i="7"/>
  <c r="AV24" i="7"/>
  <c r="AU24" i="7"/>
  <c r="AV55" i="7"/>
  <c r="AU55" i="7"/>
  <c r="AV69" i="7"/>
  <c r="AU69" i="7"/>
  <c r="AV62" i="7"/>
  <c r="AU62" i="7"/>
  <c r="AV68" i="7"/>
  <c r="AU68" i="7"/>
  <c r="AV61" i="7"/>
  <c r="AU61" i="7"/>
  <c r="AV66" i="7"/>
  <c r="AU66" i="7"/>
  <c r="AV59" i="7"/>
  <c r="AU59" i="7"/>
  <c r="AV72" i="7"/>
  <c r="AU72" i="7"/>
  <c r="AV50" i="7"/>
  <c r="AU50" i="7"/>
  <c r="AV23" i="7"/>
  <c r="AU23" i="7"/>
  <c r="AV67" i="7"/>
  <c r="AU67" i="7"/>
  <c r="AV60" i="7"/>
  <c r="AU60" i="7"/>
  <c r="AV56" i="7"/>
  <c r="AU56" i="7"/>
  <c r="AV6" i="7"/>
  <c r="AU6" i="7"/>
  <c r="AV20" i="7"/>
  <c r="AU20" i="7"/>
  <c r="AV12" i="7"/>
  <c r="AU12" i="7"/>
  <c r="AV41" i="7"/>
  <c r="AU41" i="7"/>
  <c r="AV44" i="7"/>
  <c r="AU44" i="7"/>
  <c r="AV2" i="7"/>
  <c r="AU2" i="7"/>
  <c r="AV43" i="7"/>
  <c r="AU43" i="7"/>
  <c r="AV40" i="7"/>
  <c r="AU40" i="7"/>
  <c r="AV14" i="7"/>
  <c r="AU14" i="7"/>
  <c r="AV3" i="7"/>
  <c r="AU3" i="7"/>
  <c r="AV18" i="6"/>
  <c r="AU18" i="6"/>
  <c r="AV3" i="6"/>
  <c r="AU3" i="6"/>
  <c r="AV31" i="6"/>
  <c r="AU31" i="6"/>
  <c r="AV68" i="6"/>
  <c r="AU68" i="6"/>
  <c r="AV60" i="6"/>
  <c r="AU60" i="6"/>
  <c r="AV32" i="6"/>
  <c r="AU32" i="6"/>
  <c r="AV6" i="6"/>
  <c r="AU6" i="6"/>
  <c r="AV14" i="6"/>
  <c r="AU14" i="6"/>
  <c r="AV42" i="6"/>
  <c r="AU42" i="6"/>
  <c r="AV38" i="6"/>
  <c r="AU38" i="6"/>
  <c r="AV19" i="6"/>
  <c r="AU19" i="6"/>
  <c r="AV29" i="6"/>
  <c r="AU29" i="6"/>
  <c r="AV28" i="6"/>
  <c r="AU28" i="6"/>
  <c r="AV13" i="6"/>
  <c r="AU13" i="6"/>
  <c r="AV66" i="6"/>
  <c r="AU66" i="6"/>
  <c r="AV16" i="6"/>
  <c r="AU16" i="6"/>
  <c r="AV65" i="6"/>
  <c r="AU65" i="6"/>
  <c r="AV64" i="6"/>
  <c r="AU64" i="6"/>
  <c r="AV63" i="6"/>
  <c r="AU63" i="6"/>
  <c r="AV15" i="6"/>
  <c r="AU15" i="6"/>
  <c r="AV55" i="6"/>
  <c r="AU55" i="6"/>
  <c r="AV54" i="6"/>
  <c r="AU54" i="6"/>
  <c r="AV53" i="6"/>
  <c r="AU53" i="6"/>
  <c r="AV52" i="6"/>
  <c r="AU52" i="6"/>
  <c r="AV51" i="6"/>
  <c r="AU51" i="6"/>
  <c r="AV50" i="6"/>
  <c r="AU50" i="6"/>
  <c r="AV44" i="6"/>
  <c r="AU44" i="6"/>
  <c r="AV47" i="6"/>
  <c r="AU47" i="6"/>
  <c r="AV49" i="6"/>
  <c r="AU49" i="6"/>
  <c r="AV59" i="6"/>
  <c r="AU59" i="6"/>
  <c r="AV12" i="6"/>
  <c r="AU12" i="6"/>
  <c r="AV56" i="6"/>
  <c r="AU56" i="6"/>
  <c r="AV69" i="6"/>
  <c r="AU69" i="6"/>
  <c r="AV43" i="6"/>
  <c r="AU43" i="6"/>
  <c r="AV62" i="6"/>
  <c r="AU62" i="6"/>
  <c r="AV61" i="6"/>
  <c r="AU61" i="6"/>
  <c r="AV58" i="6"/>
  <c r="AU58" i="6"/>
  <c r="AV57" i="6"/>
  <c r="AU57" i="6"/>
  <c r="AV25" i="6"/>
  <c r="AU25" i="6"/>
  <c r="AV22" i="6"/>
  <c r="AU22" i="6"/>
  <c r="AV67" i="6"/>
  <c r="AU67" i="6"/>
  <c r="AV39" i="6"/>
  <c r="AU39" i="6"/>
  <c r="AV24" i="6"/>
  <c r="AU24" i="6"/>
  <c r="AV23" i="6"/>
  <c r="AU23" i="6"/>
  <c r="AV20" i="6"/>
  <c r="AU20" i="6"/>
  <c r="AV12" i="5"/>
  <c r="AU12" i="5"/>
  <c r="AV3" i="5"/>
  <c r="AU3" i="5"/>
  <c r="AV2" i="5"/>
  <c r="AU2" i="5"/>
  <c r="AV25" i="5"/>
  <c r="AU25" i="5"/>
  <c r="AV23" i="5"/>
  <c r="AU23" i="5"/>
  <c r="AV27" i="5"/>
  <c r="AU27" i="5"/>
  <c r="AV26" i="5"/>
  <c r="AU26" i="5"/>
  <c r="AV11" i="5"/>
  <c r="AU11" i="5"/>
  <c r="AV4" i="5"/>
  <c r="AU4" i="5"/>
  <c r="AV14" i="5"/>
  <c r="AU14" i="5"/>
  <c r="AV34" i="5"/>
  <c r="AU34" i="5"/>
  <c r="AV22" i="5"/>
  <c r="AU22" i="5"/>
  <c r="AV39" i="5"/>
  <c r="AU39" i="5"/>
  <c r="AV33" i="5"/>
  <c r="AU33" i="5"/>
  <c r="AV21" i="5"/>
  <c r="AU21" i="5"/>
  <c r="AV38" i="5"/>
  <c r="AU38" i="5"/>
  <c r="AV32" i="5"/>
  <c r="AU32" i="5"/>
  <c r="AV20" i="5"/>
  <c r="AU20" i="5"/>
  <c r="AV37" i="5"/>
  <c r="AU37" i="5"/>
  <c r="AV31" i="5"/>
  <c r="AU31" i="5"/>
  <c r="AV19" i="5"/>
  <c r="AU19" i="5"/>
  <c r="AV18" i="5"/>
  <c r="AU18" i="5"/>
  <c r="AV36" i="5"/>
  <c r="AU36" i="5"/>
  <c r="AV30" i="5"/>
  <c r="AU30" i="5"/>
  <c r="AV17" i="5"/>
  <c r="AU17" i="5"/>
  <c r="AV35" i="5"/>
  <c r="AU35" i="5"/>
  <c r="AV24" i="5"/>
  <c r="AU24" i="5"/>
  <c r="AV16" i="5"/>
  <c r="AU16" i="5"/>
  <c r="AV29" i="5"/>
  <c r="AU29" i="5"/>
  <c r="AV6" i="5"/>
  <c r="AU6" i="5"/>
  <c r="AV28" i="5"/>
  <c r="AU28" i="5"/>
  <c r="AV13" i="4"/>
  <c r="AU13" i="4"/>
  <c r="AV11" i="4"/>
  <c r="AU11" i="4"/>
  <c r="AV6" i="4"/>
  <c r="AU6" i="4"/>
  <c r="AV10" i="4"/>
  <c r="AU10" i="4"/>
  <c r="AV9" i="4"/>
  <c r="AU9" i="4"/>
  <c r="AV8" i="4"/>
  <c r="AU8" i="4"/>
  <c r="AV5" i="4"/>
  <c r="AU5" i="4"/>
  <c r="AV2" i="4"/>
  <c r="AU2" i="4"/>
  <c r="AV16" i="4"/>
  <c r="AU16" i="4"/>
  <c r="AV14" i="4"/>
  <c r="AU14" i="4"/>
  <c r="AV3" i="4"/>
  <c r="AU3" i="4"/>
  <c r="AV12" i="4"/>
  <c r="AU12" i="4"/>
  <c r="AV7" i="4"/>
  <c r="AU7" i="4"/>
  <c r="AV4" i="4"/>
  <c r="AU4" i="4"/>
  <c r="AV17" i="4"/>
  <c r="AU17" i="4"/>
  <c r="AV15" i="4"/>
  <c r="AU15" i="4"/>
  <c r="AV18" i="3"/>
  <c r="AU18" i="3"/>
  <c r="AV22" i="3"/>
  <c r="AU22" i="3"/>
  <c r="AV17" i="3"/>
  <c r="AU17" i="3"/>
  <c r="AV20" i="3"/>
  <c r="AU20" i="3"/>
  <c r="AV14" i="3"/>
  <c r="AU14" i="3"/>
  <c r="AV13" i="3"/>
  <c r="AU13" i="3"/>
  <c r="AV12" i="3"/>
  <c r="AU12" i="3"/>
  <c r="AV11" i="3"/>
  <c r="AU11" i="3"/>
  <c r="AV10" i="3"/>
  <c r="AU10" i="3"/>
  <c r="AV16" i="3"/>
  <c r="AU16" i="3"/>
  <c r="AV28" i="3"/>
  <c r="AU28" i="3"/>
  <c r="AV34" i="3"/>
  <c r="AU34" i="3"/>
  <c r="AV33" i="3"/>
  <c r="AU33" i="3"/>
  <c r="AV32" i="3"/>
  <c r="AU32" i="3"/>
  <c r="AV26" i="3"/>
  <c r="AU26" i="3"/>
  <c r="AV24" i="3"/>
  <c r="AU24" i="3"/>
  <c r="AV49" i="3"/>
  <c r="AU49" i="3"/>
  <c r="AV21" i="3"/>
  <c r="AU21" i="3"/>
  <c r="AV51" i="3"/>
  <c r="AU51" i="3"/>
  <c r="AV9" i="3"/>
  <c r="AU9" i="3"/>
  <c r="AV8" i="3"/>
  <c r="AU8" i="3"/>
  <c r="AV7" i="3"/>
  <c r="AU7" i="3"/>
  <c r="AV23" i="3"/>
  <c r="AU23" i="3"/>
  <c r="AV6" i="3"/>
  <c r="AU6" i="3"/>
  <c r="AV48" i="3"/>
  <c r="AU48" i="3"/>
  <c r="AV5" i="3"/>
  <c r="AU5" i="3"/>
  <c r="AV4" i="3"/>
  <c r="AU4" i="3"/>
  <c r="AV3" i="3"/>
  <c r="AU3" i="3"/>
  <c r="AV2" i="3"/>
  <c r="AU2" i="3"/>
  <c r="AV55" i="3"/>
  <c r="AU55" i="3"/>
  <c r="AV47" i="3"/>
  <c r="AU47" i="3"/>
  <c r="AV44" i="3"/>
  <c r="AU44" i="3"/>
  <c r="AV41" i="3"/>
  <c r="AU41" i="3"/>
  <c r="AV38" i="3"/>
  <c r="AU38" i="3"/>
  <c r="AV27" i="3"/>
  <c r="AU27" i="3"/>
  <c r="AV31" i="3"/>
  <c r="AU31" i="3"/>
  <c r="AV30" i="3"/>
  <c r="AU30" i="3"/>
  <c r="AV29" i="3"/>
  <c r="AU29" i="3"/>
  <c r="AV25" i="3"/>
  <c r="AU25" i="3"/>
  <c r="AV54" i="3"/>
  <c r="AU54" i="3"/>
  <c r="AV46" i="3"/>
  <c r="AU46" i="3"/>
  <c r="AV43" i="3"/>
  <c r="AU43" i="3"/>
  <c r="AV40" i="3"/>
  <c r="AU40" i="3"/>
  <c r="AV37" i="3"/>
  <c r="AU37" i="3"/>
  <c r="AV50" i="3"/>
  <c r="AU50" i="3"/>
  <c r="AV52" i="3"/>
  <c r="AU52" i="3"/>
  <c r="AV53" i="3"/>
  <c r="AU53" i="3"/>
  <c r="AV45" i="3"/>
  <c r="AU45" i="3"/>
  <c r="AV42" i="3"/>
  <c r="AU42" i="3"/>
  <c r="AV39" i="3"/>
  <c r="AU39" i="3"/>
  <c r="AV36" i="3"/>
  <c r="AU36" i="3"/>
  <c r="AV35" i="3"/>
  <c r="AU35" i="3"/>
  <c r="AV19" i="3"/>
  <c r="AU19" i="3"/>
  <c r="AV15" i="3"/>
  <c r="AU15" i="3"/>
  <c r="AV34" i="2"/>
  <c r="AU34" i="2"/>
  <c r="AV29" i="2"/>
  <c r="AU29" i="2"/>
  <c r="AV32" i="2"/>
  <c r="AU32" i="2"/>
  <c r="AV33" i="2"/>
  <c r="AU33" i="2"/>
  <c r="AV14" i="2"/>
  <c r="AU14" i="2"/>
  <c r="AV37" i="2"/>
  <c r="AU37" i="2"/>
  <c r="AV27" i="2"/>
  <c r="AU27" i="2"/>
  <c r="AV24" i="2"/>
  <c r="AU24" i="2"/>
  <c r="AV25" i="2"/>
  <c r="AU25" i="2"/>
  <c r="AV9" i="2"/>
  <c r="AU9" i="2"/>
  <c r="AV28" i="2"/>
  <c r="AU28" i="2"/>
  <c r="AV17" i="2"/>
  <c r="AU17" i="2"/>
  <c r="AV22" i="2"/>
  <c r="AU22" i="2"/>
  <c r="AV8" i="2"/>
  <c r="AU8" i="2"/>
  <c r="AV21" i="2"/>
  <c r="AU21" i="2"/>
  <c r="AV4" i="2"/>
  <c r="AU4" i="2"/>
  <c r="AV13" i="2"/>
  <c r="AU13" i="2"/>
  <c r="AV16" i="2"/>
  <c r="AU16" i="2"/>
  <c r="AV5" i="2"/>
  <c r="AU5" i="2"/>
  <c r="AV31" i="2"/>
  <c r="AU31" i="2"/>
  <c r="AV30" i="2"/>
  <c r="AU30" i="2"/>
  <c r="AV41" i="2"/>
  <c r="AU41" i="2"/>
  <c r="AV36" i="2"/>
  <c r="AU36" i="2"/>
  <c r="AV23" i="2"/>
  <c r="AU23" i="2"/>
  <c r="AV20" i="2"/>
  <c r="AU20" i="2"/>
  <c r="AV19" i="2"/>
  <c r="AU19" i="2"/>
  <c r="AV3" i="2"/>
  <c r="AU3" i="2"/>
  <c r="AV12" i="2"/>
  <c r="AU12" i="2"/>
  <c r="AV26" i="2"/>
  <c r="AU26" i="2"/>
  <c r="AV42" i="2"/>
  <c r="AU42" i="2"/>
  <c r="AV35" i="2"/>
  <c r="AU35" i="2"/>
  <c r="AV38" i="2"/>
  <c r="AU38" i="2"/>
  <c r="AV43" i="2"/>
  <c r="AU43" i="2"/>
  <c r="AV40" i="2"/>
  <c r="AU40" i="2"/>
  <c r="AV18" i="2"/>
  <c r="AU18" i="2"/>
  <c r="AV39" i="2"/>
  <c r="AU39" i="2"/>
  <c r="AV11" i="2"/>
  <c r="AU11" i="2"/>
  <c r="AV15" i="2"/>
  <c r="AU15" i="2"/>
  <c r="AV6" i="2"/>
  <c r="AU6" i="2"/>
  <c r="AV2" i="2"/>
  <c r="AU2" i="2"/>
  <c r="AV10" i="2"/>
  <c r="AU10" i="2"/>
  <c r="AV4" i="1"/>
  <c r="AU4" i="1"/>
  <c r="AV15" i="1"/>
  <c r="AU15" i="1"/>
  <c r="AV46" i="1"/>
  <c r="AU46" i="1"/>
  <c r="AV12" i="1"/>
  <c r="AU12" i="1"/>
  <c r="AV14" i="1"/>
  <c r="AU14" i="1"/>
  <c r="AV19" i="1"/>
  <c r="AU19" i="1"/>
  <c r="AV18" i="1"/>
  <c r="AU18" i="1"/>
  <c r="AV45" i="1"/>
  <c r="AU45" i="1"/>
  <c r="AV17" i="1"/>
  <c r="AU17" i="1"/>
  <c r="AV30" i="1"/>
  <c r="AU30" i="1"/>
  <c r="AV10" i="1"/>
  <c r="AU10" i="1"/>
  <c r="AV9" i="1"/>
  <c r="AU9" i="1"/>
  <c r="AV2" i="1"/>
  <c r="AU2" i="1"/>
  <c r="AV6" i="1"/>
  <c r="AU6" i="1"/>
  <c r="AV5" i="1"/>
  <c r="AU5" i="1"/>
  <c r="AV29" i="1"/>
  <c r="AU29" i="1"/>
  <c r="AV43" i="1"/>
  <c r="AU43" i="1"/>
  <c r="AV40" i="1"/>
  <c r="AU40" i="1"/>
  <c r="AV36" i="1"/>
  <c r="AU36" i="1"/>
  <c r="AV39" i="1"/>
  <c r="AU39" i="1"/>
  <c r="AV28" i="1"/>
  <c r="AU28" i="1"/>
  <c r="AV35" i="1"/>
  <c r="AU35" i="1"/>
  <c r="AV34" i="1"/>
  <c r="AU34" i="1"/>
  <c r="AV33" i="1"/>
  <c r="AU33" i="1"/>
  <c r="AV8" i="1"/>
  <c r="AU8" i="1"/>
  <c r="AV7" i="1"/>
  <c r="AU7" i="1"/>
  <c r="AV42" i="1"/>
  <c r="AU42" i="1"/>
  <c r="AV38" i="1"/>
  <c r="AU38" i="1"/>
  <c r="AV32" i="1"/>
  <c r="AU32" i="1"/>
  <c r="AV31" i="1"/>
  <c r="AU31" i="1"/>
  <c r="AV44" i="1"/>
  <c r="AU44" i="1"/>
  <c r="AV37" i="1"/>
  <c r="AU37" i="1"/>
  <c r="AV41" i="1"/>
  <c r="AU41" i="1"/>
  <c r="AV13" i="1"/>
  <c r="AU13" i="1"/>
  <c r="AV27" i="1"/>
  <c r="AU27" i="1"/>
  <c r="AV25" i="1"/>
  <c r="AU25" i="1"/>
  <c r="AV24" i="1"/>
  <c r="AU24" i="1"/>
  <c r="AV23" i="1"/>
  <c r="AU23" i="1"/>
  <c r="AV22" i="1"/>
  <c r="AU22" i="1"/>
  <c r="AV3" i="1"/>
  <c r="AU3" i="1"/>
  <c r="AV26" i="1"/>
  <c r="AU26" i="1"/>
  <c r="AV16" i="1"/>
  <c r="AU16" i="1"/>
  <c r="AV11" i="1"/>
  <c r="AU11" i="1"/>
</calcChain>
</file>

<file path=xl/sharedStrings.xml><?xml version="1.0" encoding="utf-8"?>
<sst xmlns="http://schemas.openxmlformats.org/spreadsheetml/2006/main" count="18873" uniqueCount="3617">
  <si>
    <t>Don {not in Banner}</t>
  </si>
  <si>
    <t>Mismatching {not in Banner}</t>
  </si>
  <si>
    <t>Dept/Prog Admin {not in Banner}</t>
  </si>
  <si>
    <t>Mona {not in Banner}</t>
  </si>
  <si>
    <t>Karen {not in Banner}</t>
  </si>
  <si>
    <t>DONE {not in Banner}</t>
  </si>
  <si>
    <t>Notes {not in Banner}</t>
  </si>
  <si>
    <t>CRN sorted {not in Banner}</t>
  </si>
  <si>
    <t>CRN</t>
  </si>
  <si>
    <t>Subject</t>
  </si>
  <si>
    <t>Course Number {Crse Num}</t>
  </si>
  <si>
    <t>Course Section {Seq Crse Num}</t>
  </si>
  <si>
    <t>Program {not in Banner}</t>
  </si>
  <si>
    <t>Catalog Title</t>
  </si>
  <si>
    <t>Section Title</t>
  </si>
  <si>
    <t>Crosslist Details {not in Banner}</t>
  </si>
  <si>
    <t>X Lst</t>
  </si>
  <si>
    <t>Campus {Ssasect Campus}</t>
  </si>
  <si>
    <t>Campus Restriction {Camp Restr CC}</t>
  </si>
  <si>
    <t>Schedule Type {not in Banner}</t>
  </si>
  <si>
    <t>Instruction Method {Inst Method}</t>
  </si>
  <si>
    <t>Level {Level SC}</t>
  </si>
  <si>
    <t>Credit Catalog {Cat Crs}</t>
  </si>
  <si>
    <t>Credits {Sect Crs}</t>
  </si>
  <si>
    <t>Enrollment Cap {Max Enrl}</t>
  </si>
  <si>
    <t>Meeting Type</t>
  </si>
  <si>
    <t>Semester Start Date {Soaterm Start Date}</t>
  </si>
  <si>
    <t>Pre-work Start Date {not in Banner}</t>
  </si>
  <si>
    <t>Pre-work End Date {not in Banner}</t>
  </si>
  <si>
    <t>Course Start Date {Meet Start Date}</t>
  </si>
  <si>
    <t>Course End Date {Meet End Date}</t>
  </si>
  <si>
    <t>Post-work Start Date {not in Banner}</t>
  </si>
  <si>
    <t>Post-work End Date {not in Banner}</t>
  </si>
  <si>
    <t>Semester End Date {Soaterm End Date}</t>
  </si>
  <si>
    <t>Course Beginning Time {Meet Beg Time}</t>
  </si>
  <si>
    <t>Course Ending Time {Meet End Time}</t>
  </si>
  <si>
    <t>SUN</t>
  </si>
  <si>
    <t>MON</t>
  </si>
  <si>
    <t>TUE</t>
  </si>
  <si>
    <t>WED</t>
  </si>
  <si>
    <t>THU</t>
  </si>
  <si>
    <t>FRI</t>
  </si>
  <si>
    <t>SAT</t>
  </si>
  <si>
    <t>Room {Meet Room}</t>
  </si>
  <si>
    <t>Building {Meet Bldg}</t>
  </si>
  <si>
    <t>Instructor Name {Instr Name}</t>
  </si>
  <si>
    <t>Instructor Email {Instr Email}</t>
  </si>
  <si>
    <t>Instructor ID {Instr ID}</t>
  </si>
  <si>
    <t>% Responsibility</t>
  </si>
  <si>
    <t>load/contract {not in Banner}</t>
  </si>
  <si>
    <t>costs per credit {not in Banner}</t>
  </si>
  <si>
    <t>total costs {not in Banner}</t>
  </si>
  <si>
    <t>account to be charged {not in Banner}</t>
  </si>
  <si>
    <t>Fee Amount {Fees Amt}</t>
  </si>
  <si>
    <t>Fee Code {Detl Code}</t>
  </si>
  <si>
    <t>Fee Type</t>
  </si>
  <si>
    <t>Fee Level</t>
  </si>
  <si>
    <t>Fee Ind</t>
  </si>
  <si>
    <t>Fee Term</t>
  </si>
  <si>
    <t>SEM Department {Scacrse Dept}</t>
  </si>
  <si>
    <t>Activity Date</t>
  </si>
  <si>
    <t>Status</t>
  </si>
  <si>
    <t>Bill Hrs</t>
  </si>
  <si>
    <t>Sect Sch Type</t>
  </si>
  <si>
    <t>Prerequisites {Preq Areas}</t>
  </si>
  <si>
    <t>Link Ind</t>
  </si>
  <si>
    <t>Integration Code</t>
  </si>
  <si>
    <t>Link Conn</t>
  </si>
  <si>
    <t>Crs Attr</t>
  </si>
  <si>
    <t>Comments</t>
  </si>
  <si>
    <t>Major Restr</t>
  </si>
  <si>
    <t>Scacrse College</t>
  </si>
  <si>
    <t>Enrolled</t>
  </si>
  <si>
    <t>Waitlist Capacity</t>
  </si>
  <si>
    <t>Primary Ind</t>
  </si>
  <si>
    <t>Override</t>
  </si>
  <si>
    <t>1st Date Reg Opens</t>
  </si>
  <si>
    <t>Last Date Reg Opens</t>
  </si>
  <si>
    <t>OL Range From Date</t>
  </si>
  <si>
    <t>OL Range To Date</t>
  </si>
  <si>
    <t>OL Numb Units</t>
  </si>
  <si>
    <t>OL Duration Code</t>
  </si>
  <si>
    <t>Grade Mode</t>
  </si>
  <si>
    <t>Gradable Ind</t>
  </si>
  <si>
    <t>Tuit Waiver</t>
  </si>
  <si>
    <t>Course Override {Meet Override}</t>
  </si>
  <si>
    <t>Lvl Res Ind</t>
  </si>
  <si>
    <t>Cmp Res Ind</t>
  </si>
  <si>
    <t>Rate Code</t>
  </si>
  <si>
    <t>Cohort Code</t>
  </si>
  <si>
    <t>St Attr Code</t>
  </si>
  <si>
    <t>Coll SC</t>
  </si>
  <si>
    <t>DegC SC</t>
  </si>
  <si>
    <t>Prog SC</t>
  </si>
  <si>
    <t>FOS Type</t>
  </si>
  <si>
    <t>Special Approval {Special Apvl}</t>
  </si>
  <si>
    <t>Weeks</t>
  </si>
  <si>
    <t>Term Code</t>
  </si>
  <si>
    <t>Part-Of-Term</t>
  </si>
  <si>
    <t>Camp SC</t>
  </si>
  <si>
    <t>add FP Online Fee</t>
  </si>
  <si>
    <t>3980-02</t>
  </si>
  <si>
    <t>3980</t>
  </si>
  <si>
    <t>CHIS</t>
  </si>
  <si>
    <t>506</t>
  </si>
  <si>
    <t>998</t>
  </si>
  <si>
    <t>Church History to 1500</t>
  </si>
  <si>
    <t>242</t>
  </si>
  <si>
    <t>7</t>
  </si>
  <si>
    <t>Int, Online</t>
  </si>
  <si>
    <t>SYNC</t>
  </si>
  <si>
    <t>FP</t>
  </si>
  <si>
    <t>2,3</t>
  </si>
  <si>
    <t>25</t>
  </si>
  <si>
    <t>WEB</t>
  </si>
  <si>
    <t>24-AUG-26</t>
  </si>
  <si>
    <t>10-DEC-26</t>
  </si>
  <si>
    <t>1430</t>
  </si>
  <si>
    <t>1720</t>
  </si>
  <si>
    <t>M</t>
  </si>
  <si>
    <t>Reeve, John W.</t>
  </si>
  <si>
    <t>100</t>
  </si>
  <si>
    <t>load</t>
  </si>
  <si>
    <t>CHIS: 11-1100-9120-70</t>
  </si>
  <si>
    <t>16-MAR-26</t>
  </si>
  <si>
    <t>A</t>
  </si>
  <si>
    <t>N</t>
  </si>
  <si>
    <t>MOODL</t>
  </si>
  <si>
    <t>70</t>
  </si>
  <si>
    <t>0</t>
  </si>
  <si>
    <t>Y</t>
  </si>
  <si>
    <t>O</t>
  </si>
  <si>
    <t>15</t>
  </si>
  <si>
    <t>202641</t>
  </si>
  <si>
    <t>1</t>
  </si>
  <si>
    <t>538-02</t>
  </si>
  <si>
    <t>538</t>
  </si>
  <si>
    <t>001</t>
  </si>
  <si>
    <t>Church Hist to 1500</t>
  </si>
  <si>
    <t>Lecture</t>
  </si>
  <si>
    <t>INPERSON</t>
  </si>
  <si>
    <t>40</t>
  </si>
  <si>
    <t>CLAS</t>
  </si>
  <si>
    <t>N110</t>
  </si>
  <si>
    <t>Seminary Building [SEM]</t>
  </si>
  <si>
    <t>99</t>
  </si>
  <si>
    <t>16</t>
  </si>
  <si>
    <t>####</t>
  </si>
  <si>
    <t>999</t>
  </si>
  <si>
    <t>ASYNC</t>
  </si>
  <si>
    <t>2</t>
  </si>
  <si>
    <t>30</t>
  </si>
  <si>
    <t>Instructor, add FP Online Fee</t>
  </si>
  <si>
    <t>1361-02</t>
  </si>
  <si>
    <t>1361</t>
  </si>
  <si>
    <t>570</t>
  </si>
  <si>
    <t>Hist of the SDA Church</t>
  </si>
  <si>
    <t>1.5,2</t>
  </si>
  <si>
    <t>1.5</t>
  </si>
  <si>
    <t>Garcia Zarate, Heber E.</t>
  </si>
  <si>
    <t>contract</t>
  </si>
  <si>
    <t>1000</t>
  </si>
  <si>
    <t>1362-02</t>
  </si>
  <si>
    <t>1362</t>
  </si>
  <si>
    <t>571</t>
  </si>
  <si>
    <t>Life &amp; Wr. of EGW</t>
  </si>
  <si>
    <t>Steger, Walter E.</t>
  </si>
  <si>
    <t>ADVN</t>
  </si>
  <si>
    <t>3987-02</t>
  </si>
  <si>
    <t>3987</t>
  </si>
  <si>
    <t>612</t>
  </si>
  <si>
    <t>Intro to Ecc Latin</t>
  </si>
  <si>
    <t>249</t>
  </si>
  <si>
    <t>3</t>
  </si>
  <si>
    <t>12</t>
  </si>
  <si>
    <t>0830</t>
  </si>
  <si>
    <t>1020</t>
  </si>
  <si>
    <t>W</t>
  </si>
  <si>
    <t>N108</t>
  </si>
  <si>
    <t>Kaiser, Angelika</t>
  </si>
  <si>
    <t>1050</t>
  </si>
  <si>
    <t>LLIT</t>
  </si>
  <si>
    <t>3987-04</t>
  </si>
  <si>
    <t>3988-02</t>
  </si>
  <si>
    <t>3988</t>
  </si>
  <si>
    <t>3988-04</t>
  </si>
  <si>
    <t>Instructor</t>
  </si>
  <si>
    <t>463-02</t>
  </si>
  <si>
    <t>463</t>
  </si>
  <si>
    <t>624</t>
  </si>
  <si>
    <t>Issues in Ellen White Studies</t>
  </si>
  <si>
    <t>CHIS624-001/CHIS885-001</t>
  </si>
  <si>
    <t>077</t>
  </si>
  <si>
    <t>45</t>
  </si>
  <si>
    <t>1620</t>
  </si>
  <si>
    <t>N150</t>
  </si>
  <si>
    <t>Staff</t>
  </si>
  <si>
    <t>P-CHIS624</t>
  </si>
  <si>
    <t>THEO</t>
  </si>
  <si>
    <t>###</t>
  </si>
  <si>
    <t>645</t>
  </si>
  <si>
    <t>Seminar in Adv Studies</t>
  </si>
  <si>
    <t>CHIS645-001/CHIS944-101</t>
  </si>
  <si>
    <t>5</t>
  </si>
  <si>
    <t>Rodrigues, Gerson C.</t>
  </si>
  <si>
    <t>3177-02</t>
  </si>
  <si>
    <t>3177</t>
  </si>
  <si>
    <t>660</t>
  </si>
  <si>
    <t>Hist of Religion in America</t>
  </si>
  <si>
    <t>CHIS660-001/CHIS660-002/CHIS880-001</t>
  </si>
  <si>
    <t>164</t>
  </si>
  <si>
    <t>T</t>
  </si>
  <si>
    <t>N235</t>
  </si>
  <si>
    <t>O'Reggio, Trevor E.</t>
  </si>
  <si>
    <t>ADVN,CH2,US1,US2</t>
  </si>
  <si>
    <t>4661</t>
  </si>
  <si>
    <t>002</t>
  </si>
  <si>
    <t>10</t>
  </si>
  <si>
    <t>674</t>
  </si>
  <si>
    <t>Dev of SDA Theology</t>
  </si>
  <si>
    <t>CHIS674-001/CHIS674-002/CHIS885-002</t>
  </si>
  <si>
    <t>R</t>
  </si>
  <si>
    <t>487-02</t>
  </si>
  <si>
    <t>487</t>
  </si>
  <si>
    <t>288</t>
  </si>
  <si>
    <t>P-CHIS674</t>
  </si>
  <si>
    <t>ADVN,THEO</t>
  </si>
  <si>
    <t>Seminar in Adventist Studies</t>
  </si>
  <si>
    <t>CHIS685-001/CHIS944-001</t>
  </si>
  <si>
    <t>685</t>
  </si>
  <si>
    <t>Hist &amp; Theo of Adv Worship</t>
  </si>
  <si>
    <t>CHIS685-002/CHIS685-003/PATH654-001</t>
  </si>
  <si>
    <t>S120</t>
  </si>
  <si>
    <t>Williams, David A.</t>
  </si>
  <si>
    <t>003</t>
  </si>
  <si>
    <t>Seminar in Church History</t>
  </si>
  <si>
    <t>CHIS685-998/CHIS940-998</t>
  </si>
  <si>
    <t>1120</t>
  </si>
  <si>
    <t>940</t>
  </si>
  <si>
    <t>DO</t>
  </si>
  <si>
    <t>Remove Title</t>
  </si>
  <si>
    <t>881-02</t>
  </si>
  <si>
    <t>881</t>
  </si>
  <si>
    <t>690</t>
  </si>
  <si>
    <t>104</t>
  </si>
  <si>
    <t>Ind St:</t>
  </si>
  <si>
    <t>Independent</t>
  </si>
  <si>
    <t>1-3</t>
  </si>
  <si>
    <t>Hernandez, Abner F.</t>
  </si>
  <si>
    <t>I</t>
  </si>
  <si>
    <t>1012-02</t>
  </si>
  <si>
    <t>1012</t>
  </si>
  <si>
    <t>102</t>
  </si>
  <si>
    <t>1041-02</t>
  </si>
  <si>
    <t>1041</t>
  </si>
  <si>
    <t>101</t>
  </si>
  <si>
    <t>2068-02</t>
  </si>
  <si>
    <t>2068</t>
  </si>
  <si>
    <t>105</t>
  </si>
  <si>
    <t>Kaiser, Denis</t>
  </si>
  <si>
    <t>Add Title</t>
  </si>
  <si>
    <t>535-02</t>
  </si>
  <si>
    <t>535</t>
  </si>
  <si>
    <t>880</t>
  </si>
  <si>
    <t>Topics in Church History:</t>
  </si>
  <si>
    <t>2071-02</t>
  </si>
  <si>
    <t>2071</t>
  </si>
  <si>
    <t>885</t>
  </si>
  <si>
    <t>4303-02</t>
  </si>
  <si>
    <t>4303</t>
  </si>
  <si>
    <t>Topics in Adv St</t>
  </si>
  <si>
    <t>Deactivate</t>
  </si>
  <si>
    <t>4343-02</t>
  </si>
  <si>
    <t>4343</t>
  </si>
  <si>
    <t>Topics in</t>
  </si>
  <si>
    <t>Topics Grt Cont, Cov, Law, Sab</t>
  </si>
  <si>
    <t>274</t>
  </si>
  <si>
    <t>1330</t>
  </si>
  <si>
    <t>1520</t>
  </si>
  <si>
    <t>Davidson, Richard M.</t>
  </si>
  <si>
    <t>4305-02</t>
  </si>
  <si>
    <t>4305</t>
  </si>
  <si>
    <t>997</t>
  </si>
  <si>
    <t>Top: Theological Ethics</t>
  </si>
  <si>
    <t>272</t>
  </si>
  <si>
    <t>NAME NOT FOUND FOR PIDM:</t>
  </si>
  <si>
    <t>3981-02</t>
  </si>
  <si>
    <t>3981</t>
  </si>
  <si>
    <t>890</t>
  </si>
  <si>
    <t>Directed Rdg in Church History</t>
  </si>
  <si>
    <t>1-6</t>
  </si>
  <si>
    <t>3982-02</t>
  </si>
  <si>
    <t>3982</t>
  </si>
  <si>
    <t>4300-02</t>
  </si>
  <si>
    <t>4300</t>
  </si>
  <si>
    <t>4301-02</t>
  </si>
  <si>
    <t>4301</t>
  </si>
  <si>
    <t>103</t>
  </si>
  <si>
    <t>4302-02</t>
  </si>
  <si>
    <t>4302</t>
  </si>
  <si>
    <t>4319-02</t>
  </si>
  <si>
    <t>4319</t>
  </si>
  <si>
    <t>106</t>
  </si>
  <si>
    <t>3581-02</t>
  </si>
  <si>
    <t>3581</t>
  </si>
  <si>
    <t>891</t>
  </si>
  <si>
    <t>3983-02</t>
  </si>
  <si>
    <t>3983</t>
  </si>
  <si>
    <t>4304-02</t>
  </si>
  <si>
    <t>4304</t>
  </si>
  <si>
    <t>4320-02</t>
  </si>
  <si>
    <t>4320</t>
  </si>
  <si>
    <t>3574-02</t>
  </si>
  <si>
    <t>3574</t>
  </si>
  <si>
    <t>892</t>
  </si>
  <si>
    <t>IT</t>
  </si>
  <si>
    <t>3984-02</t>
  </si>
  <si>
    <t>3984</t>
  </si>
  <si>
    <t>4321-02</t>
  </si>
  <si>
    <t>4321</t>
  </si>
  <si>
    <t>Fortin, Denis</t>
  </si>
  <si>
    <t>3589-02</t>
  </si>
  <si>
    <t>3589</t>
  </si>
  <si>
    <t>895</t>
  </si>
  <si>
    <t>Directed Rdg Adventist Studies</t>
  </si>
  <si>
    <t>944</t>
  </si>
  <si>
    <t>Seminar</t>
  </si>
  <si>
    <t>492-02</t>
  </si>
  <si>
    <t>492</t>
  </si>
  <si>
    <t>DSLE</t>
  </si>
  <si>
    <t>503</t>
  </si>
  <si>
    <t>Marriage, Family &amp; IPR</t>
  </si>
  <si>
    <t>35</t>
  </si>
  <si>
    <t>S340</t>
  </si>
  <si>
    <t>Fraser, Jasmine J.</t>
  </si>
  <si>
    <t>3978-02</t>
  </si>
  <si>
    <t>3978</t>
  </si>
  <si>
    <t>DSLE 503-001/503-999</t>
  </si>
  <si>
    <t>198</t>
  </si>
  <si>
    <t>1830</t>
  </si>
  <si>
    <t>2020</t>
  </si>
  <si>
    <t>Joseph, Ainsworth E.</t>
  </si>
  <si>
    <t>1408-02</t>
  </si>
  <si>
    <t>1408</t>
  </si>
  <si>
    <t>X-list</t>
  </si>
  <si>
    <t>Campus Restriction, cap,online fee</t>
  </si>
  <si>
    <t>482-02</t>
  </si>
  <si>
    <t>482</t>
  </si>
  <si>
    <t>x-list</t>
  </si>
  <si>
    <t>ES12</t>
  </si>
  <si>
    <t>BILL</t>
  </si>
  <si>
    <t>PTDI</t>
  </si>
  <si>
    <t>Remove x list</t>
  </si>
  <si>
    <t>495-02</t>
  </si>
  <si>
    <t>495</t>
  </si>
  <si>
    <t>534</t>
  </si>
  <si>
    <t>Ministry to Y &amp; YA</t>
  </si>
  <si>
    <t>1030</t>
  </si>
  <si>
    <t>1220</t>
  </si>
  <si>
    <t>Paquini, Rogelio</t>
  </si>
  <si>
    <t>555-02</t>
  </si>
  <si>
    <t>555</t>
  </si>
  <si>
    <t>Delete Section</t>
  </si>
  <si>
    <t>2112-02</t>
  </si>
  <si>
    <t>2112</t>
  </si>
  <si>
    <t>Ministry to Youth&amp;Yng Adlt</t>
  </si>
  <si>
    <t>0930</t>
  </si>
  <si>
    <t>3989-02</t>
  </si>
  <si>
    <t>3989</t>
  </si>
  <si>
    <t>477-02</t>
  </si>
  <si>
    <t>477</t>
  </si>
  <si>
    <t>541</t>
  </si>
  <si>
    <t>Fdns of Biblical Spirituality</t>
  </si>
  <si>
    <t>243</t>
  </si>
  <si>
    <t>Kidder, S Joseph</t>
  </si>
  <si>
    <t>533-02</t>
  </si>
  <si>
    <t>533</t>
  </si>
  <si>
    <t>3382-02</t>
  </si>
  <si>
    <t>3382</t>
  </si>
  <si>
    <t>Ward, Scott R.</t>
  </si>
  <si>
    <t>online fee</t>
  </si>
  <si>
    <t>1366-02</t>
  </si>
  <si>
    <t>1366</t>
  </si>
  <si>
    <t>Fndtns of Biblicl Spirituality</t>
  </si>
  <si>
    <t>xlist</t>
  </si>
  <si>
    <t>campus restriction, cap,online fee</t>
  </si>
  <si>
    <t>4098-02</t>
  </si>
  <si>
    <t>4098</t>
  </si>
  <si>
    <t xml:space="preserve">Remove Crosslist </t>
  </si>
  <si>
    <t>496-02</t>
  </si>
  <si>
    <t>496</t>
  </si>
  <si>
    <t>615</t>
  </si>
  <si>
    <t>Collaborative Ministry</t>
  </si>
  <si>
    <t>Remove crosslist</t>
  </si>
  <si>
    <t>199</t>
  </si>
  <si>
    <t>Remove crosslist,online fee</t>
  </si>
  <si>
    <t>501-02</t>
  </si>
  <si>
    <t>501</t>
  </si>
  <si>
    <t>Collaboratv Min:Schl,Chrch,Com</t>
  </si>
  <si>
    <t>3422-02</t>
  </si>
  <si>
    <t>3422</t>
  </si>
  <si>
    <t>1090-02</t>
  </si>
  <si>
    <t>1090</t>
  </si>
  <si>
    <t>620</t>
  </si>
  <si>
    <t>Scholarly &amp; Prof. Development</t>
  </si>
  <si>
    <t>Portfolio</t>
  </si>
  <si>
    <t>time change, instructor change</t>
  </si>
  <si>
    <t>4085-02</t>
  </si>
  <si>
    <t>4085</t>
  </si>
  <si>
    <t>635</t>
  </si>
  <si>
    <t>Christian Perspectives on Prof. Ethics</t>
  </si>
  <si>
    <t>118</t>
  </si>
  <si>
    <t>1630</t>
  </si>
  <si>
    <t>1820</t>
  </si>
  <si>
    <t>NH200</t>
  </si>
  <si>
    <t>SWK</t>
  </si>
  <si>
    <t>instructor</t>
  </si>
  <si>
    <t>4086-02</t>
  </si>
  <si>
    <t>4086</t>
  </si>
  <si>
    <t>636</t>
  </si>
  <si>
    <t>Discipling Youth</t>
  </si>
  <si>
    <t>200</t>
  </si>
  <si>
    <t>N310</t>
  </si>
  <si>
    <t>1950-02</t>
  </si>
  <si>
    <t>1950</t>
  </si>
  <si>
    <t>,time and date,campus restrict,online fee</t>
  </si>
  <si>
    <t>3418-02</t>
  </si>
  <si>
    <t>3418</t>
  </si>
  <si>
    <t>4087-02</t>
  </si>
  <si>
    <t>4087</t>
  </si>
  <si>
    <t>655</t>
  </si>
  <si>
    <t>Families in Society</t>
  </si>
  <si>
    <t>266</t>
  </si>
  <si>
    <t>4089-02</t>
  </si>
  <si>
    <t>4089</t>
  </si>
  <si>
    <t>FALSE</t>
  </si>
  <si>
    <t>4088-02</t>
  </si>
  <si>
    <t>4088</t>
  </si>
  <si>
    <t>Times</t>
  </si>
  <si>
    <t>3321-02</t>
  </si>
  <si>
    <t>3321</t>
  </si>
  <si>
    <t>656</t>
  </si>
  <si>
    <t>Counseling Youth &amp; YA</t>
  </si>
  <si>
    <t>202</t>
  </si>
  <si>
    <t>4090-02</t>
  </si>
  <si>
    <t>4090</t>
  </si>
  <si>
    <t xml:space="preserve"> </t>
  </si>
  <si>
    <t>Cap &amp; Times, campus restriction,online fee</t>
  </si>
  <si>
    <t>3423-02</t>
  </si>
  <si>
    <t>3423</t>
  </si>
  <si>
    <t>1952</t>
  </si>
  <si>
    <t>Field Practicum: MAYYAM</t>
  </si>
  <si>
    <t>4258-02</t>
  </si>
  <si>
    <t>4258</t>
  </si>
  <si>
    <t>676</t>
  </si>
  <si>
    <t>Top:</t>
  </si>
  <si>
    <t>Top:Chrstn Persp on Prof Ethcs</t>
  </si>
  <si>
    <t>credits</t>
  </si>
  <si>
    <t>4260-02</t>
  </si>
  <si>
    <t>4260</t>
  </si>
  <si>
    <t>678</t>
  </si>
  <si>
    <t>Spiritual Nurture of Children</t>
  </si>
  <si>
    <t>Martin, Benjamin L.</t>
  </si>
  <si>
    <t>2000</t>
  </si>
  <si>
    <t>Instructor,online fee</t>
  </si>
  <si>
    <t>4262-02</t>
  </si>
  <si>
    <t>4262</t>
  </si>
  <si>
    <t>date &amp; time &amp; instructor, campus restriction,online fee</t>
  </si>
  <si>
    <t>4261-02</t>
  </si>
  <si>
    <t>4261</t>
  </si>
  <si>
    <t>w</t>
  </si>
  <si>
    <t>1951</t>
  </si>
  <si>
    <t>680</t>
  </si>
  <si>
    <t>Field Practicum: MA RELED</t>
  </si>
  <si>
    <t>1739-02</t>
  </si>
  <si>
    <t>1739</t>
  </si>
  <si>
    <t>681</t>
  </si>
  <si>
    <t>Field Practicum: Academic</t>
  </si>
  <si>
    <t>1-5</t>
  </si>
  <si>
    <t>1to6</t>
  </si>
  <si>
    <t>24-AUG-26	10-DEC-26</t>
  </si>
  <si>
    <t>P</t>
  </si>
  <si>
    <t>4091-02</t>
  </si>
  <si>
    <t>4091</t>
  </si>
  <si>
    <t>830</t>
  </si>
  <si>
    <t>Adv. Spiritual Growth</t>
  </si>
  <si>
    <t>267</t>
  </si>
  <si>
    <t>Change Day. campus restriction,online fee</t>
  </si>
  <si>
    <t>4092-02</t>
  </si>
  <si>
    <t>4092</t>
  </si>
  <si>
    <t>Adv Fostering Spiritual Growth</t>
  </si>
  <si>
    <t>1309-02</t>
  </si>
  <si>
    <t>1309</t>
  </si>
  <si>
    <t>870</t>
  </si>
  <si>
    <t>Adv Studies:</t>
  </si>
  <si>
    <t>1-4</t>
  </si>
  <si>
    <t>828-02</t>
  </si>
  <si>
    <t>828</t>
  </si>
  <si>
    <t>878</t>
  </si>
  <si>
    <t>Adv Scholarly &amp; Prof Dev</t>
  </si>
  <si>
    <t>1306-02</t>
  </si>
  <si>
    <t>1306</t>
  </si>
  <si>
    <t>PhD (DSLE) Prog Cont</t>
  </si>
  <si>
    <t>4093-02</t>
  </si>
  <si>
    <t>4093</t>
  </si>
  <si>
    <t>887</t>
  </si>
  <si>
    <t>Applied Research</t>
  </si>
  <si>
    <t>2198-02</t>
  </si>
  <si>
    <t>2198</t>
  </si>
  <si>
    <t>994</t>
  </si>
  <si>
    <t>Dissertation:Literature Review</t>
  </si>
  <si>
    <t>FT</t>
  </si>
  <si>
    <t>1307-02</t>
  </si>
  <si>
    <t>1307</t>
  </si>
  <si>
    <t>995</t>
  </si>
  <si>
    <t>Doctoral Dissertation</t>
  </si>
  <si>
    <t>1-13</t>
  </si>
  <si>
    <t>2214-02</t>
  </si>
  <si>
    <t>2214</t>
  </si>
  <si>
    <t>GSEM</t>
  </si>
  <si>
    <t>505</t>
  </si>
  <si>
    <t>Colloquium:</t>
  </si>
  <si>
    <t>Coll: Master Guide Toolbox</t>
  </si>
  <si>
    <t>INTEN</t>
  </si>
  <si>
    <t>130</t>
  </si>
  <si>
    <t>23-MAR-26</t>
  </si>
  <si>
    <t>2100</t>
  </si>
  <si>
    <t>F</t>
  </si>
  <si>
    <t>DAYS</t>
  </si>
  <si>
    <t>2214-04</t>
  </si>
  <si>
    <t>S</t>
  </si>
  <si>
    <t>2217-02</t>
  </si>
  <si>
    <t>2217</t>
  </si>
  <si>
    <t>Coll: Faith in Film</t>
  </si>
  <si>
    <t>1300</t>
  </si>
  <si>
    <t>Williams, Hyveth M.</t>
  </si>
  <si>
    <t>2221-02</t>
  </si>
  <si>
    <t>2221</t>
  </si>
  <si>
    <t>005</t>
  </si>
  <si>
    <t>Coll:ElMinchin Creative Y Evan</t>
  </si>
  <si>
    <t>1400</t>
  </si>
  <si>
    <t>2938-02</t>
  </si>
  <si>
    <t>2938</t>
  </si>
  <si>
    <t>006</t>
  </si>
  <si>
    <t>Coll:Healing from Abuse inChrc</t>
  </si>
  <si>
    <t>55</t>
  </si>
  <si>
    <t>Gaton, Roy G.</t>
  </si>
  <si>
    <t>4</t>
  </si>
  <si>
    <t>3274-02</t>
  </si>
  <si>
    <t>3274</t>
  </si>
  <si>
    <t>Coll:Writing Wisely-Princ Acad</t>
  </si>
  <si>
    <t>60</t>
  </si>
  <si>
    <t>Skinner, Jerome L.</t>
  </si>
  <si>
    <t>3603-02</t>
  </si>
  <si>
    <t>3603</t>
  </si>
  <si>
    <t>007</t>
  </si>
  <si>
    <t>Colloquium: PELC Conference</t>
  </si>
  <si>
    <t>Hall, Kenley D.</t>
  </si>
  <si>
    <t>3609-02</t>
  </si>
  <si>
    <t>3609</t>
  </si>
  <si>
    <t>004</t>
  </si>
  <si>
    <t>Coll:150th Annivers. Mssn Conf</t>
  </si>
  <si>
    <t>Sanou, Boubakar</t>
  </si>
  <si>
    <t>2220-02</t>
  </si>
  <si>
    <t>2220</t>
  </si>
  <si>
    <t>50</t>
  </si>
  <si>
    <t>2224-02</t>
  </si>
  <si>
    <t>2224</t>
  </si>
  <si>
    <t>Coll: Pathfinder Lead Training</t>
  </si>
  <si>
    <t>2225-02</t>
  </si>
  <si>
    <t>2225</t>
  </si>
  <si>
    <t>2939-02</t>
  </si>
  <si>
    <t>2939</t>
  </si>
  <si>
    <t>Coll: Church Security</t>
  </si>
  <si>
    <t>U</t>
  </si>
  <si>
    <t>Coralie, Alain G.</t>
  </si>
  <si>
    <t>3276-02</t>
  </si>
  <si>
    <t>3276</t>
  </si>
  <si>
    <t>Coll:  NAD Summit on Abuse</t>
  </si>
  <si>
    <t>485-02</t>
  </si>
  <si>
    <t>485</t>
  </si>
  <si>
    <t>530</t>
  </si>
  <si>
    <t>Doctrine of the Sanctuary</t>
  </si>
  <si>
    <t>269</t>
  </si>
  <si>
    <t>1327-02</t>
  </si>
  <si>
    <t>1327</t>
  </si>
  <si>
    <t>4097-02</t>
  </si>
  <si>
    <t>4097</t>
  </si>
  <si>
    <t>Gane, Roy E.</t>
  </si>
  <si>
    <t>4318-02</t>
  </si>
  <si>
    <t>4318</t>
  </si>
  <si>
    <t>20</t>
  </si>
  <si>
    <t>525-02</t>
  </si>
  <si>
    <t>525</t>
  </si>
  <si>
    <t>Research Methods</t>
  </si>
  <si>
    <t>205</t>
  </si>
  <si>
    <t>J. Reeve</t>
  </si>
  <si>
    <t>3417-02</t>
  </si>
  <si>
    <t>3417</t>
  </si>
  <si>
    <t>4102-02</t>
  </si>
  <si>
    <t>4102</t>
  </si>
  <si>
    <t>628</t>
  </si>
  <si>
    <t>Great Con. Cov Law, Sabbath</t>
  </si>
  <si>
    <t>D. Olariu</t>
  </si>
  <si>
    <t>4103-02</t>
  </si>
  <si>
    <t>4103</t>
  </si>
  <si>
    <t>Grt Controversy, Cov, Law, Sab</t>
  </si>
  <si>
    <t>2951-02</t>
  </si>
  <si>
    <t>2951</t>
  </si>
  <si>
    <t>Masters Comprehensive Exam</t>
  </si>
  <si>
    <t>1279-02</t>
  </si>
  <si>
    <t>1279</t>
  </si>
  <si>
    <t>Vine, Cedric E.</t>
  </si>
  <si>
    <t>1190-02</t>
  </si>
  <si>
    <t>1190</t>
  </si>
  <si>
    <t>688</t>
  </si>
  <si>
    <t>Master's Degree Contin</t>
  </si>
  <si>
    <t>1280-02</t>
  </si>
  <si>
    <t>1280</t>
  </si>
  <si>
    <t>1195-02</t>
  </si>
  <si>
    <t>1195</t>
  </si>
  <si>
    <t>695</t>
  </si>
  <si>
    <t>Research Project</t>
  </si>
  <si>
    <t>2-3</t>
  </si>
  <si>
    <t>1282-02</t>
  </si>
  <si>
    <t>1282</t>
  </si>
  <si>
    <t>1194-02</t>
  </si>
  <si>
    <t>1194</t>
  </si>
  <si>
    <t>697</t>
  </si>
  <si>
    <t>Thesis for MA Degree</t>
  </si>
  <si>
    <t>MA Thesis</t>
  </si>
  <si>
    <t>1-10</t>
  </si>
  <si>
    <t>1194-04</t>
  </si>
  <si>
    <t>Z</t>
  </si>
  <si>
    <t>1194-06</t>
  </si>
  <si>
    <t>ZOM</t>
  </si>
  <si>
    <t>1281-02</t>
  </si>
  <si>
    <t>1281</t>
  </si>
  <si>
    <t>1281-04</t>
  </si>
  <si>
    <t>1281-06</t>
  </si>
  <si>
    <t>540-02</t>
  </si>
  <si>
    <t>540</t>
  </si>
  <si>
    <t>810</t>
  </si>
  <si>
    <t>PhD-ThD Colloquium</t>
  </si>
  <si>
    <t>1900</t>
  </si>
  <si>
    <t>829-02</t>
  </si>
  <si>
    <t>829</t>
  </si>
  <si>
    <t>844</t>
  </si>
  <si>
    <t>PhD-ThD Diss Prop Prep</t>
  </si>
  <si>
    <t>1036-02</t>
  </si>
  <si>
    <t>1036</t>
  </si>
  <si>
    <t>1220-02</t>
  </si>
  <si>
    <t>Younker, Randall W.</t>
  </si>
  <si>
    <t>830-02</t>
  </si>
  <si>
    <t>Prep for Comprehensive Exams</t>
  </si>
  <si>
    <t>1037-02</t>
  </si>
  <si>
    <t>1037</t>
  </si>
  <si>
    <t>1221-02</t>
  </si>
  <si>
    <t>1221</t>
  </si>
  <si>
    <t>831-02</t>
  </si>
  <si>
    <t>831</t>
  </si>
  <si>
    <t>PhD-ThD Comp Exams</t>
  </si>
  <si>
    <t>1038-02</t>
  </si>
  <si>
    <t>1038</t>
  </si>
  <si>
    <t>1222-02</t>
  </si>
  <si>
    <t>1222</t>
  </si>
  <si>
    <t>832-02</t>
  </si>
  <si>
    <t>832</t>
  </si>
  <si>
    <t>888</t>
  </si>
  <si>
    <t>Doctoral Degr Continuation</t>
  </si>
  <si>
    <t>1039-02</t>
  </si>
  <si>
    <t>1039</t>
  </si>
  <si>
    <t>1223-02</t>
  </si>
  <si>
    <t>1223</t>
  </si>
  <si>
    <t>2227-02</t>
  </si>
  <si>
    <t>2227</t>
  </si>
  <si>
    <t>Jeroncic, Ante</t>
  </si>
  <si>
    <t>4299-02</t>
  </si>
  <si>
    <t>4299</t>
  </si>
  <si>
    <t>Glanz, Oliver</t>
  </si>
  <si>
    <t>936-02</t>
  </si>
  <si>
    <t>936</t>
  </si>
  <si>
    <t>898</t>
  </si>
  <si>
    <t>Postdoctoral Research Project</t>
  </si>
  <si>
    <t>4,5</t>
  </si>
  <si>
    <t>Kuhn, Wagner</t>
  </si>
  <si>
    <t>3990-02</t>
  </si>
  <si>
    <t>3990</t>
  </si>
  <si>
    <t>935-02</t>
  </si>
  <si>
    <t>935</t>
  </si>
  <si>
    <t>990</t>
  </si>
  <si>
    <t>Postdoctoral Seminar</t>
  </si>
  <si>
    <t>3,4</t>
  </si>
  <si>
    <t>833-02</t>
  </si>
  <si>
    <t>833</t>
  </si>
  <si>
    <t>PhD-ThD Dissertation</t>
  </si>
  <si>
    <t>1-12</t>
  </si>
  <si>
    <t>1040-02</t>
  </si>
  <si>
    <t>1040</t>
  </si>
  <si>
    <t>1224-02</t>
  </si>
  <si>
    <t>1224</t>
  </si>
  <si>
    <t>1303-02</t>
  </si>
  <si>
    <t>1303</t>
  </si>
  <si>
    <t>MSSN</t>
  </si>
  <si>
    <t>546</t>
  </si>
  <si>
    <t>Mssn in Cultural &amp; Rel. Context</t>
  </si>
  <si>
    <t>A. Tompkins</t>
  </si>
  <si>
    <t>3991-02</t>
  </si>
  <si>
    <t>3991</t>
  </si>
  <si>
    <t>561</t>
  </si>
  <si>
    <t>Chr. Wit. &amp; World Rel.</t>
  </si>
  <si>
    <t>3294-02</t>
  </si>
  <si>
    <t>3294</t>
  </si>
  <si>
    <t>610</t>
  </si>
  <si>
    <t>Theology of Mission</t>
  </si>
  <si>
    <t>180</t>
  </si>
  <si>
    <t>Drumi, Iurii N.</t>
  </si>
  <si>
    <t>WMIS</t>
  </si>
  <si>
    <t>3296-02</t>
  </si>
  <si>
    <t>3296</t>
  </si>
  <si>
    <t>644</t>
  </si>
  <si>
    <t>Min. of Rec'tion thrru Social Innovation</t>
  </si>
  <si>
    <t>211</t>
  </si>
  <si>
    <t>S. Kwon</t>
  </si>
  <si>
    <t>Ministry Among Immigrants</t>
  </si>
  <si>
    <t>N335</t>
  </si>
  <si>
    <t>F. Ortiz</t>
  </si>
  <si>
    <t>3297-02</t>
  </si>
  <si>
    <t>3297</t>
  </si>
  <si>
    <t>667</t>
  </si>
  <si>
    <t>Urban Ministry Project</t>
  </si>
  <si>
    <t>171</t>
  </si>
  <si>
    <t>#</t>
  </si>
  <si>
    <t>3326-02</t>
  </si>
  <si>
    <t>3326</t>
  </si>
  <si>
    <t>3560-02</t>
  </si>
  <si>
    <t>3560</t>
  </si>
  <si>
    <t>IndSt: Chr. Witness &amp; World Re</t>
  </si>
  <si>
    <t>Tompkins, Andrew J.</t>
  </si>
  <si>
    <t>3748-02</t>
  </si>
  <si>
    <t>3748</t>
  </si>
  <si>
    <t>Cincala, Petr</t>
  </si>
  <si>
    <t>Mission in the NT</t>
  </si>
  <si>
    <t>MSSN695-001/MSSN810-001</t>
  </si>
  <si>
    <t>Y. Drumi</t>
  </si>
  <si>
    <t>3401-02</t>
  </si>
  <si>
    <t>3401</t>
  </si>
  <si>
    <t>Sem:</t>
  </si>
  <si>
    <t>4147-02</t>
  </si>
  <si>
    <t>4147</t>
  </si>
  <si>
    <t>Sem in Other Religions</t>
  </si>
  <si>
    <t>798-02</t>
  </si>
  <si>
    <t>798</t>
  </si>
  <si>
    <t>DIS Dissertation Continuation</t>
  </si>
  <si>
    <t>DMiss Dissertatn Continuation</t>
  </si>
  <si>
    <t>4274-02</t>
  </si>
  <si>
    <t>4274</t>
  </si>
  <si>
    <t>Directed Rdgs Mission Studies</t>
  </si>
  <si>
    <t>DirRdg:Theo Mssnl Hermeneutics</t>
  </si>
  <si>
    <t>2-12</t>
  </si>
  <si>
    <t>799-02</t>
  </si>
  <si>
    <t>799</t>
  </si>
  <si>
    <t>899</t>
  </si>
  <si>
    <t>DIS Dissertation</t>
  </si>
  <si>
    <t>DMiss Dissertation</t>
  </si>
  <si>
    <t>New Class</t>
  </si>
  <si>
    <t>NTST</t>
  </si>
  <si>
    <t>520</t>
  </si>
  <si>
    <t>Intro to NT</t>
  </si>
  <si>
    <t>Kondrat, Stanislav</t>
  </si>
  <si>
    <t>Introduction to Revelation</t>
  </si>
  <si>
    <t>Huss, Rajan P.</t>
  </si>
  <si>
    <t>1426-02</t>
  </si>
  <si>
    <t>1426</t>
  </si>
  <si>
    <t>551</t>
  </si>
  <si>
    <t>Beginning Greek</t>
  </si>
  <si>
    <t>0,2</t>
  </si>
  <si>
    <t>section number (exam)</t>
  </si>
  <si>
    <t>1554-02</t>
  </si>
  <si>
    <t>1554</t>
  </si>
  <si>
    <t>EXAM</t>
  </si>
  <si>
    <t>laod</t>
  </si>
  <si>
    <t>EA</t>
  </si>
  <si>
    <t>X</t>
  </si>
  <si>
    <t>507-02</t>
  </si>
  <si>
    <t>507</t>
  </si>
  <si>
    <t>281</t>
  </si>
  <si>
    <t>Delete Class</t>
  </si>
  <si>
    <t>1427-02</t>
  </si>
  <si>
    <t>1427</t>
  </si>
  <si>
    <t>552</t>
  </si>
  <si>
    <t>Intermediate Greek</t>
  </si>
  <si>
    <t>0-3</t>
  </si>
  <si>
    <t>1555-02</t>
  </si>
  <si>
    <t>1555</t>
  </si>
  <si>
    <t>4095-02</t>
  </si>
  <si>
    <t>4095</t>
  </si>
  <si>
    <t>New Testament Archaeology</t>
  </si>
  <si>
    <t>268</t>
  </si>
  <si>
    <t>Ray, Paul J.</t>
  </si>
  <si>
    <t>ARHA,JEWS,NTBG</t>
  </si>
  <si>
    <t>4096-02</t>
  </si>
  <si>
    <t>4096</t>
  </si>
  <si>
    <t>3435-02</t>
  </si>
  <si>
    <t>3435</t>
  </si>
  <si>
    <t>630</t>
  </si>
  <si>
    <t>Theology of the Synoptic Gospels</t>
  </si>
  <si>
    <t>NTST630-999/NTST630-997</t>
  </si>
  <si>
    <t>NTTH,SYNG,THEO</t>
  </si>
  <si>
    <r>
      <rPr>
        <sz val="10"/>
        <color rgb="FF000000"/>
        <rFont val="Arial"/>
        <family val="2"/>
      </rPr>
      <t xml:space="preserve">New Class, </t>
    </r>
    <r>
      <rPr>
        <sz val="10"/>
        <color rgb="FFFF66FF"/>
        <rFont val="Arial"/>
        <family val="2"/>
      </rPr>
      <t>x-list</t>
    </r>
  </si>
  <si>
    <t>4675</t>
  </si>
  <si>
    <t>3414-02</t>
  </si>
  <si>
    <t>3414</t>
  </si>
  <si>
    <t>Hebrews</t>
  </si>
  <si>
    <t>133</t>
  </si>
  <si>
    <t>P-NTST645</t>
  </si>
  <si>
    <t>EXEG</t>
  </si>
  <si>
    <t>2180-02</t>
  </si>
  <si>
    <t>2180</t>
  </si>
  <si>
    <t>647</t>
  </si>
  <si>
    <t>Eschatology</t>
  </si>
  <si>
    <t>NTST647-001/NTST647-998/NTST885-001</t>
  </si>
  <si>
    <t>141</t>
  </si>
  <si>
    <t>Stefanovic, Ranko</t>
  </si>
  <si>
    <t>NTTH</t>
  </si>
  <si>
    <t>times, Campus 7 Restr.</t>
  </si>
  <si>
    <t>3993-02</t>
  </si>
  <si>
    <t>3993</t>
  </si>
  <si>
    <t>531-02</t>
  </si>
  <si>
    <t>531</t>
  </si>
  <si>
    <t>648</t>
  </si>
  <si>
    <t>Revelation</t>
  </si>
  <si>
    <t>NTST648-001/NTST885-004</t>
  </si>
  <si>
    <t>136</t>
  </si>
  <si>
    <t>793-02</t>
  </si>
  <si>
    <t>793</t>
  </si>
  <si>
    <t>Choi, Phuichun R.</t>
  </si>
  <si>
    <t>817-02</t>
  </si>
  <si>
    <t>817</t>
  </si>
  <si>
    <t>Cortez, Felix H.</t>
  </si>
  <si>
    <t>818-02</t>
  </si>
  <si>
    <t>818</t>
  </si>
  <si>
    <t>1092-02</t>
  </si>
  <si>
    <t>1092</t>
  </si>
  <si>
    <t>Shepherd, Thomas R.</t>
  </si>
  <si>
    <t>1130-02</t>
  </si>
  <si>
    <t>1130</t>
  </si>
  <si>
    <t>Ind St: Eschatology</t>
  </si>
  <si>
    <t>1192-02</t>
  </si>
  <si>
    <t>1192</t>
  </si>
  <si>
    <t>Tops in NT Backgrounds: Social World</t>
  </si>
  <si>
    <t>532-02</t>
  </si>
  <si>
    <t>532</t>
  </si>
  <si>
    <t>Topics in Eschatology</t>
  </si>
  <si>
    <t>NTST647-001/NTST885-001</t>
  </si>
  <si>
    <t>3554-02</t>
  </si>
  <si>
    <t>3554</t>
  </si>
  <si>
    <t>Topics in NT Archaeology</t>
  </si>
  <si>
    <t>3568-02</t>
  </si>
  <si>
    <t>3568</t>
  </si>
  <si>
    <t>469-02</t>
  </si>
  <si>
    <t>469</t>
  </si>
  <si>
    <t>530-02</t>
  </si>
  <si>
    <t>Topics in Revelation</t>
  </si>
  <si>
    <t>794-02</t>
  </si>
  <si>
    <t>794</t>
  </si>
  <si>
    <t>Directed Rdg in New Testament</t>
  </si>
  <si>
    <t>DirRdg NT:Theo Pauline Epistls</t>
  </si>
  <si>
    <t>1-8</t>
  </si>
  <si>
    <t>819-02</t>
  </si>
  <si>
    <t>819</t>
  </si>
  <si>
    <t>1093-02</t>
  </si>
  <si>
    <t>1093</t>
  </si>
  <si>
    <t>1131-02</t>
  </si>
  <si>
    <t>1131</t>
  </si>
  <si>
    <t>1193-02</t>
  </si>
  <si>
    <t>1193</t>
  </si>
  <si>
    <t>792-02</t>
  </si>
  <si>
    <t>792</t>
  </si>
  <si>
    <t>897</t>
  </si>
  <si>
    <t>107</t>
  </si>
  <si>
    <t>Ind. Study:</t>
  </si>
  <si>
    <t>816-02</t>
  </si>
  <si>
    <t>816</t>
  </si>
  <si>
    <t>1091-02</t>
  </si>
  <si>
    <t>1091</t>
  </si>
  <si>
    <t>1129-02</t>
  </si>
  <si>
    <t>1129</t>
  </si>
  <si>
    <t>1191-02</t>
  </si>
  <si>
    <t>1191</t>
  </si>
  <si>
    <t>DAY, time, room</t>
  </si>
  <si>
    <t>ANEA</t>
  </si>
  <si>
    <t>Top:Hist Ancnt Near East:Egypt</t>
  </si>
  <si>
    <t>ANEA 604-001/ANEA885-005</t>
  </si>
  <si>
    <t>Bates, Robert D.</t>
  </si>
  <si>
    <t>510</t>
  </si>
  <si>
    <t>Archaeology &amp; the Bible</t>
  </si>
  <si>
    <t>ANEA510-001/OTST510-001</t>
  </si>
  <si>
    <t>OTST</t>
  </si>
  <si>
    <t>DAY, time, room, cap</t>
  </si>
  <si>
    <t>3113-02</t>
  </si>
  <si>
    <t>3113</t>
  </si>
  <si>
    <t>604</t>
  </si>
  <si>
    <t>Hist of the Ancient Near East</t>
  </si>
  <si>
    <t>Hist of Ancnt Near East :Egypt</t>
  </si>
  <si>
    <t>ANEA 604-001/OTST604-001/ANEA885-005</t>
  </si>
  <si>
    <t>209</t>
  </si>
  <si>
    <t>4352-02</t>
  </si>
  <si>
    <t>4352</t>
  </si>
  <si>
    <t>Sem in ANE Languages</t>
  </si>
  <si>
    <t>Sem in ANE Languages (Ugaritic)</t>
  </si>
  <si>
    <t>ANEA612-101/OTST612-101/OTST885-101</t>
  </si>
  <si>
    <t>3994-02</t>
  </si>
  <si>
    <t>3994</t>
  </si>
  <si>
    <t>Sem Arch &amp; Hist of Antiquity</t>
  </si>
  <si>
    <t>036</t>
  </si>
  <si>
    <t>P-ANEA615</t>
  </si>
  <si>
    <t>ARHA,OTHA</t>
  </si>
  <si>
    <t>4327-02</t>
  </si>
  <si>
    <t>4327</t>
  </si>
  <si>
    <t>3995-02</t>
  </si>
  <si>
    <t>3995</t>
  </si>
  <si>
    <t>625</t>
  </si>
  <si>
    <t>NT Archaeology</t>
  </si>
  <si>
    <t>3579-02</t>
  </si>
  <si>
    <t>3579</t>
  </si>
  <si>
    <t>Near Eastern Archaeology</t>
  </si>
  <si>
    <t>1600</t>
  </si>
  <si>
    <t>3996-02</t>
  </si>
  <si>
    <t>3996</t>
  </si>
  <si>
    <t>815</t>
  </si>
  <si>
    <t>Adv Archaeology of NT Period</t>
  </si>
  <si>
    <t>3566-02</t>
  </si>
  <si>
    <t>3566</t>
  </si>
  <si>
    <t>Topics In:</t>
  </si>
  <si>
    <t>Top in Dead Sea Scrolls</t>
  </si>
  <si>
    <t>4383-02</t>
  </si>
  <si>
    <t>4383</t>
  </si>
  <si>
    <t>4115-02</t>
  </si>
  <si>
    <t>4115</t>
  </si>
  <si>
    <t>4284-02</t>
  </si>
  <si>
    <t>4284</t>
  </si>
  <si>
    <t>Directed Rdg in Hist&amp;Arch St</t>
  </si>
  <si>
    <t>DirRd:Hist&amp; Archeology Studies</t>
  </si>
  <si>
    <t>4346-02</t>
  </si>
  <si>
    <t>4346</t>
  </si>
  <si>
    <t>4101-02</t>
  </si>
  <si>
    <t>4101</t>
  </si>
  <si>
    <t>500</t>
  </si>
  <si>
    <t>Survey of the Old Testament</t>
  </si>
  <si>
    <t>Olariu, Daniel</t>
  </si>
  <si>
    <t>1370-02</t>
  </si>
  <si>
    <t>1370</t>
  </si>
  <si>
    <t>Biblical Hebrew I</t>
  </si>
  <si>
    <t>0,3</t>
  </si>
  <si>
    <t>P-OTST551</t>
  </si>
  <si>
    <t>room, instructor</t>
  </si>
  <si>
    <t>491-02</t>
  </si>
  <si>
    <t>491</t>
  </si>
  <si>
    <t>Lecture/Lab</t>
  </si>
  <si>
    <t>3150</t>
  </si>
  <si>
    <t>NTST: 11-1250-9120-70</t>
  </si>
  <si>
    <t>3119-02</t>
  </si>
  <si>
    <t>3119</t>
  </si>
  <si>
    <t>28</t>
  </si>
  <si>
    <t>1556-02</t>
  </si>
  <si>
    <t>1556</t>
  </si>
  <si>
    <t>497-02</t>
  </si>
  <si>
    <t>497</t>
  </si>
  <si>
    <t>Biblical Hebrew II</t>
  </si>
  <si>
    <t>297</t>
  </si>
  <si>
    <t>P-OTST552</t>
  </si>
  <si>
    <t>497-04</t>
  </si>
  <si>
    <t>0920</t>
  </si>
  <si>
    <t>1557-02</t>
  </si>
  <si>
    <t>1557</t>
  </si>
  <si>
    <t>1343-02</t>
  </si>
  <si>
    <t>1343</t>
  </si>
  <si>
    <t>1343-04</t>
  </si>
  <si>
    <t>1336-02</t>
  </si>
  <si>
    <t>1336</t>
  </si>
  <si>
    <t>556</t>
  </si>
  <si>
    <t>Studies in Prophets (English)</t>
  </si>
  <si>
    <t>1352-02</t>
  </si>
  <si>
    <t>1352</t>
  </si>
  <si>
    <t>565</t>
  </si>
  <si>
    <t>Survey of the Pentateuch</t>
  </si>
  <si>
    <t>033</t>
  </si>
  <si>
    <t>P-OTST565</t>
  </si>
  <si>
    <t>3121-02</t>
  </si>
  <si>
    <t>3121</t>
  </si>
  <si>
    <t>607</t>
  </si>
  <si>
    <t>Preaching from the OT</t>
  </si>
  <si>
    <t>3998-02</t>
  </si>
  <si>
    <t>3998</t>
  </si>
  <si>
    <t>4328-02</t>
  </si>
  <si>
    <t>4328</t>
  </si>
  <si>
    <t>DAY</t>
  </si>
  <si>
    <t>3122-02</t>
  </si>
  <si>
    <t>3122</t>
  </si>
  <si>
    <t>Sem in Old Testament Theology</t>
  </si>
  <si>
    <t>173</t>
  </si>
  <si>
    <t>4339-02</t>
  </si>
  <si>
    <t>4339</t>
  </si>
  <si>
    <t>4341-02</t>
  </si>
  <si>
    <t>4341</t>
  </si>
  <si>
    <t>Campus 7 Restr.</t>
  </si>
  <si>
    <t>3421-02</t>
  </si>
  <si>
    <t>3421</t>
  </si>
  <si>
    <t>Biblical Hebrew III</t>
  </si>
  <si>
    <t>207</t>
  </si>
  <si>
    <t>JEWS,LLIT</t>
  </si>
  <si>
    <t>504-02</t>
  </si>
  <si>
    <t>504</t>
  </si>
  <si>
    <t>OTST625-001/OTST885-004</t>
  </si>
  <si>
    <t>4000-02</t>
  </si>
  <si>
    <t>4000</t>
  </si>
  <si>
    <t>634</t>
  </si>
  <si>
    <t>Intertestamental Literature</t>
  </si>
  <si>
    <t>4105-02</t>
  </si>
  <si>
    <t>4105</t>
  </si>
  <si>
    <t>Top:Intertestamntal Literature</t>
  </si>
  <si>
    <t>4106-02</t>
  </si>
  <si>
    <t>4106</t>
  </si>
  <si>
    <t>664</t>
  </si>
  <si>
    <t>Pentateuch</t>
  </si>
  <si>
    <t>226</t>
  </si>
  <si>
    <t>P-OTST664</t>
  </si>
  <si>
    <t>3128-02</t>
  </si>
  <si>
    <t>3128</t>
  </si>
  <si>
    <t>OTST664-001/OTST940-001</t>
  </si>
  <si>
    <t>4107-02</t>
  </si>
  <si>
    <t>4107</t>
  </si>
  <si>
    <t>Daniel</t>
  </si>
  <si>
    <t>270</t>
  </si>
  <si>
    <t>4138-02</t>
  </si>
  <si>
    <t>4138</t>
  </si>
  <si>
    <t>1345-02</t>
  </si>
  <si>
    <t>1345</t>
  </si>
  <si>
    <t>4001-02</t>
  </si>
  <si>
    <t>4001</t>
  </si>
  <si>
    <t>675</t>
  </si>
  <si>
    <t>Minor Prophets</t>
  </si>
  <si>
    <t>OTST675-001/OTST940-102</t>
  </si>
  <si>
    <t>1338-02</t>
  </si>
  <si>
    <t>1338</t>
  </si>
  <si>
    <t>686</t>
  </si>
  <si>
    <t>Major Prophets:</t>
  </si>
  <si>
    <t>3596-02</t>
  </si>
  <si>
    <t>3596</t>
  </si>
  <si>
    <t>4109-02</t>
  </si>
  <si>
    <t>4109</t>
  </si>
  <si>
    <t>Ind St: Biblical Hebrew III</t>
  </si>
  <si>
    <t>4110-02</t>
  </si>
  <si>
    <t>4110</t>
  </si>
  <si>
    <t>4111-02</t>
  </si>
  <si>
    <t>4111</t>
  </si>
  <si>
    <t>Gregor, Paul Z.</t>
  </si>
  <si>
    <t>4112-02</t>
  </si>
  <si>
    <t>4112</t>
  </si>
  <si>
    <t>4113-02</t>
  </si>
  <si>
    <t>4113</t>
  </si>
  <si>
    <t>4114-02</t>
  </si>
  <si>
    <t>4114</t>
  </si>
  <si>
    <t>3562-02</t>
  </si>
  <si>
    <t>3562</t>
  </si>
  <si>
    <t>Topics in: Biblical Hebrew III</t>
  </si>
  <si>
    <t>1947-02</t>
  </si>
  <si>
    <t>1947</t>
  </si>
  <si>
    <t>Topics in:</t>
  </si>
  <si>
    <t>Top: Dead Sea Scrolls</t>
  </si>
  <si>
    <t>1948-02</t>
  </si>
  <si>
    <t>1948</t>
  </si>
  <si>
    <t>Topics in: Great Controvery</t>
  </si>
  <si>
    <t>3567-02</t>
  </si>
  <si>
    <t>3567</t>
  </si>
  <si>
    <t>Top:Hist of Ancnt Near E-Egypt</t>
  </si>
  <si>
    <t>new Class</t>
  </si>
  <si>
    <t>2086-02</t>
  </si>
  <si>
    <t>2086</t>
  </si>
  <si>
    <t>Directed Rdg in Old Testmt</t>
  </si>
  <si>
    <t>Dir Rdg in OT:</t>
  </si>
  <si>
    <t>2208-02</t>
  </si>
  <si>
    <t>2208</t>
  </si>
  <si>
    <t>4315-02</t>
  </si>
  <si>
    <t>4315</t>
  </si>
  <si>
    <t>DirRdg in OT History &amp; Archae</t>
  </si>
  <si>
    <t>4326-02</t>
  </si>
  <si>
    <t>4326</t>
  </si>
  <si>
    <t>4329-02</t>
  </si>
  <si>
    <t>4329</t>
  </si>
  <si>
    <t>DirRd in OT Theophany in Psalm</t>
  </si>
  <si>
    <t>4348-02</t>
  </si>
  <si>
    <t>4348</t>
  </si>
  <si>
    <t>Dir Rdg in OT:Arch&amp; Theo of OT</t>
  </si>
  <si>
    <t>545-02</t>
  </si>
  <si>
    <t>545</t>
  </si>
  <si>
    <t>Sem Adv OT Exeg:  Pentateuch</t>
  </si>
  <si>
    <t>P-OTST940</t>
  </si>
  <si>
    <t>DAY, section#</t>
  </si>
  <si>
    <t>3330-02</t>
  </si>
  <si>
    <t>3330</t>
  </si>
  <si>
    <t>945</t>
  </si>
  <si>
    <t>Seminar in OT Theology</t>
  </si>
  <si>
    <t>OTST620-001/OTST945-001</t>
  </si>
  <si>
    <t xml:space="preserve">Time </t>
  </si>
  <si>
    <t>518-02</t>
  </si>
  <si>
    <t>518</t>
  </si>
  <si>
    <t>PATH</t>
  </si>
  <si>
    <t>Biblical Preaching</t>
  </si>
  <si>
    <t>18</t>
  </si>
  <si>
    <t>9:30</t>
  </si>
  <si>
    <t>11:20</t>
  </si>
  <si>
    <t>S115</t>
  </si>
  <si>
    <t>PREA,PWOR</t>
  </si>
  <si>
    <t>Time Day Teacher</t>
  </si>
  <si>
    <t>470-02</t>
  </si>
  <si>
    <t>470</t>
  </si>
  <si>
    <t>Intro to Chaplaincy</t>
  </si>
  <si>
    <t>244</t>
  </si>
  <si>
    <t>1753-02</t>
  </si>
  <si>
    <t>1753</t>
  </si>
  <si>
    <t>Intro to Chaplaincy Min</t>
  </si>
  <si>
    <t>1328-02</t>
  </si>
  <si>
    <t>1328</t>
  </si>
  <si>
    <t>516</t>
  </si>
  <si>
    <t>Death and Grief in Contemp. Society</t>
  </si>
  <si>
    <t>Cap Room</t>
  </si>
  <si>
    <t>556-02</t>
  </si>
  <si>
    <t>523</t>
  </si>
  <si>
    <t>Worship: Word &amp; Music</t>
  </si>
  <si>
    <t>248</t>
  </si>
  <si>
    <t>SMUS</t>
  </si>
  <si>
    <t>Cap</t>
  </si>
  <si>
    <t>4010-02</t>
  </si>
  <si>
    <t>4010</t>
  </si>
  <si>
    <t>Worship:Word &amp; Music</t>
  </si>
  <si>
    <t>1431-02</t>
  </si>
  <si>
    <t>1431</t>
  </si>
  <si>
    <t>3283-02</t>
  </si>
  <si>
    <t>3283</t>
  </si>
  <si>
    <t>526</t>
  </si>
  <si>
    <t>Conflict Management in the Church</t>
  </si>
  <si>
    <t>CFMG,CHLP</t>
  </si>
  <si>
    <t>Cap Teacher to Staff</t>
  </si>
  <si>
    <t>4007-02</t>
  </si>
  <si>
    <t>4007</t>
  </si>
  <si>
    <t>536</t>
  </si>
  <si>
    <t>Personal Evangelistic Ministry</t>
  </si>
  <si>
    <t>250</t>
  </si>
  <si>
    <t>CHGE,EVAN</t>
  </si>
  <si>
    <t>1365-02</t>
  </si>
  <si>
    <t>1365</t>
  </si>
  <si>
    <t>539</t>
  </si>
  <si>
    <t>Church Grwth &amp; Equipping Leader</t>
  </si>
  <si>
    <t xml:space="preserve">Staff </t>
  </si>
  <si>
    <t>cap time day</t>
  </si>
  <si>
    <t>527-02</t>
  </si>
  <si>
    <t>527</t>
  </si>
  <si>
    <t>543</t>
  </si>
  <si>
    <t>Chr. Lead in a Chng Wrld</t>
  </si>
  <si>
    <t>247</t>
  </si>
  <si>
    <t>CHLP</t>
  </si>
  <si>
    <t>Time day</t>
  </si>
  <si>
    <t>1388-02</t>
  </si>
  <si>
    <t>1388</t>
  </si>
  <si>
    <t>Christn Lead in a Chnging Wrld</t>
  </si>
  <si>
    <t>Room Day Time</t>
  </si>
  <si>
    <t>480-02</t>
  </si>
  <si>
    <t>480</t>
  </si>
  <si>
    <t>Found. of Pastoral Ministry</t>
  </si>
  <si>
    <t>208</t>
  </si>
  <si>
    <t xml:space="preserve"> cap day Time</t>
  </si>
  <si>
    <t>2115-02</t>
  </si>
  <si>
    <t>2115</t>
  </si>
  <si>
    <t>Foundatns of Pastoral Ministry</t>
  </si>
  <si>
    <t>cap</t>
  </si>
  <si>
    <t>1528-02</t>
  </si>
  <si>
    <t>1528</t>
  </si>
  <si>
    <t>Found. Of Pastoral Ministry</t>
  </si>
  <si>
    <t>Day</t>
  </si>
  <si>
    <t>3098-02</t>
  </si>
  <si>
    <t>3098</t>
  </si>
  <si>
    <t>554</t>
  </si>
  <si>
    <t>Clinical Pastoral Educ</t>
  </si>
  <si>
    <t>4,6</t>
  </si>
  <si>
    <t>6</t>
  </si>
  <si>
    <t>0800</t>
  </si>
  <si>
    <t>N. Richards</t>
  </si>
  <si>
    <t>3099-02</t>
  </si>
  <si>
    <t>3099</t>
  </si>
  <si>
    <t>PATH554-102/PATH554-103</t>
  </si>
  <si>
    <t>time</t>
  </si>
  <si>
    <t>542-02</t>
  </si>
  <si>
    <t>542</t>
  </si>
  <si>
    <t>Pastoral Counseling</t>
  </si>
  <si>
    <t>C</t>
  </si>
  <si>
    <t>PACC,PACO</t>
  </si>
  <si>
    <t>4002-02</t>
  </si>
  <si>
    <t>4002</t>
  </si>
  <si>
    <t>3436-02</t>
  </si>
  <si>
    <t>3436</t>
  </si>
  <si>
    <t>557</t>
  </si>
  <si>
    <t>Pract Clinl Past Educ:</t>
  </si>
  <si>
    <t>2-8</t>
  </si>
  <si>
    <t>CHAP,PACC,PACO</t>
  </si>
  <si>
    <t>teacher</t>
  </si>
  <si>
    <t>705-02</t>
  </si>
  <si>
    <t>705</t>
  </si>
  <si>
    <t>Practicum in CPE</t>
  </si>
  <si>
    <t>2023-02-0800:00:00</t>
  </si>
  <si>
    <t>Richards, Natasha A.</t>
  </si>
  <si>
    <t>727-02</t>
  </si>
  <si>
    <t>727</t>
  </si>
  <si>
    <t>560</t>
  </si>
  <si>
    <t>Advanced Ministerial Dev. (AMD)</t>
  </si>
  <si>
    <t>271</t>
  </si>
  <si>
    <t>Crews, Heather L.</t>
  </si>
  <si>
    <t>3547-02</t>
  </si>
  <si>
    <t>3547</t>
  </si>
  <si>
    <t>Adv Ministerial Development</t>
  </si>
  <si>
    <t>728-02</t>
  </si>
  <si>
    <t>728</t>
  </si>
  <si>
    <t>562</t>
  </si>
  <si>
    <t>Field Evangelism</t>
  </si>
  <si>
    <t>251</t>
  </si>
  <si>
    <t>3-6</t>
  </si>
  <si>
    <t>E. Rojas</t>
  </si>
  <si>
    <t>728-04</t>
  </si>
  <si>
    <t>4015-02</t>
  </si>
  <si>
    <t>4015</t>
  </si>
  <si>
    <t>McLean, Errol N.</t>
  </si>
  <si>
    <t>4013-02</t>
  </si>
  <si>
    <t>4013</t>
  </si>
  <si>
    <t>M. Lewis</t>
  </si>
  <si>
    <t>4013-04</t>
  </si>
  <si>
    <t>3548-02</t>
  </si>
  <si>
    <t>3548</t>
  </si>
  <si>
    <t>Lewis, Michael L.</t>
  </si>
  <si>
    <t>4017-02</t>
  </si>
  <si>
    <t>4017</t>
  </si>
  <si>
    <t>Rojas, Hugo E.</t>
  </si>
  <si>
    <t>4017-04</t>
  </si>
  <si>
    <t>4016-02</t>
  </si>
  <si>
    <t>4016</t>
  </si>
  <si>
    <t>4014-02</t>
  </si>
  <si>
    <t>4014</t>
  </si>
  <si>
    <t>Madding, Timothy E.</t>
  </si>
  <si>
    <t>4014-04</t>
  </si>
  <si>
    <t>752-02</t>
  </si>
  <si>
    <t>752</t>
  </si>
  <si>
    <t>567</t>
  </si>
  <si>
    <t>Health &amp; Lifestyle Transformation</t>
  </si>
  <si>
    <t>E. Kissinger</t>
  </si>
  <si>
    <t>CHGE,HLEV,HLMN,PACC</t>
  </si>
  <si>
    <t>752-04</t>
  </si>
  <si>
    <t>POST</t>
  </si>
  <si>
    <t>752-06</t>
  </si>
  <si>
    <t>PRE</t>
  </si>
  <si>
    <t>498-02</t>
  </si>
  <si>
    <t>498</t>
  </si>
  <si>
    <t>588</t>
  </si>
  <si>
    <t>Seminary Chorus</t>
  </si>
  <si>
    <t>.5,1</t>
  </si>
  <si>
    <t>.5-1</t>
  </si>
  <si>
    <t>521-02</t>
  </si>
  <si>
    <t>521</t>
  </si>
  <si>
    <t>601</t>
  </si>
  <si>
    <t>Preach. Biblical Prophecies</t>
  </si>
  <si>
    <t>4257-02</t>
  </si>
  <si>
    <t>4257</t>
  </si>
  <si>
    <t>606</t>
  </si>
  <si>
    <t>Mission Shaped Church Planting</t>
  </si>
  <si>
    <t>T. Madding</t>
  </si>
  <si>
    <t>CHGE,CHPL,EVAN</t>
  </si>
  <si>
    <t>517-02</t>
  </si>
  <si>
    <t>517</t>
  </si>
  <si>
    <t>627</t>
  </si>
  <si>
    <t>Black Preaching</t>
  </si>
  <si>
    <t>PREA</t>
  </si>
  <si>
    <t>519-02</t>
  </si>
  <si>
    <t>519</t>
  </si>
  <si>
    <t>632</t>
  </si>
  <si>
    <t>Context. Preaching: Multi Ethnic /Cultural</t>
  </si>
  <si>
    <t>Cont Preach:Multi-Ethnc/Racial</t>
  </si>
  <si>
    <t>182</t>
  </si>
  <si>
    <t>K. Hall</t>
  </si>
  <si>
    <t>4011-02</t>
  </si>
  <si>
    <t>4011</t>
  </si>
  <si>
    <t>Context Pr: Youth</t>
  </si>
  <si>
    <t>Cont Preach:Youth&amp; Young Adult</t>
  </si>
  <si>
    <t>286</t>
  </si>
  <si>
    <t>8</t>
  </si>
  <si>
    <t>4003-02</t>
  </si>
  <si>
    <t>4003</t>
  </si>
  <si>
    <t>Contextualized Preaching:</t>
  </si>
  <si>
    <t>3360-02</t>
  </si>
  <si>
    <t>3360</t>
  </si>
  <si>
    <t>4004-02</t>
  </si>
  <si>
    <t>4004</t>
  </si>
  <si>
    <t>Context.Preachg:Youth</t>
  </si>
  <si>
    <t>4012-02</t>
  </si>
  <si>
    <t>4012</t>
  </si>
  <si>
    <t>633</t>
  </si>
  <si>
    <t>Prchg OT/NT for Max Impact</t>
  </si>
  <si>
    <t>706-02</t>
  </si>
  <si>
    <t>706</t>
  </si>
  <si>
    <t>641</t>
  </si>
  <si>
    <t>Practicum in Military Chaplaincy</t>
  </si>
  <si>
    <t>PACC</t>
  </si>
  <si>
    <t>643</t>
  </si>
  <si>
    <t>Trauma &amp; Adv. Crisis</t>
  </si>
  <si>
    <t>S. Kwon, D. Young</t>
  </si>
  <si>
    <t>3284-02</t>
  </si>
  <si>
    <t>3284</t>
  </si>
  <si>
    <t>Trauma&amp;Adv Crisis Intervention</t>
  </si>
  <si>
    <t>245</t>
  </si>
  <si>
    <t>654</t>
  </si>
  <si>
    <t>D. Williams (25 St.)</t>
  </si>
  <si>
    <t>4009-02</t>
  </si>
  <si>
    <t>4009</t>
  </si>
  <si>
    <t>Evangelistic Small Groups</t>
  </si>
  <si>
    <t>EVAN</t>
  </si>
  <si>
    <t>726-02</t>
  </si>
  <si>
    <t>726</t>
  </si>
  <si>
    <t>Field Practicum</t>
  </si>
  <si>
    <t>246</t>
  </si>
  <si>
    <t>T. Madding (NADEI)</t>
  </si>
  <si>
    <t>702-02</t>
  </si>
  <si>
    <t>702</t>
  </si>
  <si>
    <t>Staff (Chaplaincy)</t>
  </si>
  <si>
    <t>3552-02</t>
  </si>
  <si>
    <t>3552</t>
  </si>
  <si>
    <t>Field Practicum:</t>
  </si>
  <si>
    <t>4018-02</t>
  </si>
  <si>
    <t>4018</t>
  </si>
  <si>
    <t>712-02</t>
  </si>
  <si>
    <t>712</t>
  </si>
  <si>
    <t>Ind Stdy:</t>
  </si>
  <si>
    <t>703-02</t>
  </si>
  <si>
    <t>703</t>
  </si>
  <si>
    <t>719-02</t>
  </si>
  <si>
    <t>719</t>
  </si>
  <si>
    <t>722-02</t>
  </si>
  <si>
    <t>722</t>
  </si>
  <si>
    <t>737-02</t>
  </si>
  <si>
    <t>737</t>
  </si>
  <si>
    <t>Norton, Ricardo</t>
  </si>
  <si>
    <t>740-02</t>
  </si>
  <si>
    <t>740</t>
  </si>
  <si>
    <t>758-02</t>
  </si>
  <si>
    <t>758</t>
  </si>
  <si>
    <t>110</t>
  </si>
  <si>
    <t>Ind St: Prch Biblical Prophecy</t>
  </si>
  <si>
    <t>713-02</t>
  </si>
  <si>
    <t>713</t>
  </si>
  <si>
    <t>Directed Rdgs in Church Min</t>
  </si>
  <si>
    <t>704-02</t>
  </si>
  <si>
    <t>704</t>
  </si>
  <si>
    <t>720-02</t>
  </si>
  <si>
    <t>720</t>
  </si>
  <si>
    <t>723-02</t>
  </si>
  <si>
    <t>723</t>
  </si>
  <si>
    <t>731-02</t>
  </si>
  <si>
    <t>731</t>
  </si>
  <si>
    <t>738-02</t>
  </si>
  <si>
    <t>738</t>
  </si>
  <si>
    <t>707-02</t>
  </si>
  <si>
    <t>707</t>
  </si>
  <si>
    <t>771-02</t>
  </si>
  <si>
    <t>771</t>
  </si>
  <si>
    <t>108</t>
  </si>
  <si>
    <t>750-02</t>
  </si>
  <si>
    <t>750</t>
  </si>
  <si>
    <t>109</t>
  </si>
  <si>
    <t>759-02</t>
  </si>
  <si>
    <t>759</t>
  </si>
  <si>
    <t>757-02</t>
  </si>
  <si>
    <t>757</t>
  </si>
  <si>
    <t>111</t>
  </si>
  <si>
    <t>4008-02</t>
  </si>
  <si>
    <t>4008</t>
  </si>
  <si>
    <t>4006-02</t>
  </si>
  <si>
    <t>4006</t>
  </si>
  <si>
    <t>THST</t>
  </si>
  <si>
    <t>Christian Theology I</t>
  </si>
  <si>
    <t>Peckham, John C.</t>
  </si>
  <si>
    <t>THST: 11-1350-9120-70</t>
  </si>
  <si>
    <t>605</t>
  </si>
  <si>
    <t>Principles of Christian Ethics</t>
  </si>
  <si>
    <t>503-02</t>
  </si>
  <si>
    <t>611</t>
  </si>
  <si>
    <t>Rev. Insp. &amp; Hermeneutics</t>
  </si>
  <si>
    <t>THST611-001, 998/THST885-004, 998</t>
  </si>
  <si>
    <t>255</t>
  </si>
  <si>
    <t>4019-02</t>
  </si>
  <si>
    <t>4019</t>
  </si>
  <si>
    <t>Rev, Insp &amp; Hermeneutics</t>
  </si>
  <si>
    <t>THCP</t>
  </si>
  <si>
    <t>616</t>
  </si>
  <si>
    <t>Doctrine of God</t>
  </si>
  <si>
    <t>cross-list</t>
  </si>
  <si>
    <t>3166-02</t>
  </si>
  <si>
    <t>3166</t>
  </si>
  <si>
    <t>Contemporary Theology</t>
  </si>
  <si>
    <t>THST628-001, 998/THST885-001/998</t>
  </si>
  <si>
    <t>161</t>
  </si>
  <si>
    <t>Hanna, Martin F.</t>
  </si>
  <si>
    <t>HITH</t>
  </si>
  <si>
    <t>Ethics &amp; the Good Life</t>
  </si>
  <si>
    <t>THST633-001, 998/THST885-004/998</t>
  </si>
  <si>
    <t>483-02</t>
  </si>
  <si>
    <t>483</t>
  </si>
  <si>
    <t>Issues in Origins</t>
  </si>
  <si>
    <t>SYTH</t>
  </si>
  <si>
    <t>659</t>
  </si>
  <si>
    <t>Sem Philosophy, Theology, &amp; Ethics</t>
  </si>
  <si>
    <t>THST659-001/THST935-001</t>
  </si>
  <si>
    <t>History of Philosophy</t>
  </si>
  <si>
    <t>Drew, Arlyn S.</t>
  </si>
  <si>
    <t>1016-02</t>
  </si>
  <si>
    <t>1016</t>
  </si>
  <si>
    <t>080</t>
  </si>
  <si>
    <t>873-02</t>
  </si>
  <si>
    <t>873</t>
  </si>
  <si>
    <t>3165-02</t>
  </si>
  <si>
    <t>3165</t>
  </si>
  <si>
    <t>Davidson, JoAnn</t>
  </si>
  <si>
    <t>4358-02</t>
  </si>
  <si>
    <t>4358</t>
  </si>
  <si>
    <t>Rodrigues, Adriani M.</t>
  </si>
  <si>
    <t>640</t>
  </si>
  <si>
    <t>Doctrine of Salvation</t>
  </si>
  <si>
    <t>THST640-001/THST885-002</t>
  </si>
  <si>
    <t>3167-02</t>
  </si>
  <si>
    <t>3167</t>
  </si>
  <si>
    <t>Top: Contemporary Theo</t>
  </si>
  <si>
    <t>add title, instructor, cross-list, time, day, Room</t>
  </si>
  <si>
    <t>3398-02</t>
  </si>
  <si>
    <t>3398</t>
  </si>
  <si>
    <t>Top:Doctrine of Salvation</t>
  </si>
  <si>
    <t>256</t>
  </si>
  <si>
    <t>Top: Ethics &amp; the Good Life</t>
  </si>
  <si>
    <t>Top: Rev, Insp, &amp; Hermeneutics</t>
  </si>
  <si>
    <t>2194-02</t>
  </si>
  <si>
    <t>2194</t>
  </si>
  <si>
    <t>DirRdg Syst Theo:</t>
  </si>
  <si>
    <t>Remove Title, Cap</t>
  </si>
  <si>
    <t>3399-02</t>
  </si>
  <si>
    <t>3399</t>
  </si>
  <si>
    <t>896</t>
  </si>
  <si>
    <t>Directed Rdg Christian Ethics</t>
  </si>
  <si>
    <t>Dir Rdg Ch Eth:</t>
  </si>
  <si>
    <t>4306-02</t>
  </si>
  <si>
    <t>4306</t>
  </si>
  <si>
    <t xml:space="preserve">Ind St: </t>
  </si>
  <si>
    <t>4307-02</t>
  </si>
  <si>
    <t>4307</t>
  </si>
  <si>
    <t>Ind St Systematic Theo</t>
  </si>
  <si>
    <t>Remove Title, New Instructor</t>
  </si>
  <si>
    <t>4340-02</t>
  </si>
  <si>
    <t>4340</t>
  </si>
  <si>
    <t>512-02</t>
  </si>
  <si>
    <t>512</t>
  </si>
  <si>
    <t>254</t>
  </si>
  <si>
    <t>3575-02</t>
  </si>
  <si>
    <t>3575</t>
  </si>
  <si>
    <t>1357-02</t>
  </si>
  <si>
    <t>1357</t>
  </si>
  <si>
    <t>ETHC</t>
  </si>
  <si>
    <t>4021-02</t>
  </si>
  <si>
    <t>4021</t>
  </si>
  <si>
    <t>Doctrine of the Church</t>
  </si>
  <si>
    <t>4020-02</t>
  </si>
  <si>
    <t>4020</t>
  </si>
  <si>
    <t>4023-02</t>
  </si>
  <si>
    <t>4023</t>
  </si>
  <si>
    <t>626</t>
  </si>
  <si>
    <t>Modern Christian Theology</t>
  </si>
  <si>
    <t>257</t>
  </si>
  <si>
    <t>CHAP,HITH</t>
  </si>
  <si>
    <t>4022-02</t>
  </si>
  <si>
    <t>4022</t>
  </si>
  <si>
    <t>1381-02</t>
  </si>
  <si>
    <t>1381</t>
  </si>
  <si>
    <t>22</t>
  </si>
  <si>
    <t>4024-02</t>
  </si>
  <si>
    <t>4024</t>
  </si>
  <si>
    <t>Theological Ethics</t>
  </si>
  <si>
    <t>4144-02</t>
  </si>
  <si>
    <t>4144</t>
  </si>
  <si>
    <t>826-02</t>
  </si>
  <si>
    <t>826</t>
  </si>
  <si>
    <t>4121-02</t>
  </si>
  <si>
    <t>4121</t>
  </si>
  <si>
    <t>4025-02</t>
  </si>
  <si>
    <t>4025</t>
  </si>
  <si>
    <t>4026-02</t>
  </si>
  <si>
    <t>4026</t>
  </si>
  <si>
    <t>Top:Doctrine of Church</t>
  </si>
  <si>
    <t>506-02</t>
  </si>
  <si>
    <t>464-02</t>
  </si>
  <si>
    <t>464</t>
  </si>
  <si>
    <t>Top: Modern Christian Theology</t>
  </si>
  <si>
    <t>827-02</t>
  </si>
  <si>
    <t>827</t>
  </si>
  <si>
    <t>Directed Rdg Historical Theo</t>
  </si>
  <si>
    <t>4309-02</t>
  </si>
  <si>
    <t>4309</t>
  </si>
  <si>
    <t xml:space="preserve">Ind St </t>
  </si>
  <si>
    <t>038</t>
  </si>
  <si>
    <t>MAPM-ENGL</t>
  </si>
  <si>
    <t>Mission in Cultrl&amp;Rlgs Contxt</t>
  </si>
  <si>
    <t>9OM</t>
  </si>
  <si>
    <t>MA</t>
  </si>
  <si>
    <t>tompkina@andrews.edu</t>
  </si>
  <si>
    <t>000122109</t>
  </si>
  <si>
    <t>choir@andrews.edu</t>
  </si>
  <si>
    <t>000036676</t>
  </si>
  <si>
    <t>132</t>
  </si>
  <si>
    <t>coralie@andrews.edu</t>
  </si>
  <si>
    <t>000076162</t>
  </si>
  <si>
    <t>092</t>
  </si>
  <si>
    <t>Polish Senior College Theo&amp;Hum [OCPOL]</t>
  </si>
  <si>
    <t>cvine@andrews.edu</t>
  </si>
  <si>
    <t>000093509</t>
  </si>
  <si>
    <t>055</t>
  </si>
  <si>
    <t>Universitatea Adventus din Cer {OCROU}</t>
  </si>
  <si>
    <t>Asia-Pacific Int Univ AIU {OCTHA}</t>
  </si>
  <si>
    <t>091</t>
  </si>
  <si>
    <t>Ukrainan Adv Center Higher ED {OCUKR}</t>
  </si>
  <si>
    <t>128</t>
  </si>
  <si>
    <t>Taiwan Adventist College {OCTWN}</t>
  </si>
  <si>
    <t>069</t>
  </si>
  <si>
    <t>Zaokski Theo Seminary {OCRUS}</t>
  </si>
  <si>
    <t>staff</t>
  </si>
  <si>
    <t>Sevryukov, Andrey N.</t>
  </si>
  <si>
    <t>sevrewko@andrews.edu</t>
  </si>
  <si>
    <t>000108213</t>
  </si>
  <si>
    <t>Shumchuk, Bohdan</t>
  </si>
  <si>
    <t>shumchuk@andrews.edu</t>
  </si>
  <si>
    <t>000247692</t>
  </si>
  <si>
    <t>Agustin, Alfredo G.</t>
  </si>
  <si>
    <t>`</t>
  </si>
  <si>
    <t xml:space="preserve">Studies in the Gospels </t>
  </si>
  <si>
    <t>4-OCT-26</t>
  </si>
  <si>
    <t>9-OCT-26</t>
  </si>
  <si>
    <t>10-OCT-26</t>
  </si>
  <si>
    <t>Ukrainan Adv Center Higher ED [OCUKR]</t>
  </si>
  <si>
    <t>BL</t>
  </si>
  <si>
    <t>160</t>
  </si>
  <si>
    <t>11-OCT-26</t>
  </si>
  <si>
    <t>16-OCT-26</t>
  </si>
  <si>
    <t>17-OCT-26</t>
  </si>
  <si>
    <t xml:space="preserve">Studies in Acts and General Epistles </t>
  </si>
  <si>
    <t>Zaokski Theo Seminary [OCRUS]</t>
  </si>
  <si>
    <t>Readings in Revelation</t>
  </si>
  <si>
    <t>iho@andrews.edu</t>
  </si>
  <si>
    <t>000200889 </t>
  </si>
  <si>
    <t>Taiwan Adventist College [OCTWN]</t>
  </si>
  <si>
    <t>Studies in Prophets (Engl)</t>
  </si>
  <si>
    <t>Moskala, Jiri</t>
  </si>
  <si>
    <t>gersoncr@andrews.edu</t>
  </si>
  <si>
    <t>000036790</t>
  </si>
  <si>
    <t>Studies in Daniel (Engl)</t>
  </si>
  <si>
    <t>abnerh@andrews.edu</t>
  </si>
  <si>
    <t>Asia-Pacific Int Univ AIU [OCTHA]</t>
  </si>
  <si>
    <t>3031-02</t>
  </si>
  <si>
    <t>3031</t>
  </si>
  <si>
    <t>788</t>
  </si>
  <si>
    <t>DMin Prof Dissertation Cont</t>
  </si>
  <si>
    <t>Deleted (but still in banner) {not in Banner}</t>
  </si>
  <si>
    <t>Year {not in Banner}</t>
  </si>
  <si>
    <t>Semester {not in Banner}</t>
  </si>
  <si>
    <t>✓</t>
  </si>
  <si>
    <t>1043-01</t>
  </si>
  <si>
    <t>1043</t>
  </si>
  <si>
    <t>MDIV</t>
  </si>
  <si>
    <t>Adv Arch Field Work</t>
  </si>
  <si>
    <t>009</t>
  </si>
  <si>
    <t>Blended Learning</t>
  </si>
  <si>
    <t>04-MAY-25</t>
  </si>
  <si>
    <t>01-JUN-25</t>
  </si>
  <si>
    <t>01-AUG-25</t>
  </si>
  <si>
    <t>Nethery Hall [NH]</t>
  </si>
  <si>
    <t>Abar, Emmanuel M.</t>
  </si>
  <si>
    <t>-633</t>
  </si>
  <si>
    <t>EAB4</t>
  </si>
  <si>
    <t>202531</t>
  </si>
  <si>
    <t>01-JUL-25</t>
  </si>
  <si>
    <t>P-ANEA830</t>
  </si>
  <si>
    <t>A1</t>
  </si>
  <si>
    <t>03-FEB-25</t>
  </si>
  <si>
    <t>MSCID</t>
  </si>
  <si>
    <t>MAJOR</t>
  </si>
  <si>
    <t>000003023</t>
  </si>
  <si>
    <t>2015</t>
  </si>
  <si>
    <t>Spring</t>
  </si>
  <si>
    <t>🔔</t>
  </si>
  <si>
    <t>1044-01</t>
  </si>
  <si>
    <t>1044</t>
  </si>
  <si>
    <t>MDIV-FL</t>
  </si>
  <si>
    <t>Adv St Pauline Wrtg: Romans</t>
  </si>
  <si>
    <t>028</t>
  </si>
  <si>
    <t>Equivalency Assessment</t>
  </si>
  <si>
    <t>07-JUL-25</t>
  </si>
  <si>
    <t>02-JUL-25</t>
  </si>
  <si>
    <t>03-JUL-25</t>
  </si>
  <si>
    <t>120</t>
  </si>
  <si>
    <t>Pioneer Memorial Church [PMC]</t>
  </si>
  <si>
    <t>Aguiar, Adenilton T.</t>
  </si>
  <si>
    <t>-922</t>
  </si>
  <si>
    <t>EAR2</t>
  </si>
  <si>
    <t>FLAT</t>
  </si>
  <si>
    <t>T1</t>
  </si>
  <si>
    <t>34</t>
  </si>
  <si>
    <t>11-MAY-25</t>
  </si>
  <si>
    <t>12-MAY-25</t>
  </si>
  <si>
    <t>adriani@andrews.edu</t>
  </si>
  <si>
    <t>000003908</t>
  </si>
  <si>
    <t>PATH: 11-1150-9120-70</t>
  </si>
  <si>
    <t>2016</t>
  </si>
  <si>
    <t>Summer</t>
  </si>
  <si>
    <t>Title</t>
  </si>
  <si>
    <t>1045-01</t>
  </si>
  <si>
    <t>1045</t>
  </si>
  <si>
    <t>MAPM-HISP</t>
  </si>
  <si>
    <t>044</t>
  </si>
  <si>
    <t>9</t>
  </si>
  <si>
    <t>RC</t>
  </si>
  <si>
    <t>09-JUN-25</t>
  </si>
  <si>
    <t>02-JUN-25</t>
  </si>
  <si>
    <t>04-JUL-25</t>
  </si>
  <si>
    <t>1200</t>
  </si>
  <si>
    <t>153</t>
  </si>
  <si>
    <t>1267</t>
  </si>
  <si>
    <t>01-MAY-25</t>
  </si>
  <si>
    <t>ARHA,CLAS,JEWS,NTBG</t>
  </si>
  <si>
    <t>15-JUN-25</t>
  </si>
  <si>
    <t>16-JUN-25</t>
  </si>
  <si>
    <t>agustina@andrews.edu</t>
  </si>
  <si>
    <t>000008963</t>
  </si>
  <si>
    <t>MSSN: 11-1200-9120-70</t>
  </si>
  <si>
    <t>2017</t>
  </si>
  <si>
    <t>Fall</t>
  </si>
  <si>
    <t>Add X-List</t>
  </si>
  <si>
    <t>1047-01</t>
  </si>
  <si>
    <t>1047</t>
  </si>
  <si>
    <t>Adv Studies Pauline Wrtg:</t>
  </si>
  <si>
    <t>Coll: NAD Summit on Abuse</t>
  </si>
  <si>
    <t>061</t>
  </si>
  <si>
    <t>Q</t>
  </si>
  <si>
    <t>TOUR</t>
  </si>
  <si>
    <t>01-NOV-25</t>
  </si>
  <si>
    <t>06-JUN-25</t>
  </si>
  <si>
    <t>Wellness Center [ACW]</t>
  </si>
  <si>
    <t>Alexe, Cristina A.</t>
  </si>
  <si>
    <t>ES30</t>
  </si>
  <si>
    <t>P-NTST658</t>
  </si>
  <si>
    <t>CH1</t>
  </si>
  <si>
    <t>11</t>
  </si>
  <si>
    <t>18-MAY-25</t>
  </si>
  <si>
    <t>19-MAY-25</t>
  </si>
  <si>
    <t>290</t>
  </si>
  <si>
    <t>ainsworj@andrews.edu</t>
  </si>
  <si>
    <t>000012107</t>
  </si>
  <si>
    <t>_DIS: 11-1200-9120-70-120011</t>
  </si>
  <si>
    <t>2018</t>
  </si>
  <si>
    <t>Delete X-List</t>
  </si>
  <si>
    <t>1050-01</t>
  </si>
  <si>
    <t>MAR-NAD</t>
  </si>
  <si>
    <t>Colloquium: Church Security</t>
  </si>
  <si>
    <t>086</t>
  </si>
  <si>
    <t>14-JUL-25</t>
  </si>
  <si>
    <t>02-DEC-25</t>
  </si>
  <si>
    <t>Advent Health University [OCFLAH]</t>
  </si>
  <si>
    <t>Allen, Shirley M.</t>
  </si>
  <si>
    <t>1471</t>
  </si>
  <si>
    <t>ESCF</t>
  </si>
  <si>
    <t>P-NTST668</t>
  </si>
  <si>
    <t>CH1,REFM</t>
  </si>
  <si>
    <t>21-JUN-25</t>
  </si>
  <si>
    <t>22-JUN-25</t>
  </si>
  <si>
    <t>26-JUN-25</t>
  </si>
  <si>
    <t>90</t>
  </si>
  <si>
    <t>bbauer@andrews.edu</t>
  </si>
  <si>
    <t>000012454</t>
  </si>
  <si>
    <t>2019</t>
  </si>
  <si>
    <t>Sp. Approval</t>
  </si>
  <si>
    <t>1050-02</t>
  </si>
  <si>
    <t>MAR-INT</t>
  </si>
  <si>
    <t>Advanced Campus Ministry</t>
  </si>
  <si>
    <t>DirRdg Arch Early Baptisteries</t>
  </si>
  <si>
    <t>087</t>
  </si>
  <si>
    <t>17-JUN-25</t>
  </si>
  <si>
    <t>24-JUN-25</t>
  </si>
  <si>
    <t>Amador Morales, Luis A.</t>
  </si>
  <si>
    <t>ESM1</t>
  </si>
  <si>
    <t>CHAP,HITH,REFM</t>
  </si>
  <si>
    <t>13</t>
  </si>
  <si>
    <t>25-MAY-25</t>
  </si>
  <si>
    <t>26-MAY-25</t>
  </si>
  <si>
    <t>bobjohn@andrews.edu</t>
  </si>
  <si>
    <t>000026696</t>
  </si>
  <si>
    <t>OTST: 11-1300-9120-70</t>
  </si>
  <si>
    <t>1120-01</t>
  </si>
  <si>
    <t>1123</t>
  </si>
  <si>
    <t>031</t>
  </si>
  <si>
    <t>SOLC</t>
  </si>
  <si>
    <t>Advent Hist,Life&amp;Writings EGW</t>
  </si>
  <si>
    <t>DirRdg:</t>
  </si>
  <si>
    <t>088</t>
  </si>
  <si>
    <t>Music Organization</t>
  </si>
  <si>
    <t>03-DEC-25</t>
  </si>
  <si>
    <t>25-JUN-25</t>
  </si>
  <si>
    <t>Burman University [OCCABU]</t>
  </si>
  <si>
    <t>Anderson, Paul S.</t>
  </si>
  <si>
    <t>ESM3</t>
  </si>
  <si>
    <t>03-JUN-25</t>
  </si>
  <si>
    <t>14</t>
  </si>
  <si>
    <t>27-JUN-25</t>
  </si>
  <si>
    <t>burtonk@andrews.edu</t>
  </si>
  <si>
    <t>000029934</t>
  </si>
  <si>
    <t>DSLE: 11-1320-9120-70</t>
  </si>
  <si>
    <t>2021</t>
  </si>
  <si>
    <t>Remove C7 Restr.</t>
  </si>
  <si>
    <t>1123-01</t>
  </si>
  <si>
    <t>1124</t>
  </si>
  <si>
    <t>Archaeological Field Work</t>
  </si>
  <si>
    <t>DirRdg:Gen SDA Hst in Cntxt</t>
  </si>
  <si>
    <t>089</t>
  </si>
  <si>
    <t>Practicum</t>
  </si>
  <si>
    <t>EGW Cert</t>
  </si>
  <si>
    <t>05-JUL-25</t>
  </si>
  <si>
    <t>31-JUL-25</t>
  </si>
  <si>
    <t>1700</t>
  </si>
  <si>
    <t>Centro Univ Adv de Sao Paulo [OCBRA1]</t>
  </si>
  <si>
    <t>Andvik, Lidvar</t>
  </si>
  <si>
    <t>929</t>
  </si>
  <si>
    <t>ESM4</t>
  </si>
  <si>
    <t>03-OCT-25</t>
  </si>
  <si>
    <t>ccarlos@andrews.edu</t>
  </si>
  <si>
    <t>000031535</t>
  </si>
  <si>
    <t>2022</t>
  </si>
  <si>
    <t>Progr. Restr.</t>
  </si>
  <si>
    <t>1123-02</t>
  </si>
  <si>
    <t>1148</t>
  </si>
  <si>
    <t>040</t>
  </si>
  <si>
    <t>DIS</t>
  </si>
  <si>
    <t>Archaeology and the Bible</t>
  </si>
  <si>
    <t>DirRg:Ancnt Israelite Sacrifcs</t>
  </si>
  <si>
    <t>093</t>
  </si>
  <si>
    <t>MAPM_HISP</t>
  </si>
  <si>
    <t>05-JUN-25</t>
  </si>
  <si>
    <t>Florida Conference of SDA [OCFLFC]</t>
  </si>
  <si>
    <t>Antic, Radisa</t>
  </si>
  <si>
    <t>ESTD</t>
  </si>
  <si>
    <t>04-AUG-25</t>
  </si>
  <si>
    <t>000033676</t>
  </si>
  <si>
    <t>DMIN: 11-1170-9120-70-1170*</t>
  </si>
  <si>
    <t>2023</t>
  </si>
  <si>
    <t>Credits</t>
  </si>
  <si>
    <t>1123-03</t>
  </si>
  <si>
    <t>1149</t>
  </si>
  <si>
    <t>041</t>
  </si>
  <si>
    <t>DMIN</t>
  </si>
  <si>
    <t>Directed Rdgs</t>
  </si>
  <si>
    <t>Workshop</t>
  </si>
  <si>
    <t>MAPM_ENGL</t>
  </si>
  <si>
    <t>36</t>
  </si>
  <si>
    <t>04-JUN-25</t>
  </si>
  <si>
    <t>1730</t>
  </si>
  <si>
    <t>Forest Lake SDA Church [OCFLFL]</t>
  </si>
  <si>
    <t>Arena, Timothy J.</t>
  </si>
  <si>
    <t>ESTM</t>
  </si>
  <si>
    <t>17</t>
  </si>
  <si>
    <t>cincala@andrews.edu</t>
  </si>
  <si>
    <t>000033967</t>
  </si>
  <si>
    <t>2024</t>
  </si>
  <si>
    <t>1124-01</t>
  </si>
  <si>
    <t>1150</t>
  </si>
  <si>
    <t>537</t>
  </si>
  <si>
    <t>042</t>
  </si>
  <si>
    <t>EGW-Cert</t>
  </si>
  <si>
    <t>Bib Theo&amp;Spiritl Found Mssn</t>
  </si>
  <si>
    <t>126</t>
  </si>
  <si>
    <t>MAR_INT</t>
  </si>
  <si>
    <t>S215</t>
  </si>
  <si>
    <t>Hong Kong Adventist College [OCCHK]</t>
  </si>
  <si>
    <t>Arias-Quintero, Jose A.</t>
  </si>
  <si>
    <t>000035762</t>
  </si>
  <si>
    <t>2025</t>
  </si>
  <si>
    <t>1124-02</t>
  </si>
  <si>
    <t>1151</t>
  </si>
  <si>
    <t>043</t>
  </si>
  <si>
    <t>MAYYM</t>
  </si>
  <si>
    <t>MAR_NAD</t>
  </si>
  <si>
    <t>07-JUN-25</t>
  </si>
  <si>
    <t>Loma Linda University [OCCALL]</t>
  </si>
  <si>
    <t>Augsburger, Daniel E.</t>
  </si>
  <si>
    <t>05-MAY-25</t>
  </si>
  <si>
    <t>19</t>
  </si>
  <si>
    <t>crewsh@andrews.edu</t>
  </si>
  <si>
    <t>000036675</t>
  </si>
  <si>
    <t>2026</t>
  </si>
  <si>
    <t>Time</t>
  </si>
  <si>
    <t>1124-03</t>
  </si>
  <si>
    <t>1154</t>
  </si>
  <si>
    <t>PHD/THD</t>
  </si>
  <si>
    <t>Field Practicum:________</t>
  </si>
  <si>
    <t>129</t>
  </si>
  <si>
    <t>08-JUN-25</t>
  </si>
  <si>
    <t>Newbold College [OCGBR]</t>
  </si>
  <si>
    <t>Badenas, Roberto D.</t>
  </si>
  <si>
    <t>06-AUG-25</t>
  </si>
  <si>
    <t>2027</t>
  </si>
  <si>
    <t>Room</t>
  </si>
  <si>
    <t>1148-01</t>
  </si>
  <si>
    <t>1155</t>
  </si>
  <si>
    <t>045</t>
  </si>
  <si>
    <t>PHD-RelEd</t>
  </si>
  <si>
    <t>Ind St: Dev. of SDA Theology</t>
  </si>
  <si>
    <t>1-9</t>
  </si>
  <si>
    <t>07-NOV-25</t>
  </si>
  <si>
    <t>North American Division of SDA [OCMDND]</t>
  </si>
  <si>
    <t>Baez Garcia, Enrique</t>
  </si>
  <si>
    <t>06-JUL-25</t>
  </si>
  <si>
    <t>davidson@andrews.edu</t>
  </si>
  <si>
    <t>2028</t>
  </si>
  <si>
    <t>Location</t>
  </si>
  <si>
    <t>1149-01</t>
  </si>
  <si>
    <t>1159</t>
  </si>
  <si>
    <t>POSTDOC</t>
  </si>
  <si>
    <t>Christn Respns to Human Needs</t>
  </si>
  <si>
    <t>Ind St: Early Church to AD 604</t>
  </si>
  <si>
    <t>10-AUG-25</t>
  </si>
  <si>
    <t>North Pacific Union Conference [OCWANP]</t>
  </si>
  <si>
    <t>Baker, Leslie S.</t>
  </si>
  <si>
    <t>dementyev@andrews.edu</t>
  </si>
  <si>
    <t>000039170</t>
  </si>
  <si>
    <t>2029</t>
  </si>
  <si>
    <t>1150-01</t>
  </si>
  <si>
    <t>1160</t>
  </si>
  <si>
    <t>065</t>
  </si>
  <si>
    <t>Church Grwth&amp; Equipping Leader</t>
  </si>
  <si>
    <t>Ind St: Greco Roman World</t>
  </si>
  <si>
    <t>10-JUN-25</t>
  </si>
  <si>
    <t>09-AUG-25</t>
  </si>
  <si>
    <t>Northern New England Conf [OCMENE]</t>
  </si>
  <si>
    <t>Baldwin, John T.</t>
  </si>
  <si>
    <t>06-MAY-25</t>
  </si>
  <si>
    <t>HT</t>
  </si>
  <si>
    <t>23</t>
  </si>
  <si>
    <t>denis@andrews.edu</t>
  </si>
  <si>
    <t>000041639</t>
  </si>
  <si>
    <t>2030</t>
  </si>
  <si>
    <t>Add Fee</t>
  </si>
  <si>
    <t>1151-01</t>
  </si>
  <si>
    <t>1161</t>
  </si>
  <si>
    <t>Church History 1500 to Present</t>
  </si>
  <si>
    <t>Ind St: Historical Books</t>
  </si>
  <si>
    <t>137</t>
  </si>
  <si>
    <t>Oklahoma City Central [OCOKOC]</t>
  </si>
  <si>
    <t>Barbosa, Rodrigo d.</t>
  </si>
  <si>
    <t>07-AUG-25</t>
  </si>
  <si>
    <t>24</t>
  </si>
  <si>
    <t>drewa@andrews.edu</t>
  </si>
  <si>
    <t>000042559</t>
  </si>
  <si>
    <t>2031</t>
  </si>
  <si>
    <t>Remove Fee</t>
  </si>
  <si>
    <t>1151-02</t>
  </si>
  <si>
    <t>1162</t>
  </si>
  <si>
    <t>549</t>
  </si>
  <si>
    <t>079</t>
  </si>
  <si>
    <t>Church History Study Tour</t>
  </si>
  <si>
    <t>Ind St: Holy Spirit in the NT</t>
  </si>
  <si>
    <t>138</t>
  </si>
  <si>
    <t>13-JUL-25</t>
  </si>
  <si>
    <t>10-OCT-25</t>
  </si>
  <si>
    <t>Barcelo, Saul</t>
  </si>
  <si>
    <t>07-MAY-25</t>
  </si>
  <si>
    <t>NTBG</t>
  </si>
  <si>
    <t>drumi@andrews.edu</t>
  </si>
  <si>
    <t>000043384</t>
  </si>
  <si>
    <t>2032</t>
  </si>
  <si>
    <t>1151-03</t>
  </si>
  <si>
    <t>1169</t>
  </si>
  <si>
    <t>Ind St: Urban Context MSSN</t>
  </si>
  <si>
    <t>146</t>
  </si>
  <si>
    <t>2-4</t>
  </si>
  <si>
    <t>13-MAY-25</t>
  </si>
  <si>
    <t>12-JUL-25</t>
  </si>
  <si>
    <t>Southeastern California Conf [OCCASC]</t>
  </si>
  <si>
    <t>Barna, Jan</t>
  </si>
  <si>
    <t>08-JUL-25</t>
  </si>
  <si>
    <t>NTTH,PAUL,THEO</t>
  </si>
  <si>
    <t>26</t>
  </si>
  <si>
    <t>duffisgordo@andrews.edu</t>
  </si>
  <si>
    <t>000043638</t>
  </si>
  <si>
    <t>2033</t>
  </si>
  <si>
    <t>1151-04</t>
  </si>
  <si>
    <t>1170</t>
  </si>
  <si>
    <t>Ind St: Worship: Word &amp; Music</t>
  </si>
  <si>
    <t>147</t>
  </si>
  <si>
    <t>27</t>
  </si>
  <si>
    <t>eknott@andrews.edu</t>
  </si>
  <si>
    <t>000048477</t>
  </si>
  <si>
    <t>2034</t>
  </si>
  <si>
    <t>1154-01</t>
  </si>
  <si>
    <t>1171</t>
  </si>
  <si>
    <t>095</t>
  </si>
  <si>
    <t>Counseling Youth &amp; Young Adult</t>
  </si>
  <si>
    <t>Ind St:Counseling Youth &amp; Y Ad</t>
  </si>
  <si>
    <t>314</t>
  </si>
  <si>
    <t>14-JUN-25</t>
  </si>
  <si>
    <t>13-JUN-25</t>
  </si>
  <si>
    <t>Bauer, Bruce L.</t>
  </si>
  <si>
    <t>08-MAY-25</t>
  </si>
  <si>
    <t>NTTH,THEO</t>
  </si>
  <si>
    <t>29</t>
  </si>
  <si>
    <t>elir@andrews.edu</t>
  </si>
  <si>
    <t>000049018</t>
  </si>
  <si>
    <t>2035</t>
  </si>
  <si>
    <t>1155-01</t>
  </si>
  <si>
    <t>1175</t>
  </si>
  <si>
    <t>Current Issues in Mission</t>
  </si>
  <si>
    <t>Ind St:Devlmnt of SDA Theology</t>
  </si>
  <si>
    <t>315</t>
  </si>
  <si>
    <t>15-AUG-25</t>
  </si>
  <si>
    <t>14-AUG-25</t>
  </si>
  <si>
    <t>Union College [OCNEUC]</t>
  </si>
  <si>
    <t>Beagles, Kathleen A.</t>
  </si>
  <si>
    <t>09-APR-25</t>
  </si>
  <si>
    <t>OTHA</t>
  </si>
  <si>
    <t>eugenez@andrews.edu</t>
  </si>
  <si>
    <t>000049271</t>
  </si>
  <si>
    <t>2036</t>
  </si>
  <si>
    <t>1159-01</t>
  </si>
  <si>
    <t>1176</t>
  </si>
  <si>
    <t>Ind St:Reform Philosoph &amp; Theo</t>
  </si>
  <si>
    <t>316</t>
  </si>
  <si>
    <t>Univ Adventista del Plata [OCARG]</t>
  </si>
  <si>
    <t>Beaulieu, Stephane A.</t>
  </si>
  <si>
    <t>09-JUL-25</t>
  </si>
  <si>
    <t>evelynk@andrews.edu</t>
  </si>
  <si>
    <t>000050696</t>
  </si>
  <si>
    <t>2037</t>
  </si>
  <si>
    <t>1160-01</t>
  </si>
  <si>
    <t>1177</t>
  </si>
  <si>
    <t>Ind St:Sprtl Nurtr f Chldrn</t>
  </si>
  <si>
    <t>318</t>
  </si>
  <si>
    <t>16-AUG-25</t>
  </si>
  <si>
    <t>Universitatea Adventus din Cer [OCROU]</t>
  </si>
  <si>
    <t>Bediako, Daniel K.</t>
  </si>
  <si>
    <t>37</t>
  </si>
  <si>
    <t>fcortez@andrews.edu</t>
  </si>
  <si>
    <t>000052089</t>
  </si>
  <si>
    <t>2038</t>
  </si>
  <si>
    <t>1161-01</t>
  </si>
  <si>
    <t>1178</t>
  </si>
  <si>
    <t>DMin Prof Dissertation</t>
  </si>
  <si>
    <t>Ind Sty: OT Archaeology</t>
  </si>
  <si>
    <t>319</t>
  </si>
  <si>
    <t>5,6</t>
  </si>
  <si>
    <t>17-AUG-25</t>
  </si>
  <si>
    <t>17-JUL-25</t>
  </si>
  <si>
    <t>Bell, Ora M.</t>
  </si>
  <si>
    <t>09-MAY-25</t>
  </si>
  <si>
    <t>fortind@andrews.edu</t>
  </si>
  <si>
    <t>000052867</t>
  </si>
  <si>
    <t>2039</t>
  </si>
  <si>
    <t>1162-01</t>
  </si>
  <si>
    <t>1180</t>
  </si>
  <si>
    <t>Ind Sty: OT Backgrounds</t>
  </si>
  <si>
    <t>321</t>
  </si>
  <si>
    <t>Atlantic Union - AtlU</t>
  </si>
  <si>
    <t>Bentancur, Ricardo</t>
  </si>
  <si>
    <t>43</t>
  </si>
  <si>
    <t>fraserj@andrews.edu</t>
  </si>
  <si>
    <t>000057080</t>
  </si>
  <si>
    <t>2040</t>
  </si>
  <si>
    <t>1162-02</t>
  </si>
  <si>
    <t>IndSt:</t>
  </si>
  <si>
    <t>322</t>
  </si>
  <si>
    <t>18-JUL-25</t>
  </si>
  <si>
    <t>17-MAY-25</t>
  </si>
  <si>
    <t>Columbia Union - CU</t>
  </si>
  <si>
    <t>Blue, Katrina B.</t>
  </si>
  <si>
    <t>gallos@andrews.edu</t>
  </si>
  <si>
    <t>000057767</t>
  </si>
  <si>
    <t>2041</t>
  </si>
  <si>
    <t>1162-03</t>
  </si>
  <si>
    <t>574</t>
  </si>
  <si>
    <t>Development SDA Theology</t>
  </si>
  <si>
    <t>IndSt:Apoclypt Wrtngs Early Ch</t>
  </si>
  <si>
    <t>323</t>
  </si>
  <si>
    <t>18-JUN-25</t>
  </si>
  <si>
    <t>Southern Union - SU</t>
  </si>
  <si>
    <t>Borda, Guilherme L.</t>
  </si>
  <si>
    <t>12-AUG-25</t>
  </si>
  <si>
    <t>51</t>
  </si>
  <si>
    <t>gane@andrews.edu</t>
  </si>
  <si>
    <t>000065636</t>
  </si>
  <si>
    <t>2042</t>
  </si>
  <si>
    <t>1162-04</t>
  </si>
  <si>
    <t>1235</t>
  </si>
  <si>
    <t>584</t>
  </si>
  <si>
    <t>Dir St:</t>
  </si>
  <si>
    <t>IndSt:Sacrif Trms in Leviticus</t>
  </si>
  <si>
    <t>325</t>
  </si>
  <si>
    <t>19-JUL-25</t>
  </si>
  <si>
    <t>Mid-America Union - MAU</t>
  </si>
  <si>
    <t>Braun, Erlo</t>
  </si>
  <si>
    <t>12-JUN-25</t>
  </si>
  <si>
    <t>gibbsn@andrews.edu</t>
  </si>
  <si>
    <t>000066942</t>
  </si>
  <si>
    <t>2043</t>
  </si>
  <si>
    <t>1169-01</t>
  </si>
  <si>
    <t>1277</t>
  </si>
  <si>
    <t>127</t>
  </si>
  <si>
    <t>IndepStud:Intergenerationl Min</t>
  </si>
  <si>
    <t>326</t>
  </si>
  <si>
    <t>19-JUN-25</t>
  </si>
  <si>
    <t>Southwestern Union - SWU</t>
  </si>
  <si>
    <t>Breja, Alexandru</t>
  </si>
  <si>
    <t>gkrause@andrews.edu</t>
  </si>
  <si>
    <t>000067555</t>
  </si>
  <si>
    <t>2044</t>
  </si>
  <si>
    <t>1170-01</t>
  </si>
  <si>
    <t>600</t>
  </si>
  <si>
    <t>327</t>
  </si>
  <si>
    <t>20-JUL-25</t>
  </si>
  <si>
    <t>Pacific Union - PU</t>
  </si>
  <si>
    <t>Broy, Trisha E.</t>
  </si>
  <si>
    <t>glanz@andrews.edu</t>
  </si>
  <si>
    <t>000068119</t>
  </si>
  <si>
    <t>2045</t>
  </si>
  <si>
    <t>1171-01</t>
  </si>
  <si>
    <t>1305</t>
  </si>
  <si>
    <t>Major Prophets: Isaiah</t>
  </si>
  <si>
    <t>328</t>
  </si>
  <si>
    <t>20-JUN-25</t>
  </si>
  <si>
    <t>Lake Union- LU</t>
  </si>
  <si>
    <t>Bullon, Alejandro</t>
  </si>
  <si>
    <t>heber@andrews.edu</t>
  </si>
  <si>
    <t>000069315</t>
  </si>
  <si>
    <t>2046</t>
  </si>
  <si>
    <t>1171-02</t>
  </si>
  <si>
    <t>131</t>
  </si>
  <si>
    <t>329</t>
  </si>
  <si>
    <t>21-JUL-25</t>
  </si>
  <si>
    <t>21-AUG-25</t>
  </si>
  <si>
    <t>Canadian Union - CNU</t>
  </si>
  <si>
    <t>Burt, Merlin D.</t>
  </si>
  <si>
    <t>14-APR-25</t>
  </si>
  <si>
    <t>huss@andrews.edu</t>
  </si>
  <si>
    <t>000069431</t>
  </si>
  <si>
    <t>2047</t>
  </si>
  <si>
    <t>1171-03</t>
  </si>
  <si>
    <t>1311</t>
  </si>
  <si>
    <t>330</t>
  </si>
  <si>
    <t>Poland/Baltic States - PolBal</t>
  </si>
  <si>
    <t>Burton, Kevin M.</t>
  </si>
  <si>
    <t>14-FEB-25</t>
  </si>
  <si>
    <t>hyveth@andrews.edu</t>
  </si>
  <si>
    <t>000069917</t>
  </si>
  <si>
    <t>2048</t>
  </si>
  <si>
    <t>1171-04</t>
  </si>
  <si>
    <t>1999</t>
  </si>
  <si>
    <t>PhD (Rel Education) Prog Cont</t>
  </si>
  <si>
    <t>331</t>
  </si>
  <si>
    <t>22-AUG-25</t>
  </si>
  <si>
    <t>Hong Kong - HK</t>
  </si>
  <si>
    <t>Camarena, Carlos C.</t>
  </si>
  <si>
    <t>jad@andrews.edu</t>
  </si>
  <si>
    <t>000073236</t>
  </si>
  <si>
    <t>2049</t>
  </si>
  <si>
    <t>1175-01</t>
  </si>
  <si>
    <t>2005</t>
  </si>
  <si>
    <t>201</t>
  </si>
  <si>
    <t>332</t>
  </si>
  <si>
    <t>22-MAY-25</t>
  </si>
  <si>
    <t>Thailand - Thai</t>
  </si>
  <si>
    <t>Canale, Fernando</t>
  </si>
  <si>
    <t>14-MAY-25</t>
  </si>
  <si>
    <t>jeroncic@andrews.edu</t>
  </si>
  <si>
    <t>000074406</t>
  </si>
  <si>
    <t>2050</t>
  </si>
  <si>
    <t>1176-01</t>
  </si>
  <si>
    <t>2008</t>
  </si>
  <si>
    <t>333</t>
  </si>
  <si>
    <t>23-JUN-25</t>
  </si>
  <si>
    <t>22-NOV-25</t>
  </si>
  <si>
    <t>Costa Rica</t>
  </si>
  <si>
    <t>Canals, Ramon J.</t>
  </si>
  <si>
    <t>15-JUL-25</t>
  </si>
  <si>
    <t>jreeve@andrews.edu</t>
  </si>
  <si>
    <t>1177-01</t>
  </si>
  <si>
    <t>2013</t>
  </si>
  <si>
    <t>614</t>
  </si>
  <si>
    <t>996</t>
  </si>
  <si>
    <t>334</t>
  </si>
  <si>
    <t>23-MAY-25</t>
  </si>
  <si>
    <t>Adventist University of Africa - AUA</t>
  </si>
  <si>
    <t>Case, Steve W.</t>
  </si>
  <si>
    <t>15-MAY-25</t>
  </si>
  <si>
    <t>kenley@andrews.edu</t>
  </si>
  <si>
    <t>000077973</t>
  </si>
  <si>
    <t>1178-01</t>
  </si>
  <si>
    <t>335</t>
  </si>
  <si>
    <t>24-MAY-25</t>
  </si>
  <si>
    <t>24-JUL-25</t>
  </si>
  <si>
    <t>Philipines - AIIAS</t>
  </si>
  <si>
    <t>Castang, Lazarus</t>
  </si>
  <si>
    <t>16-APR-25</t>
  </si>
  <si>
    <t>kiddersj@andrews.edu</t>
  </si>
  <si>
    <t>000079312</t>
  </si>
  <si>
    <t>1178-02</t>
  </si>
  <si>
    <t>618</t>
  </si>
  <si>
    <t>Disciplshp&amp;Worldvw Transfrmatn</t>
  </si>
  <si>
    <t>336</t>
  </si>
  <si>
    <t>25-JUL-25</t>
  </si>
  <si>
    <t>Cauley, Michael F.</t>
  </si>
  <si>
    <t>17-APR-25</t>
  </si>
  <si>
    <t>kondrat@andrews.edu</t>
  </si>
  <si>
    <t>000087063</t>
  </si>
  <si>
    <t>1178-03</t>
  </si>
  <si>
    <t>2161</t>
  </si>
  <si>
    <t>Psalms/Wisdom Lit</t>
  </si>
  <si>
    <t>337</t>
  </si>
  <si>
    <t>Cauley, Michael R.</t>
  </si>
  <si>
    <t>koval@andrews.edu</t>
  </si>
  <si>
    <t>000092262</t>
  </si>
  <si>
    <t>1178-04</t>
  </si>
  <si>
    <t>2173</t>
  </si>
  <si>
    <t>Psalms/Wisdom Literature</t>
  </si>
  <si>
    <t>338</t>
  </si>
  <si>
    <t>25-FEB-26</t>
  </si>
  <si>
    <t>Ceballos, Mario E.</t>
  </si>
  <si>
    <t>18-APR-25</t>
  </si>
  <si>
    <t>kuhn@andrews.edu</t>
  </si>
  <si>
    <t>1180-01</t>
  </si>
  <si>
    <t>2199</t>
  </si>
  <si>
    <t>Reform-Martin Luther</t>
  </si>
  <si>
    <t>339</t>
  </si>
  <si>
    <t>kwons@andrews.edu</t>
  </si>
  <si>
    <t>000095431</t>
  </si>
  <si>
    <t>1220-01</t>
  </si>
  <si>
    <t>2200</t>
  </si>
  <si>
    <t>Reformation:Reform Theology</t>
  </si>
  <si>
    <t>346</t>
  </si>
  <si>
    <t>27-MAY-25</t>
  </si>
  <si>
    <t>Choque Fernandez, Juan</t>
  </si>
  <si>
    <t>19-AUG-25</t>
  </si>
  <si>
    <t>laurentiu@andrews.edu</t>
  </si>
  <si>
    <t>000096645</t>
  </si>
  <si>
    <t>1223-01</t>
  </si>
  <si>
    <t>2204</t>
  </si>
  <si>
    <t>28-JUL-25</t>
  </si>
  <si>
    <t>27-JAN-26</t>
  </si>
  <si>
    <t>Chow, Christie Chui-Shan</t>
  </si>
  <si>
    <t>lewismi@andrews.edu</t>
  </si>
  <si>
    <t>000098144</t>
  </si>
  <si>
    <t>2212</t>
  </si>
  <si>
    <t>Doctrine of the Holy Spirit</t>
  </si>
  <si>
    <t>St CHIS:Hist&amp; Theo Adv Worship</t>
  </si>
  <si>
    <t>28-JUN-25</t>
  </si>
  <si>
    <t>27-JUL-25</t>
  </si>
  <si>
    <t>Chuah, Daniel G.</t>
  </si>
  <si>
    <t>madding@andrews.edu</t>
  </si>
  <si>
    <t>000105171</t>
  </si>
  <si>
    <t>1235-01</t>
  </si>
  <si>
    <t>637</t>
  </si>
  <si>
    <t>Top CHIS: Early Chch to AD 604</t>
  </si>
  <si>
    <t>30-MAY-25</t>
  </si>
  <si>
    <t>makhti@andrews.edu</t>
  </si>
  <si>
    <t>1277-01</t>
  </si>
  <si>
    <t>2216</t>
  </si>
  <si>
    <t>639</t>
  </si>
  <si>
    <t>Evang Small Groups</t>
  </si>
  <si>
    <t>Top CHIS: Hist of Sab&amp;Sun</t>
  </si>
  <si>
    <t>31-MAY-25</t>
  </si>
  <si>
    <t>29-MAY-25</t>
  </si>
  <si>
    <t>Consuegra, Claudio J.</t>
  </si>
  <si>
    <t>20-MAR-25</t>
  </si>
  <si>
    <t>mhanna@andrews.edu</t>
  </si>
  <si>
    <t>000110700</t>
  </si>
  <si>
    <t>1279-01</t>
  </si>
  <si>
    <t>Top in CH:Hist of Sab&amp;Sunday</t>
  </si>
  <si>
    <t>20-MAY-25</t>
  </si>
  <si>
    <t>moskala@andrews.edu</t>
  </si>
  <si>
    <t>000111021</t>
  </si>
  <si>
    <t>1305-01</t>
  </si>
  <si>
    <t>2218</t>
  </si>
  <si>
    <t>Top in CHIS: Reform Theology</t>
  </si>
  <si>
    <t>21-APR-25</t>
  </si>
  <si>
    <t>nicholas@andrews.edu</t>
  </si>
  <si>
    <t>000115113</t>
  </si>
  <si>
    <t>1309-01</t>
  </si>
  <si>
    <t>2219</t>
  </si>
  <si>
    <t>Top in: Adventist Studies</t>
  </si>
  <si>
    <t>Covrig, Duane M.</t>
  </si>
  <si>
    <t>21-FEB-25</t>
  </si>
  <si>
    <t>olariu@andrews.edu</t>
  </si>
  <si>
    <t>000117063</t>
  </si>
  <si>
    <t>1311-01</t>
  </si>
  <si>
    <t>652</t>
  </si>
  <si>
    <t>Top: Doctrine of God</t>
  </si>
  <si>
    <t>ortizl@andrews.edu</t>
  </si>
  <si>
    <t>000119532</t>
  </si>
  <si>
    <t>1999-01</t>
  </si>
  <si>
    <t>Greco-Roman World</t>
  </si>
  <si>
    <t>Top: ICISF Certif for Crisis</t>
  </si>
  <si>
    <t>Damsteegt, P Gerard</t>
  </si>
  <si>
    <t>21-MAY-25</t>
  </si>
  <si>
    <t>penno@andrews.edu</t>
  </si>
  <si>
    <t>000120498</t>
  </si>
  <si>
    <t>1999-02</t>
  </si>
  <si>
    <t>2241</t>
  </si>
  <si>
    <t>Top: Modern Philosophy</t>
  </si>
  <si>
    <t>22-JUL-25</t>
  </si>
  <si>
    <t>pgregor@andrews.edu</t>
  </si>
  <si>
    <t>000121343</t>
  </si>
  <si>
    <t>2005-01</t>
  </si>
  <si>
    <t>2252</t>
  </si>
  <si>
    <t>658</t>
  </si>
  <si>
    <t>Guided Study Tour Bible Lands</t>
  </si>
  <si>
    <t>Top:AdvSt Paulne Wrt:Romans</t>
  </si>
  <si>
    <t>ramosi@andrews.edu</t>
  </si>
  <si>
    <t>2008-01</t>
  </si>
  <si>
    <t>2259</t>
  </si>
  <si>
    <t>Health&amp;Lifestyle Transformatn</t>
  </si>
  <si>
    <t>Top:Buddhism Culture &amp; Society</t>
  </si>
  <si>
    <t>Davis, Desiree E.</t>
  </si>
  <si>
    <t>ranko@andrews.edu</t>
  </si>
  <si>
    <t>000123480</t>
  </si>
  <si>
    <t>2013-01</t>
  </si>
  <si>
    <t>2260</t>
  </si>
  <si>
    <t>Hist of Christian Mission</t>
  </si>
  <si>
    <t>Top:Healing&amp;Deliverance in Mss</t>
  </si>
  <si>
    <t>De Waal, Kayle B.</t>
  </si>
  <si>
    <t>23-APR-25</t>
  </si>
  <si>
    <t>rayp@andrews.edu</t>
  </si>
  <si>
    <t>000124996</t>
  </si>
  <si>
    <t>2022-01</t>
  </si>
  <si>
    <t>2261</t>
  </si>
  <si>
    <t>668</t>
  </si>
  <si>
    <t>Hist of Sabbath &amp; Sunday</t>
  </si>
  <si>
    <t>Top:Islamic Culture &amp; Society</t>
  </si>
  <si>
    <t>Dei, Daniel</t>
  </si>
  <si>
    <t>23-JUL-25</t>
  </si>
  <si>
    <t>razmerita@andrews.edu</t>
  </si>
  <si>
    <t>000129106</t>
  </si>
  <si>
    <t>2022-02</t>
  </si>
  <si>
    <t>2265</t>
  </si>
  <si>
    <t>670</t>
  </si>
  <si>
    <t>Hist of Seventh-day Adv Theo</t>
  </si>
  <si>
    <t>Top:Protest Theologic Heritage</t>
  </si>
  <si>
    <t>Dementyev, Vadim</t>
  </si>
  <si>
    <t>ricardo@andrews.edu</t>
  </si>
  <si>
    <t>000134382</t>
  </si>
  <si>
    <t>2024-01</t>
  </si>
  <si>
    <t>2267</t>
  </si>
  <si>
    <t>History of Mission</t>
  </si>
  <si>
    <t>Topics CHIS: Martin Luther</t>
  </si>
  <si>
    <t>Doss, Cheryl D.</t>
  </si>
  <si>
    <t>24-APR-25</t>
  </si>
  <si>
    <t>richardsn@andrews.edu</t>
  </si>
  <si>
    <t>000138600</t>
  </si>
  <si>
    <t>2024-02</t>
  </si>
  <si>
    <t>2270</t>
  </si>
  <si>
    <t>History of the SDA Church</t>
  </si>
  <si>
    <t>Topics in Greco-Roman World</t>
  </si>
  <si>
    <t>Doss, Gorden R.</t>
  </si>
  <si>
    <t>25-APR-25</t>
  </si>
  <si>
    <t>royg@andrews.edu</t>
  </si>
  <si>
    <t>000141225</t>
  </si>
  <si>
    <t>2161-01</t>
  </si>
  <si>
    <t>2271</t>
  </si>
  <si>
    <t>ICISF Certification for Crisis</t>
  </si>
  <si>
    <t>Topics in Romans</t>
  </si>
  <si>
    <t>Doukhan, Jacques B.</t>
  </si>
  <si>
    <t>rpaquini@andrews.edu</t>
  </si>
  <si>
    <t>000145425</t>
  </si>
  <si>
    <t>2173-01</t>
  </si>
  <si>
    <t>2293</t>
  </si>
  <si>
    <t>In-Ministry Continuation</t>
  </si>
  <si>
    <t>Topics: Modern Philosophy</t>
  </si>
  <si>
    <t>26-AUG-25</t>
  </si>
  <si>
    <t>sanou@andrews.edu</t>
  </si>
  <si>
    <t>000146529</t>
  </si>
  <si>
    <t>2199-01</t>
  </si>
  <si>
    <t>2301</t>
  </si>
  <si>
    <t>684</t>
  </si>
  <si>
    <t>TopicsCHIS: Protest Theo Herit</t>
  </si>
  <si>
    <t>sciarabb@andrews.edu</t>
  </si>
  <si>
    <t>000147941</t>
  </si>
  <si>
    <t>2200-01</t>
  </si>
  <si>
    <t>2302</t>
  </si>
  <si>
    <t>Duany, Efrain</t>
  </si>
  <si>
    <t>000148286</t>
  </si>
  <si>
    <t>2204-01</t>
  </si>
  <si>
    <t>2310</t>
  </si>
  <si>
    <t>Duffis Gordon, Daniel M.</t>
  </si>
  <si>
    <t>27-APR-25</t>
  </si>
  <si>
    <t>000149024</t>
  </si>
  <si>
    <t>2212-01</t>
  </si>
  <si>
    <t>2384</t>
  </si>
  <si>
    <t>IndSty in Adv St:</t>
  </si>
  <si>
    <t>Dupertuis, Atilio R.</t>
  </si>
  <si>
    <t>27-JAN-25</t>
  </si>
  <si>
    <t>skinnerj@andrews.edu</t>
  </si>
  <si>
    <t>000159832</t>
  </si>
  <si>
    <t>2214-01</t>
  </si>
  <si>
    <t>2385</t>
  </si>
  <si>
    <t>Independent Study:</t>
  </si>
  <si>
    <t>Duran Royo, Noemi</t>
  </si>
  <si>
    <t>sward@andrews.edu</t>
  </si>
  <si>
    <t>000160361</t>
  </si>
  <si>
    <t>2216-01</t>
  </si>
  <si>
    <t>2394</t>
  </si>
  <si>
    <t>Intergenerational Ministry</t>
  </si>
  <si>
    <t>Dybdahl, Jon L.</t>
  </si>
  <si>
    <t>27-MAR-25</t>
  </si>
  <si>
    <t>000162826</t>
  </si>
  <si>
    <t>2217-01</t>
  </si>
  <si>
    <t>2395</t>
  </si>
  <si>
    <t>Dybdahl, Paul B.</t>
  </si>
  <si>
    <t>toreggio@andrews.edu</t>
  </si>
  <si>
    <t>000163303</t>
  </si>
  <si>
    <t>2218-01</t>
  </si>
  <si>
    <t>2396</t>
  </si>
  <si>
    <t>699</t>
  </si>
  <si>
    <t>Emswiler, Elizabeth</t>
  </si>
  <si>
    <t>28-APR-25</t>
  </si>
  <si>
    <t>tornalejo@andrews.edu</t>
  </si>
  <si>
    <t>000163538</t>
  </si>
  <si>
    <t>2219-01</t>
  </si>
  <si>
    <t>2397</t>
  </si>
  <si>
    <t>Intro to Ecclesiastical Latin</t>
  </si>
  <si>
    <t>Espinosa, Jose M.</t>
  </si>
  <si>
    <t>28-MAR-25</t>
  </si>
  <si>
    <t>trs@andrews.edu</t>
  </si>
  <si>
    <t>000208503</t>
  </si>
  <si>
    <t>2220-01</t>
  </si>
  <si>
    <t>2398</t>
  </si>
  <si>
    <t>796</t>
  </si>
  <si>
    <t>Intro to Revelation</t>
  </si>
  <si>
    <t>Evans, Tommy L.</t>
  </si>
  <si>
    <t>28-MAY-25</t>
  </si>
  <si>
    <t>tsui@andrews.edu</t>
  </si>
  <si>
    <t>000230576</t>
  </si>
  <si>
    <t>2399</t>
  </si>
  <si>
    <t>805</t>
  </si>
  <si>
    <t>Issues in Ellen G White Stdies</t>
  </si>
  <si>
    <t>Fernandez-Gibbs, Jharony E.</t>
  </si>
  <si>
    <t>29-APR-25</t>
  </si>
  <si>
    <t>wdavid@andrews.edu</t>
  </si>
  <si>
    <t>000231151</t>
  </si>
  <si>
    <t>2220-03</t>
  </si>
  <si>
    <t>2404</t>
  </si>
  <si>
    <t>806</t>
  </si>
  <si>
    <t>Ferreira, Jonatas L.</t>
  </si>
  <si>
    <t>yalyshev@andrews.edu</t>
  </si>
  <si>
    <t>000240618</t>
  </si>
  <si>
    <t>2221-01</t>
  </si>
  <si>
    <t>2411</t>
  </si>
  <si>
    <t>Life &amp; Writings of E. G. White</t>
  </si>
  <si>
    <t>Ferreira, Sandy Y.</t>
  </si>
  <si>
    <t>30-APR-25</t>
  </si>
  <si>
    <t>younker@andrews.edu</t>
  </si>
  <si>
    <t>2462</t>
  </si>
  <si>
    <t>Festa, Sergio R.</t>
  </si>
  <si>
    <t>30-JUL-25</t>
  </si>
  <si>
    <t>2221-03</t>
  </si>
  <si>
    <t>2490</t>
  </si>
  <si>
    <t>835</t>
  </si>
  <si>
    <t>Marriage, Fam&amp;Interprsnl Reltn</t>
  </si>
  <si>
    <t>Figueroa, Victor F.</t>
  </si>
  <si>
    <t>30-JUN-25</t>
  </si>
  <si>
    <t>2241-01</t>
  </si>
  <si>
    <t>2492</t>
  </si>
  <si>
    <t>837</t>
  </si>
  <si>
    <t>2252-01</t>
  </si>
  <si>
    <t>2509</t>
  </si>
  <si>
    <t>840</t>
  </si>
  <si>
    <t>Fox, Curtis A.</t>
  </si>
  <si>
    <t>31-MAR-25</t>
  </si>
  <si>
    <t>2259-01</t>
  </si>
  <si>
    <t>2519</t>
  </si>
  <si>
    <t>Meth OT Exegesis (Hebw)</t>
  </si>
  <si>
    <t>2259-02</t>
  </si>
  <si>
    <t>2535</t>
  </si>
  <si>
    <t>854</t>
  </si>
  <si>
    <t>Methods in Biblical &amp; Theo Res</t>
  </si>
  <si>
    <t>Freed, Kristina M.</t>
  </si>
  <si>
    <t>2260-01</t>
  </si>
  <si>
    <t>2550</t>
  </si>
  <si>
    <t>Galeniece, Anna</t>
  </si>
  <si>
    <t>2260-02</t>
  </si>
  <si>
    <t>2580</t>
  </si>
  <si>
    <t>Mission to the Cities</t>
  </si>
  <si>
    <t>Galenieks, Eriks</t>
  </si>
  <si>
    <t>2261-01</t>
  </si>
  <si>
    <t>2612</t>
  </si>
  <si>
    <t>Mobilizing for Evang Min</t>
  </si>
  <si>
    <t>Gallos, Erhard H.</t>
  </si>
  <si>
    <t>2261-02</t>
  </si>
  <si>
    <t>2694</t>
  </si>
  <si>
    <t>Mssn-Shaped Church Planting</t>
  </si>
  <si>
    <t>Gallusz, Laszlo</t>
  </si>
  <si>
    <t>2265-01</t>
  </si>
  <si>
    <t>2695</t>
  </si>
  <si>
    <t>New Testament Ethics</t>
  </si>
  <si>
    <t>Gameti, Yvonne Y.</t>
  </si>
  <si>
    <t>2265-02</t>
  </si>
  <si>
    <t>2696</t>
  </si>
  <si>
    <t>Pentateuch (Hebrew)</t>
  </si>
  <si>
    <t>Gane, Constance E.</t>
  </si>
  <si>
    <t>2267-01</t>
  </si>
  <si>
    <t>2699</t>
  </si>
  <si>
    <t>Personal &amp; Fam Finance</t>
  </si>
  <si>
    <t>2270-01</t>
  </si>
  <si>
    <t>2700</t>
  </si>
  <si>
    <t>2271-01</t>
  </si>
  <si>
    <t>2701</t>
  </si>
  <si>
    <t>2293-01</t>
  </si>
  <si>
    <t>2702</t>
  </si>
  <si>
    <t>Gibbs, Nathaniel</t>
  </si>
  <si>
    <t>2301-01</t>
  </si>
  <si>
    <t>2704</t>
  </si>
  <si>
    <t>Gilles, Allens</t>
  </si>
  <si>
    <t>2301-02</t>
  </si>
  <si>
    <t>2735</t>
  </si>
  <si>
    <t>2301-03</t>
  </si>
  <si>
    <t>2736</t>
  </si>
  <si>
    <t>Phil &amp; Ethics in Chaplaincy</t>
  </si>
  <si>
    <t>Goncalves, Kleber D.</t>
  </si>
  <si>
    <t>2302-01</t>
  </si>
  <si>
    <t>2739</t>
  </si>
  <si>
    <t>Gordan, Daniel M.</t>
  </si>
  <si>
    <t>2302-02</t>
  </si>
  <si>
    <t>2740</t>
  </si>
  <si>
    <t>Goya Rozas, Ignacio</t>
  </si>
  <si>
    <t>2302-03</t>
  </si>
  <si>
    <t>2741</t>
  </si>
  <si>
    <t>Grant, Vaughan K.</t>
  </si>
  <si>
    <t>2310-01</t>
  </si>
  <si>
    <t>2742</t>
  </si>
  <si>
    <t>Practicum Military Chaplaincy</t>
  </si>
  <si>
    <t>Green, Esther</t>
  </si>
  <si>
    <t>2310-02</t>
  </si>
  <si>
    <t>2743</t>
  </si>
  <si>
    <t>2384-01</t>
  </si>
  <si>
    <t>2749</t>
  </si>
  <si>
    <t>Prep for Cross-Cultrl Workers</t>
  </si>
  <si>
    <t>Groda, Johnny</t>
  </si>
  <si>
    <t>2385-01</t>
  </si>
  <si>
    <t>2789</t>
  </si>
  <si>
    <t>Grys, John W.</t>
  </si>
  <si>
    <t>2385-02</t>
  </si>
  <si>
    <t>2790</t>
  </si>
  <si>
    <t>Protestant Theologicl Heritage</t>
  </si>
  <si>
    <t>Grzeskowiak, Adam</t>
  </si>
  <si>
    <t>2394-01</t>
  </si>
  <si>
    <t>2791</t>
  </si>
  <si>
    <t>Psalms/Wisdom Lit (Hebrew)</t>
  </si>
  <si>
    <t>Guerrero Romero, Abraham I.</t>
  </si>
  <si>
    <t>2395-01</t>
  </si>
  <si>
    <t>2793</t>
  </si>
  <si>
    <t>Rdgs in Ecclesiastical Latin</t>
  </si>
  <si>
    <t>Guirguis, Youssry L.</t>
  </si>
  <si>
    <t>2396-01</t>
  </si>
  <si>
    <t>2796</t>
  </si>
  <si>
    <t>Rdngs in Acts&amp;General Epistles</t>
  </si>
  <si>
    <t>2396-02</t>
  </si>
  <si>
    <t>2802</t>
  </si>
  <si>
    <t>Hamilton, Lloyd M.</t>
  </si>
  <si>
    <t>2397-01</t>
  </si>
  <si>
    <t>2804</t>
  </si>
  <si>
    <t>Readings in the OT (English)</t>
  </si>
  <si>
    <t>2397-02</t>
  </si>
  <si>
    <t>2805</t>
  </si>
  <si>
    <t>Reformation:</t>
  </si>
  <si>
    <t>2398-01</t>
  </si>
  <si>
    <t>2806</t>
  </si>
  <si>
    <t>Research Design in Mission</t>
  </si>
  <si>
    <t>Hernandez, Angel M.</t>
  </si>
  <si>
    <t>2398-02</t>
  </si>
  <si>
    <t>2807</t>
  </si>
  <si>
    <t>Hucks, Willie E.</t>
  </si>
  <si>
    <t>2399-01</t>
  </si>
  <si>
    <t>2808</t>
  </si>
  <si>
    <t>Research Methods in Miss&amp;Min</t>
  </si>
  <si>
    <t>Hudon, Jeffrey P.</t>
  </si>
  <si>
    <t>2399-02</t>
  </si>
  <si>
    <t>2809</t>
  </si>
  <si>
    <t>Hunter, Claval I.</t>
  </si>
  <si>
    <t>2404-01</t>
  </si>
  <si>
    <t>2813</t>
  </si>
  <si>
    <t>2404-02</t>
  </si>
  <si>
    <t>2814</t>
  </si>
  <si>
    <t>Sem Adv OT Exegesis</t>
  </si>
  <si>
    <t>Ialyshev, Kemil K.</t>
  </si>
  <si>
    <t>2411-01</t>
  </si>
  <si>
    <t>2818</t>
  </si>
  <si>
    <t>Sem Hist of Sabbath &amp; Sunday</t>
  </si>
  <si>
    <t>Insom, Surachet</t>
  </si>
  <si>
    <t>2411-02</t>
  </si>
  <si>
    <t>2819</t>
  </si>
  <si>
    <t>Sem History of Mission</t>
  </si>
  <si>
    <t>Ionescu, Laurentiu Gabriel</t>
  </si>
  <si>
    <t>2462-01</t>
  </si>
  <si>
    <t>282</t>
  </si>
  <si>
    <t>Sem in Biblical Theology</t>
  </si>
  <si>
    <t>Irizarry De La Cruz, Iriann M.</t>
  </si>
  <si>
    <t>2490-01</t>
  </si>
  <si>
    <t>2820</t>
  </si>
  <si>
    <t>Jaeger, Victor A.</t>
  </si>
  <si>
    <t>2492-01</t>
  </si>
  <si>
    <t>2822</t>
  </si>
  <si>
    <t>Jankiewicz, Darius W.</t>
  </si>
  <si>
    <t>2509-01</t>
  </si>
  <si>
    <t>2826</t>
  </si>
  <si>
    <t>Seminar in Preaching</t>
  </si>
  <si>
    <t>Jankiewicz, Edyta</t>
  </si>
  <si>
    <t>2519-01</t>
  </si>
  <si>
    <t>2827</t>
  </si>
  <si>
    <t>Studies in Church History</t>
  </si>
  <si>
    <t>Jankovic, Slavisa</t>
  </si>
  <si>
    <t>2535-01</t>
  </si>
  <si>
    <t>283</t>
  </si>
  <si>
    <t>2550-01</t>
  </si>
  <si>
    <t>2835</t>
  </si>
  <si>
    <t>Studies in Hebrews</t>
  </si>
  <si>
    <t>Johnston, Robert M.</t>
  </si>
  <si>
    <t>2580-01</t>
  </si>
  <si>
    <t>2836</t>
  </si>
  <si>
    <t>Studies in OT Exegesis</t>
  </si>
  <si>
    <t>2612-01</t>
  </si>
  <si>
    <t>2838</t>
  </si>
  <si>
    <t>2694-01</t>
  </si>
  <si>
    <t>2841</t>
  </si>
  <si>
    <t>Survey of Church History</t>
  </si>
  <si>
    <t>2694-02</t>
  </si>
  <si>
    <t>2847</t>
  </si>
  <si>
    <t>The Early Church to AD 604</t>
  </si>
  <si>
    <t>2695-01</t>
  </si>
  <si>
    <t>2852</t>
  </si>
  <si>
    <t>Theology of Pauline Epistles</t>
  </si>
  <si>
    <t>Kis, Miroslav M.</t>
  </si>
  <si>
    <t>2696-01</t>
  </si>
  <si>
    <t>2855</t>
  </si>
  <si>
    <t>Theology of Synoptic Gospels</t>
  </si>
  <si>
    <t>Kissinger, Evelyn G.</t>
  </si>
  <si>
    <t>2699-01</t>
  </si>
  <si>
    <t>2856</t>
  </si>
  <si>
    <t>Thesis</t>
  </si>
  <si>
    <t>Knott, Esther R.</t>
  </si>
  <si>
    <t>2699-02</t>
  </si>
  <si>
    <t>2859</t>
  </si>
  <si>
    <t>2700-01</t>
  </si>
  <si>
    <t>2860</t>
  </si>
  <si>
    <t>Top in NT Backgrounds</t>
  </si>
  <si>
    <t>Korchuk, Viacheslav I.</t>
  </si>
  <si>
    <t>2701-01</t>
  </si>
  <si>
    <t>2865</t>
  </si>
  <si>
    <t>Kormos, Erik</t>
  </si>
  <si>
    <t>2702-01</t>
  </si>
  <si>
    <t>2871</t>
  </si>
  <si>
    <t>Kostyuk, Oleg</t>
  </si>
  <si>
    <t>2704-01</t>
  </si>
  <si>
    <t>2879</t>
  </si>
  <si>
    <t>Koval, Bohdan</t>
  </si>
  <si>
    <t>2704-02</t>
  </si>
  <si>
    <t>3057</t>
  </si>
  <si>
    <t>Topics:</t>
  </si>
  <si>
    <t>Krause, Gary D.</t>
  </si>
  <si>
    <t>2704-03</t>
  </si>
  <si>
    <t>3073</t>
  </si>
  <si>
    <t>Urban Context Mission/Ministry</t>
  </si>
  <si>
    <t>2735-01</t>
  </si>
  <si>
    <t>3079</t>
  </si>
  <si>
    <t>Kuryliak, Bohdan</t>
  </si>
  <si>
    <t>2735-02</t>
  </si>
  <si>
    <t>3080</t>
  </si>
  <si>
    <t>Kwon, Sung K.</t>
  </si>
  <si>
    <t>2735-03</t>
  </si>
  <si>
    <t>3097</t>
  </si>
  <si>
    <t>Kwon, Timothy B.</t>
  </si>
  <si>
    <t>2735-04</t>
  </si>
  <si>
    <t>3106</t>
  </si>
  <si>
    <t>Ledesma, Janet</t>
  </si>
  <si>
    <t>2735-05</t>
  </si>
  <si>
    <t>3109</t>
  </si>
  <si>
    <t>2735-06</t>
  </si>
  <si>
    <t>3125</t>
  </si>
  <si>
    <t>Li, Angela H.</t>
  </si>
  <si>
    <t>2736-01</t>
  </si>
  <si>
    <t>3163</t>
  </si>
  <si>
    <t>Liang, Onn</t>
  </si>
  <si>
    <t>2736-02</t>
  </si>
  <si>
    <t>3184</t>
  </si>
  <si>
    <t>Lichtenwalter, Larry L.</t>
  </si>
  <si>
    <t>2739-01</t>
  </si>
  <si>
    <t>3185</t>
  </si>
  <si>
    <t>Lopez, Elim J.</t>
  </si>
  <si>
    <t>2740-01</t>
  </si>
  <si>
    <t>3186</t>
  </si>
  <si>
    <t>Louw, Eric A.</t>
  </si>
  <si>
    <t>2740-02</t>
  </si>
  <si>
    <t>3188</t>
  </si>
  <si>
    <t>Machado, Carlos A.</t>
  </si>
  <si>
    <t>2741-01</t>
  </si>
  <si>
    <t>3189</t>
  </si>
  <si>
    <t>2742-01</t>
  </si>
  <si>
    <t>3261</t>
  </si>
  <si>
    <t>Maier, Rudolf</t>
  </si>
  <si>
    <t>2743-01</t>
  </si>
  <si>
    <t>3262</t>
  </si>
  <si>
    <t>Martin, Allan D.</t>
  </si>
  <si>
    <t>2743-02</t>
  </si>
  <si>
    <t>3264</t>
  </si>
  <si>
    <t>2749-01</t>
  </si>
  <si>
    <t>3265</t>
  </si>
  <si>
    <t>Matthews, John V.</t>
  </si>
  <si>
    <t>2789-01</t>
  </si>
  <si>
    <t>3266</t>
  </si>
  <si>
    <t>Maxson, Benjamin C.</t>
  </si>
  <si>
    <t>2789-02</t>
  </si>
  <si>
    <t>3267</t>
  </si>
  <si>
    <t>Mayer, Jorge R.</t>
  </si>
  <si>
    <t>2790-01</t>
  </si>
  <si>
    <t>3268</t>
  </si>
  <si>
    <t>McEdward, Richard E.</t>
  </si>
  <si>
    <t>2791-01</t>
  </si>
  <si>
    <t>3269</t>
  </si>
  <si>
    <t>McGuire-Moushon, Joni A.</t>
  </si>
  <si>
    <t>2793-01</t>
  </si>
  <si>
    <t>3270</t>
  </si>
  <si>
    <t>2796-01</t>
  </si>
  <si>
    <t>3271</t>
  </si>
  <si>
    <t>Mercado, Carmelo</t>
  </si>
  <si>
    <t>2802-01</t>
  </si>
  <si>
    <t>3272</t>
  </si>
  <si>
    <t>Merklin, Lester P.</t>
  </si>
  <si>
    <t>2802-02</t>
  </si>
  <si>
    <t>3273</t>
  </si>
  <si>
    <t>Miller, Nicholas P.</t>
  </si>
  <si>
    <t>2804-01</t>
  </si>
  <si>
    <t>Ming, Marilyn D.</t>
  </si>
  <si>
    <t>2804-02</t>
  </si>
  <si>
    <t>3275</t>
  </si>
  <si>
    <t>Moody, Jacob A.</t>
  </si>
  <si>
    <t>2805-01</t>
  </si>
  <si>
    <t>3278</t>
  </si>
  <si>
    <t>Moon, Jerry A.</t>
  </si>
  <si>
    <t>2805-02</t>
  </si>
  <si>
    <t>3279</t>
  </si>
  <si>
    <t>Moore, Richard A.</t>
  </si>
  <si>
    <t>2806-01</t>
  </si>
  <si>
    <t>Moral Hernandez, Manuel A.</t>
  </si>
  <si>
    <t>2806-02</t>
  </si>
  <si>
    <t>3285</t>
  </si>
  <si>
    <t>Morales, Xavier</t>
  </si>
  <si>
    <t>2807-01</t>
  </si>
  <si>
    <t>3286</t>
  </si>
  <si>
    <t>Morrow, Laura K.</t>
  </si>
  <si>
    <t>2808-01</t>
  </si>
  <si>
    <t>3287</t>
  </si>
  <si>
    <t>2808-02</t>
  </si>
  <si>
    <t>3288</t>
  </si>
  <si>
    <t>Mot, Laurentiu F.</t>
  </si>
  <si>
    <t>2809-01</t>
  </si>
  <si>
    <t>3289</t>
  </si>
  <si>
    <t>Munoz, Jose Y.</t>
  </si>
  <si>
    <t>2809-02</t>
  </si>
  <si>
    <t>Munoz, Ruben A.</t>
  </si>
  <si>
    <t>2813-01</t>
  </si>
  <si>
    <t>3290</t>
  </si>
  <si>
    <t>Muran, Alexej</t>
  </si>
  <si>
    <t>2813-02</t>
  </si>
  <si>
    <t>3291</t>
  </si>
  <si>
    <t>2814-01</t>
  </si>
  <si>
    <t>3292</t>
  </si>
  <si>
    <t>Nam, Daegeuk</t>
  </si>
  <si>
    <t>2818-01</t>
  </si>
  <si>
    <t>3293</t>
  </si>
  <si>
    <t>Namoradze, Sergo</t>
  </si>
  <si>
    <t>2819-01</t>
  </si>
  <si>
    <t>Nash, Steven R.</t>
  </si>
  <si>
    <t>282-01</t>
  </si>
  <si>
    <t>3295</t>
  </si>
  <si>
    <t>Ngo, Kim Chai</t>
  </si>
  <si>
    <t>2820-01</t>
  </si>
  <si>
    <t>Nogueira, Lincoln</t>
  </si>
  <si>
    <t>2822-01</t>
  </si>
  <si>
    <t>2826-01</t>
  </si>
  <si>
    <t>3298</t>
  </si>
  <si>
    <t>Nunes, Leonardo G.</t>
  </si>
  <si>
    <t>2827-01</t>
  </si>
  <si>
    <t>3299</t>
  </si>
  <si>
    <t>283-01</t>
  </si>
  <si>
    <t>2835-01</t>
  </si>
  <si>
    <t>3300</t>
  </si>
  <si>
    <t>Oliver, Wilbert H.</t>
  </si>
  <si>
    <t>2835-02</t>
  </si>
  <si>
    <t>3301</t>
  </si>
  <si>
    <t>Olivo, Dionisio</t>
  </si>
  <si>
    <t>2836-01</t>
  </si>
  <si>
    <t>3302</t>
  </si>
  <si>
    <t>Onongha, Kelvin O.</t>
  </si>
  <si>
    <t>2836-02</t>
  </si>
  <si>
    <t>3303</t>
  </si>
  <si>
    <t>Ortiz, Luis F.</t>
  </si>
  <si>
    <t>2838-01</t>
  </si>
  <si>
    <t>3304</t>
  </si>
  <si>
    <t>Osindo, Oscar</t>
  </si>
  <si>
    <t>2838-02</t>
  </si>
  <si>
    <t>3305</t>
  </si>
  <si>
    <t>Oudri, Gerardo</t>
  </si>
  <si>
    <t>2841-01</t>
  </si>
  <si>
    <t>3306</t>
  </si>
  <si>
    <t>Pagan, Samuel</t>
  </si>
  <si>
    <t>2847-01</t>
  </si>
  <si>
    <t>3307</t>
  </si>
  <si>
    <t>Papaioannou, Kim G.</t>
  </si>
  <si>
    <t>2852-01</t>
  </si>
  <si>
    <t>3308</t>
  </si>
  <si>
    <t>2855-01</t>
  </si>
  <si>
    <t>3309</t>
  </si>
  <si>
    <t>Park, Jungkyu</t>
  </si>
  <si>
    <t>2855-02</t>
  </si>
  <si>
    <t>Patterson, Stanley E.</t>
  </si>
  <si>
    <t>2856-01</t>
  </si>
  <si>
    <t>3310</t>
  </si>
  <si>
    <t>2859-01</t>
  </si>
  <si>
    <t>3311</t>
  </si>
  <si>
    <t>Peguero Colon, Samuel</t>
  </si>
  <si>
    <t>2860-01</t>
  </si>
  <si>
    <t>3312</t>
  </si>
  <si>
    <t>Penno, David K.</t>
  </si>
  <si>
    <t>2865-01</t>
  </si>
  <si>
    <t>3313</t>
  </si>
  <si>
    <t>Petre, Dan-Adrian</t>
  </si>
  <si>
    <t>2871-01</t>
  </si>
  <si>
    <t>3314</t>
  </si>
  <si>
    <t>Petrishchev, Anton</t>
  </si>
  <si>
    <t>2879-01</t>
  </si>
  <si>
    <t>3315</t>
  </si>
  <si>
    <t>Phillip, Mario N.</t>
  </si>
  <si>
    <t>3057-01</t>
  </si>
  <si>
    <t>3316</t>
  </si>
  <si>
    <t>Phillips, Gabriela F.</t>
  </si>
  <si>
    <t>3073-01</t>
  </si>
  <si>
    <t>3317</t>
  </si>
  <si>
    <t>Plantak, Zorislav</t>
  </si>
  <si>
    <t>3073-02</t>
  </si>
  <si>
    <t>3318</t>
  </si>
  <si>
    <t>Ponyatovsky, Felix</t>
  </si>
  <si>
    <t>3073-03</t>
  </si>
  <si>
    <t>3319</t>
  </si>
  <si>
    <t>Prestes Neto, Flavio</t>
  </si>
  <si>
    <t>3073-04</t>
  </si>
  <si>
    <t>Quispe, Gluder</t>
  </si>
  <si>
    <t>3079-01</t>
  </si>
  <si>
    <t>3320</t>
  </si>
  <si>
    <t>Ramirez, Johnny</t>
  </si>
  <si>
    <t>3080-01</t>
  </si>
  <si>
    <t>Ramos Escobar, Walter</t>
  </si>
  <si>
    <t>3097-01</t>
  </si>
  <si>
    <t>3322</t>
  </si>
  <si>
    <t>Ramos, Israel</t>
  </si>
  <si>
    <t>3097-02</t>
  </si>
  <si>
    <t>3323</t>
  </si>
  <si>
    <t>3106-01</t>
  </si>
  <si>
    <t>Razmerita, Gheorghe</t>
  </si>
  <si>
    <t>3109-01</t>
  </si>
  <si>
    <t>Reddy, Ashley C.</t>
  </si>
  <si>
    <t>3125-01</t>
  </si>
  <si>
    <t>3125-02</t>
  </si>
  <si>
    <t>Reeve, Teresa L.</t>
  </si>
  <si>
    <t>3163-01</t>
  </si>
  <si>
    <t>3362</t>
  </si>
  <si>
    <t>Reinert, Katia G.</t>
  </si>
  <si>
    <t>3184-01</t>
  </si>
  <si>
    <t>3363</t>
  </si>
  <si>
    <t>3184-02</t>
  </si>
  <si>
    <t>3364</t>
  </si>
  <si>
    <t>Richards, W Larry</t>
  </si>
  <si>
    <t>3184-03</t>
  </si>
  <si>
    <t>3365</t>
  </si>
  <si>
    <t>Rico, Jorge E.</t>
  </si>
  <si>
    <t>3185-01</t>
  </si>
  <si>
    <t>3366</t>
  </si>
  <si>
    <t>Rivas Santini, Abelardo J.</t>
  </si>
  <si>
    <t>3185-02</t>
  </si>
  <si>
    <t>3367</t>
  </si>
  <si>
    <t>3185-03</t>
  </si>
  <si>
    <t>3368</t>
  </si>
  <si>
    <t>3186-01</t>
  </si>
  <si>
    <t>3369</t>
  </si>
  <si>
    <t>3186-02</t>
  </si>
  <si>
    <t>Rojas, Ronald</t>
  </si>
  <si>
    <t>3186-03</t>
  </si>
  <si>
    <t>3370</t>
  </si>
  <si>
    <t>Rosario, Antonio M.</t>
  </si>
  <si>
    <t>3188-01</t>
  </si>
  <si>
    <t>3371</t>
  </si>
  <si>
    <t>Ruiz Araica, Roger D.</t>
  </si>
  <si>
    <t>3188-02</t>
  </si>
  <si>
    <t>3373</t>
  </si>
  <si>
    <t>3188-03</t>
  </si>
  <si>
    <t>3374</t>
  </si>
  <si>
    <t>Saravia, Yohalmo A.</t>
  </si>
  <si>
    <t>3189-01</t>
  </si>
  <si>
    <t>3375</t>
  </si>
  <si>
    <t>Schmidt, Eduard E.</t>
  </si>
  <si>
    <t>3189-02</t>
  </si>
  <si>
    <t>3376</t>
  </si>
  <si>
    <t>Sciarabba, Davide</t>
  </si>
  <si>
    <t>3189-03</t>
  </si>
  <si>
    <t>3377</t>
  </si>
  <si>
    <t>Sedlacek, David</t>
  </si>
  <si>
    <t>3261-01</t>
  </si>
  <si>
    <t>3378</t>
  </si>
  <si>
    <t>3261-02</t>
  </si>
  <si>
    <t>3379</t>
  </si>
  <si>
    <t>3262-01</t>
  </si>
  <si>
    <t>3262-02</t>
  </si>
  <si>
    <t>3380</t>
  </si>
  <si>
    <t>3264-01</t>
  </si>
  <si>
    <t>3381</t>
  </si>
  <si>
    <t>Sorajjakool, Siroj</t>
  </si>
  <si>
    <t>3264-02</t>
  </si>
  <si>
    <t>3265-01</t>
  </si>
  <si>
    <t>3383</t>
  </si>
  <si>
    <t>3265-02</t>
  </si>
  <si>
    <t>3384</t>
  </si>
  <si>
    <t>Sung, Sion</t>
  </si>
  <si>
    <t>3265-03</t>
  </si>
  <si>
    <t>3385</t>
  </si>
  <si>
    <t>Swanson, H Peter</t>
  </si>
  <si>
    <t>3265-04</t>
  </si>
  <si>
    <t>3386</t>
  </si>
  <si>
    <t>Szallos-Farkas, Zoltan</t>
  </si>
  <si>
    <t>3266-01</t>
  </si>
  <si>
    <t>3387</t>
  </si>
  <si>
    <t>Taiwo, Moses O.</t>
  </si>
  <si>
    <t>3267-01</t>
  </si>
  <si>
    <t>3388</t>
  </si>
  <si>
    <t>Terreros, Marco T.</t>
  </si>
  <si>
    <t>3267-02</t>
  </si>
  <si>
    <t>3389</t>
  </si>
  <si>
    <t>Thordarson, Throstur B.</t>
  </si>
  <si>
    <t>3268-01</t>
  </si>
  <si>
    <t>Tollerton, Evelyn Y.</t>
  </si>
  <si>
    <t>3268-02</t>
  </si>
  <si>
    <t>3391</t>
  </si>
  <si>
    <t>3269-01</t>
  </si>
  <si>
    <t>3392</t>
  </si>
  <si>
    <t>Tornalejo, Remwil R.</t>
  </si>
  <si>
    <t>3269-02</t>
  </si>
  <si>
    <t>3393</t>
  </si>
  <si>
    <t>Toscano, Steven M.</t>
  </si>
  <si>
    <t>3270-01</t>
  </si>
  <si>
    <t>3394</t>
  </si>
  <si>
    <t>Trecartin, Shannon M.</t>
  </si>
  <si>
    <t>3270-02</t>
  </si>
  <si>
    <t>3395</t>
  </si>
  <si>
    <t>Tsui, Terry M.</t>
  </si>
  <si>
    <t>3271-01</t>
  </si>
  <si>
    <t>3396</t>
  </si>
  <si>
    <t>Valenzuela, Alfonso</t>
  </si>
  <si>
    <t>3271-02</t>
  </si>
  <si>
    <t>3397</t>
  </si>
  <si>
    <t>Vatel, Marie S.</t>
  </si>
  <si>
    <t>3272-01</t>
  </si>
  <si>
    <t>3273-01</t>
  </si>
  <si>
    <t>Wagener Smith, Anthony</t>
  </si>
  <si>
    <t>3273-02</t>
  </si>
  <si>
    <t>340</t>
  </si>
  <si>
    <t>Walshe, Allan R.</t>
  </si>
  <si>
    <t>3273-03</t>
  </si>
  <si>
    <t>3400</t>
  </si>
  <si>
    <t>3273-04</t>
  </si>
  <si>
    <t>Wellington, Rohann D.</t>
  </si>
  <si>
    <t>3273-05</t>
  </si>
  <si>
    <t>3402</t>
  </si>
  <si>
    <t>Wetterlin, Cory D.</t>
  </si>
  <si>
    <t>3274-01</t>
  </si>
  <si>
    <t>3404</t>
  </si>
  <si>
    <t>Whitehead, Ronald H.</t>
  </si>
  <si>
    <t>3405</t>
  </si>
  <si>
    <t>Wibberding, James R.</t>
  </si>
  <si>
    <t>3275-01</t>
  </si>
  <si>
    <t>3406</t>
  </si>
  <si>
    <t>Wiens, Roman</t>
  </si>
  <si>
    <t>3275-02</t>
  </si>
  <si>
    <t>341</t>
  </si>
  <si>
    <t>William, Michelet</t>
  </si>
  <si>
    <t>3278-01</t>
  </si>
  <si>
    <t>3415</t>
  </si>
  <si>
    <t>3278-02</t>
  </si>
  <si>
    <t>3419</t>
  </si>
  <si>
    <t>3278-03</t>
  </si>
  <si>
    <t>342</t>
  </si>
  <si>
    <t>Wood, H Stanley</t>
  </si>
  <si>
    <t>3279-01</t>
  </si>
  <si>
    <t>3420</t>
  </si>
  <si>
    <t>Yeagley, Stephen T.</t>
  </si>
  <si>
    <t>3279-02</t>
  </si>
  <si>
    <t>Young, Dustin R.</t>
  </si>
  <si>
    <t>3284-01</t>
  </si>
  <si>
    <t>343</t>
  </si>
  <si>
    <t>Younker, Michael F.</t>
  </si>
  <si>
    <t>344</t>
  </si>
  <si>
    <t>3284-03</t>
  </si>
  <si>
    <t>345</t>
  </si>
  <si>
    <t>Zaitsev, Eugene V.</t>
  </si>
  <si>
    <t>3285-01</t>
  </si>
  <si>
    <t>3451</t>
  </si>
  <si>
    <t>Zhalovaga, Anatoli S.</t>
  </si>
  <si>
    <t>3285-02</t>
  </si>
  <si>
    <t>3452</t>
  </si>
  <si>
    <t>Zhanikaev, Makhti K.</t>
  </si>
  <si>
    <t>3285-03</t>
  </si>
  <si>
    <t>3453</t>
  </si>
  <si>
    <t>Zork, Nicholas S.</t>
  </si>
  <si>
    <t>3286-01</t>
  </si>
  <si>
    <t>Zubkov, Pavel A.</t>
  </si>
  <si>
    <t>3286-02</t>
  </si>
  <si>
    <t>347</t>
  </si>
  <si>
    <t>3286-03</t>
  </si>
  <si>
    <t>349</t>
  </si>
  <si>
    <t>3287-01</t>
  </si>
  <si>
    <t>350</t>
  </si>
  <si>
    <t>3287-02</t>
  </si>
  <si>
    <t>351</t>
  </si>
  <si>
    <t>3287-03</t>
  </si>
  <si>
    <t>352</t>
  </si>
  <si>
    <t>3288-01</t>
  </si>
  <si>
    <t>3528</t>
  </si>
  <si>
    <t>3288-02</t>
  </si>
  <si>
    <t>3531</t>
  </si>
  <si>
    <t>3288-03</t>
  </si>
  <si>
    <t>3549</t>
  </si>
  <si>
    <t>3289-01</t>
  </si>
  <si>
    <t>356</t>
  </si>
  <si>
    <t>3289-02</t>
  </si>
  <si>
    <t>357</t>
  </si>
  <si>
    <t>3289-03</t>
  </si>
  <si>
    <t>360</t>
  </si>
  <si>
    <t>329-01</t>
  </si>
  <si>
    <t>361</t>
  </si>
  <si>
    <t>3290-01</t>
  </si>
  <si>
    <t>448</t>
  </si>
  <si>
    <t>3290-02</t>
  </si>
  <si>
    <t>449</t>
  </si>
  <si>
    <t>3290-03</t>
  </si>
  <si>
    <t>3291-01</t>
  </si>
  <si>
    <t>3291-02</t>
  </si>
  <si>
    <t>3291-03</t>
  </si>
  <si>
    <t>3292-01</t>
  </si>
  <si>
    <t>524</t>
  </si>
  <si>
    <t>3292-02</t>
  </si>
  <si>
    <t>3293-01</t>
  </si>
  <si>
    <t>646</t>
  </si>
  <si>
    <t>3293-02</t>
  </si>
  <si>
    <t>3294-01</t>
  </si>
  <si>
    <t>650</t>
  </si>
  <si>
    <t>3295-01</t>
  </si>
  <si>
    <t>651</t>
  </si>
  <si>
    <t>3295-02</t>
  </si>
  <si>
    <t>653</t>
  </si>
  <si>
    <t>3296-01</t>
  </si>
  <si>
    <t>3297-01</t>
  </si>
  <si>
    <t>657</t>
  </si>
  <si>
    <t>3297-03</t>
  </si>
  <si>
    <t>3297-04</t>
  </si>
  <si>
    <t>3298-01</t>
  </si>
  <si>
    <t>3298-02</t>
  </si>
  <si>
    <t>663</t>
  </si>
  <si>
    <t>3299-01</t>
  </si>
  <si>
    <t>3299-02</t>
  </si>
  <si>
    <t>665</t>
  </si>
  <si>
    <t>3299-03</t>
  </si>
  <si>
    <t>666</t>
  </si>
  <si>
    <t>330-01</t>
  </si>
  <si>
    <t>3300-01</t>
  </si>
  <si>
    <t>3301-01</t>
  </si>
  <si>
    <t>669</t>
  </si>
  <si>
    <t>3302-01</t>
  </si>
  <si>
    <t>3302-02</t>
  </si>
  <si>
    <t>671</t>
  </si>
  <si>
    <t>3303-01</t>
  </si>
  <si>
    <t>672</t>
  </si>
  <si>
    <t>3303-02</t>
  </si>
  <si>
    <t>673</t>
  </si>
  <si>
    <t>3304-01</t>
  </si>
  <si>
    <t>3305-01</t>
  </si>
  <si>
    <t>3305-02</t>
  </si>
  <si>
    <t>3306-01</t>
  </si>
  <si>
    <t>677</t>
  </si>
  <si>
    <t>3307-01</t>
  </si>
  <si>
    <t>3307-02</t>
  </si>
  <si>
    <t>679</t>
  </si>
  <si>
    <t>3308-01</t>
  </si>
  <si>
    <t>3309-01</t>
  </si>
  <si>
    <t>331-01</t>
  </si>
  <si>
    <t>682</t>
  </si>
  <si>
    <t>3310-01</t>
  </si>
  <si>
    <t>3310-02</t>
  </si>
  <si>
    <t>701</t>
  </si>
  <si>
    <t>3311-01</t>
  </si>
  <si>
    <t>3312-01</t>
  </si>
  <si>
    <t>3312-02</t>
  </si>
  <si>
    <t>3313-01</t>
  </si>
  <si>
    <t>709</t>
  </si>
  <si>
    <t>3313-02</t>
  </si>
  <si>
    <t>3314-01</t>
  </si>
  <si>
    <t>718</t>
  </si>
  <si>
    <t>3314-02</t>
  </si>
  <si>
    <t>3314-03</t>
  </si>
  <si>
    <t>3314-04</t>
  </si>
  <si>
    <t>741</t>
  </si>
  <si>
    <t>3314-05</t>
  </si>
  <si>
    <t>742</t>
  </si>
  <si>
    <t>3314-06</t>
  </si>
  <si>
    <t>743</t>
  </si>
  <si>
    <t>3314-07</t>
  </si>
  <si>
    <t>744</t>
  </si>
  <si>
    <t>3314-08</t>
  </si>
  <si>
    <t>764</t>
  </si>
  <si>
    <t>3314-09</t>
  </si>
  <si>
    <t>765</t>
  </si>
  <si>
    <t>3314-10</t>
  </si>
  <si>
    <t>841</t>
  </si>
  <si>
    <t>3314-11</t>
  </si>
  <si>
    <t>843</t>
  </si>
  <si>
    <t>3314-12</t>
  </si>
  <si>
    <t>849</t>
  </si>
  <si>
    <t>3315-01</t>
  </si>
  <si>
    <t>850</t>
  </si>
  <si>
    <t>3315-02</t>
  </si>
  <si>
    <t>851</t>
  </si>
  <si>
    <t>3315-03</t>
  </si>
  <si>
    <t>852</t>
  </si>
  <si>
    <t>3316-01</t>
  </si>
  <si>
    <t>853</t>
  </si>
  <si>
    <t>3317-01</t>
  </si>
  <si>
    <t>3317-02</t>
  </si>
  <si>
    <t>857</t>
  </si>
  <si>
    <t>3317-03</t>
  </si>
  <si>
    <t>3318-01</t>
  </si>
  <si>
    <t>3318-02</t>
  </si>
  <si>
    <t>3318-03</t>
  </si>
  <si>
    <t>3319-01</t>
  </si>
  <si>
    <t>332-01</t>
  </si>
  <si>
    <t>3320-01</t>
  </si>
  <si>
    <t>3320-02</t>
  </si>
  <si>
    <t>3321-01</t>
  </si>
  <si>
    <t>3322-01</t>
  </si>
  <si>
    <t>3322-02</t>
  </si>
  <si>
    <t>3323-01</t>
  </si>
  <si>
    <t>3323-02</t>
  </si>
  <si>
    <t>333-01</t>
  </si>
  <si>
    <t>334-01</t>
  </si>
  <si>
    <t>335-01</t>
  </si>
  <si>
    <t>336-01</t>
  </si>
  <si>
    <t>3362-01</t>
  </si>
  <si>
    <t>3362-02</t>
  </si>
  <si>
    <t>3363-01</t>
  </si>
  <si>
    <t>3364-01</t>
  </si>
  <si>
    <t>3364-02</t>
  </si>
  <si>
    <t>3365-01</t>
  </si>
  <si>
    <t>3366-01</t>
  </si>
  <si>
    <t>3367-01</t>
  </si>
  <si>
    <t>3367-02</t>
  </si>
  <si>
    <t>3368-01</t>
  </si>
  <si>
    <t>3368-02</t>
  </si>
  <si>
    <t>3369-01</t>
  </si>
  <si>
    <t>3369-02</t>
  </si>
  <si>
    <t>337-01</t>
  </si>
  <si>
    <t>3370-01</t>
  </si>
  <si>
    <t>3370-02</t>
  </si>
  <si>
    <t>3371-01</t>
  </si>
  <si>
    <t>3371-02</t>
  </si>
  <si>
    <t>3373-01</t>
  </si>
  <si>
    <t>3374-01</t>
  </si>
  <si>
    <t>3375-01</t>
  </si>
  <si>
    <t>3376-01</t>
  </si>
  <si>
    <t>3377-01</t>
  </si>
  <si>
    <t>3378-01</t>
  </si>
  <si>
    <t>3379-01</t>
  </si>
  <si>
    <t>338-01</t>
  </si>
  <si>
    <t>3380-01</t>
  </si>
  <si>
    <t>3381-01</t>
  </si>
  <si>
    <t>3382-01</t>
  </si>
  <si>
    <t>3383-01</t>
  </si>
  <si>
    <t>3384-01</t>
  </si>
  <si>
    <t>3385-01</t>
  </si>
  <si>
    <t>3385-02</t>
  </si>
  <si>
    <t>3386-01</t>
  </si>
  <si>
    <t>3386-02</t>
  </si>
  <si>
    <t>3387-01</t>
  </si>
  <si>
    <t>3388-01</t>
  </si>
  <si>
    <t>3388-02</t>
  </si>
  <si>
    <t>3389-01</t>
  </si>
  <si>
    <t>339-01</t>
  </si>
  <si>
    <t>3391-01</t>
  </si>
  <si>
    <t>3391-02</t>
  </si>
  <si>
    <t>3392-01</t>
  </si>
  <si>
    <t>3392-02</t>
  </si>
  <si>
    <t>3393-01</t>
  </si>
  <si>
    <t>3394-01</t>
  </si>
  <si>
    <t>3394-02</t>
  </si>
  <si>
    <t>3395-01</t>
  </si>
  <si>
    <t>3396-01</t>
  </si>
  <si>
    <t>3396-02</t>
  </si>
  <si>
    <t>3397-01</t>
  </si>
  <si>
    <t>3397-02</t>
  </si>
  <si>
    <t>3398-01</t>
  </si>
  <si>
    <t>3399-01</t>
  </si>
  <si>
    <t>340-01</t>
  </si>
  <si>
    <t>3400-01</t>
  </si>
  <si>
    <t>3400-02</t>
  </si>
  <si>
    <t>3401-01</t>
  </si>
  <si>
    <t>3402-01</t>
  </si>
  <si>
    <t>3404-01</t>
  </si>
  <si>
    <t>3405-01</t>
  </si>
  <si>
    <t>3406-01</t>
  </si>
  <si>
    <t>341-01</t>
  </si>
  <si>
    <t>3415-01</t>
  </si>
  <si>
    <t>3419-01</t>
  </si>
  <si>
    <t>3419-02</t>
  </si>
  <si>
    <t>342-01</t>
  </si>
  <si>
    <t>3420-01</t>
  </si>
  <si>
    <t>3420-02</t>
  </si>
  <si>
    <t>3421-01</t>
  </si>
  <si>
    <t>343-01</t>
  </si>
  <si>
    <t>344-01</t>
  </si>
  <si>
    <t>345-01</t>
  </si>
  <si>
    <t>3451-01</t>
  </si>
  <si>
    <t>3451-02</t>
  </si>
  <si>
    <t>3451-03</t>
  </si>
  <si>
    <t>3451-04</t>
  </si>
  <si>
    <t>3451-05</t>
  </si>
  <si>
    <t>3452-01</t>
  </si>
  <si>
    <t>3453-01</t>
  </si>
  <si>
    <t>346-01</t>
  </si>
  <si>
    <t>347-01</t>
  </si>
  <si>
    <t>349-01</t>
  </si>
  <si>
    <t>350-01</t>
  </si>
  <si>
    <t>351-01</t>
  </si>
  <si>
    <t>352-01</t>
  </si>
  <si>
    <t>3528-01</t>
  </si>
  <si>
    <t>3528-02</t>
  </si>
  <si>
    <t>3528-03</t>
  </si>
  <si>
    <t>3528-04</t>
  </si>
  <si>
    <t>3528-05</t>
  </si>
  <si>
    <t>3528-06</t>
  </si>
  <si>
    <t>3528-07</t>
  </si>
  <si>
    <t>3528-08</t>
  </si>
  <si>
    <t>3528-09</t>
  </si>
  <si>
    <t>3528-10</t>
  </si>
  <si>
    <t>3531-01</t>
  </si>
  <si>
    <t>3549-01</t>
  </si>
  <si>
    <t>356-01</t>
  </si>
  <si>
    <t>357-01</t>
  </si>
  <si>
    <t>360-01</t>
  </si>
  <si>
    <t>361-01</t>
  </si>
  <si>
    <t>361-02</t>
  </si>
  <si>
    <t>448-01</t>
  </si>
  <si>
    <t>448-02</t>
  </si>
  <si>
    <t>449-01</t>
  </si>
  <si>
    <t>516-01</t>
  </si>
  <si>
    <t>517-01</t>
  </si>
  <si>
    <t>519-01</t>
  </si>
  <si>
    <t>520-01</t>
  </si>
  <si>
    <t>520-02</t>
  </si>
  <si>
    <t>520-03</t>
  </si>
  <si>
    <t>524-01</t>
  </si>
  <si>
    <t>524-02</t>
  </si>
  <si>
    <t>524-03</t>
  </si>
  <si>
    <t>643-01</t>
  </si>
  <si>
    <t>646-01</t>
  </si>
  <si>
    <t>647-01</t>
  </si>
  <si>
    <t>648-01</t>
  </si>
  <si>
    <t>650-01</t>
  </si>
  <si>
    <t>651-01</t>
  </si>
  <si>
    <t>653-01</t>
  </si>
  <si>
    <t>654-01</t>
  </si>
  <si>
    <t>655-01</t>
  </si>
  <si>
    <t>656-01</t>
  </si>
  <si>
    <t>657-01</t>
  </si>
  <si>
    <t>658-01</t>
  </si>
  <si>
    <t>659-01</t>
  </si>
  <si>
    <t>660-01</t>
  </si>
  <si>
    <t>663-01</t>
  </si>
  <si>
    <t>664-01</t>
  </si>
  <si>
    <t>665-01</t>
  </si>
  <si>
    <t>666-01</t>
  </si>
  <si>
    <t>667-01</t>
  </si>
  <si>
    <t>668-01</t>
  </si>
  <si>
    <t>669-01</t>
  </si>
  <si>
    <t>670-01</t>
  </si>
  <si>
    <t>671-01</t>
  </si>
  <si>
    <t>672-01</t>
  </si>
  <si>
    <t>673-01</t>
  </si>
  <si>
    <t>674-01</t>
  </si>
  <si>
    <t>675-01</t>
  </si>
  <si>
    <t>676-01</t>
  </si>
  <si>
    <t>677-01</t>
  </si>
  <si>
    <t>677-02</t>
  </si>
  <si>
    <t>677-03</t>
  </si>
  <si>
    <t>677-04</t>
  </si>
  <si>
    <t>678-01</t>
  </si>
  <si>
    <t>679-01</t>
  </si>
  <si>
    <t>680-01</t>
  </si>
  <si>
    <t>681-01</t>
  </si>
  <si>
    <t>682-01</t>
  </si>
  <si>
    <t>697-01</t>
  </si>
  <si>
    <t>697-02</t>
  </si>
  <si>
    <t>701-01</t>
  </si>
  <si>
    <t>704-01</t>
  </si>
  <si>
    <t>706-01</t>
  </si>
  <si>
    <t>706-03</t>
  </si>
  <si>
    <t>706-04</t>
  </si>
  <si>
    <t>707-01</t>
  </si>
  <si>
    <t>709-01</t>
  </si>
  <si>
    <t>709-02</t>
  </si>
  <si>
    <t>712-01</t>
  </si>
  <si>
    <t>718-01</t>
  </si>
  <si>
    <t>718-02</t>
  </si>
  <si>
    <t>719-01</t>
  </si>
  <si>
    <t>719-03</t>
  </si>
  <si>
    <t>719-04</t>
  </si>
  <si>
    <t>731-01</t>
  </si>
  <si>
    <t>741-01</t>
  </si>
  <si>
    <t>742-01</t>
  </si>
  <si>
    <t>743-01</t>
  </si>
  <si>
    <t>744-01</t>
  </si>
  <si>
    <t>764-01</t>
  </si>
  <si>
    <t>765-01</t>
  </si>
  <si>
    <t>841-01</t>
  </si>
  <si>
    <t>841-02</t>
  </si>
  <si>
    <t>843-01</t>
  </si>
  <si>
    <t>843-02</t>
  </si>
  <si>
    <t>849-01</t>
  </si>
  <si>
    <t>850-01</t>
  </si>
  <si>
    <t>851-01</t>
  </si>
  <si>
    <t>852-01</t>
  </si>
  <si>
    <t>853-01</t>
  </si>
  <si>
    <t>854-01</t>
  </si>
  <si>
    <t>857-01</t>
  </si>
  <si>
    <t>abar@andrews.edu</t>
  </si>
  <si>
    <t>000114991</t>
  </si>
  <si>
    <t>radisa@andrews.edu</t>
  </si>
  <si>
    <t>000042516</t>
  </si>
  <si>
    <t>augsburg@andrews.edu</t>
  </si>
  <si>
    <t>000003539</t>
  </si>
  <si>
    <t>degaliza@andrews.edu</t>
  </si>
  <si>
    <t>000141959</t>
  </si>
  <si>
    <t>barna@andrews.edu</t>
  </si>
  <si>
    <t>000107673</t>
  </si>
  <si>
    <t>christiechu@andrews.edu</t>
  </si>
  <si>
    <t>000232177</t>
  </si>
  <si>
    <t>damsteeg@andrews.edu</t>
  </si>
  <si>
    <t>000009168</t>
  </si>
  <si>
    <t>figuerov@andrews.edu</t>
  </si>
  <si>
    <t>000055527</t>
  </si>
  <si>
    <t>gameti@andrews.edu</t>
  </si>
  <si>
    <t>000239625</t>
  </si>
  <si>
    <t>angelika@andrews.edu</t>
  </si>
  <si>
    <t>000143159</t>
  </si>
  <si>
    <t>louw@andrews.edu</t>
  </si>
  <si>
    <t>000160504</t>
  </si>
  <si>
    <t>jungkyu@andrews.edu</t>
  </si>
  <si>
    <t>000122429</t>
  </si>
  <si>
    <t>000093682</t>
  </si>
  <si>
    <t>arosario@andrews.edu</t>
  </si>
  <si>
    <t>000074158</t>
  </si>
  <si>
    <t>steger@andrews.edu</t>
  </si>
  <si>
    <t>000064286</t>
  </si>
  <si>
    <t>toscano@andrews.edu</t>
  </si>
  <si>
    <t>000138178</t>
  </si>
  <si>
    <t>ashirley@andrews.edu</t>
  </si>
  <si>
    <t>000062024</t>
  </si>
  <si>
    <t>beaglesk@andrews.edu</t>
  </si>
  <si>
    <t>000041794</t>
  </si>
  <si>
    <t>consuegr@andrews.edu</t>
  </si>
  <si>
    <t>000041530</t>
  </si>
  <si>
    <t>desireed@andrews.edu</t>
  </si>
  <si>
    <t>000111875</t>
  </si>
  <si>
    <t>duany@andrews.edu</t>
  </si>
  <si>
    <t>000117365</t>
  </si>
  <si>
    <t>josee@andrews.edu</t>
  </si>
  <si>
    <t>000032088</t>
  </si>
  <si>
    <t>tyrrell@andrews.edu</t>
  </si>
  <si>
    <t>000067653</t>
  </si>
  <si>
    <t>gilles@andrews.edu</t>
  </si>
  <si>
    <t>000129689</t>
  </si>
  <si>
    <t>hamiltol@andrews.edu</t>
  </si>
  <si>
    <t>000062449</t>
  </si>
  <si>
    <t>benjaminm@andrews.edu</t>
  </si>
  <si>
    <t>000155484</t>
  </si>
  <si>
    <t>jorgem@andrews.edu</t>
  </si>
  <si>
    <t>000049082</t>
  </si>
  <si>
    <t>mooreri@andrews.edu</t>
  </si>
  <si>
    <t>000054389</t>
  </si>
  <si>
    <t>reddy@andrews.edu</t>
  </si>
  <si>
    <t>000159825</t>
  </si>
  <si>
    <t>reinert@andrews.edu</t>
  </si>
  <si>
    <t>000195832</t>
  </si>
  <si>
    <t>sedlacek@andrews.edu</t>
  </si>
  <si>
    <t>000142355</t>
  </si>
  <si>
    <t>jharony@andrews.edu</t>
  </si>
  <si>
    <t>000140039</t>
  </si>
  <si>
    <t>pegueroc@andrews.edu</t>
  </si>
  <si>
    <t>000130089</t>
  </si>
  <si>
    <t>curtisf@andrews.edu</t>
  </si>
  <si>
    <t>000062042</t>
  </si>
  <si>
    <t>elim@andrews.edu</t>
  </si>
  <si>
    <t>000132146</t>
  </si>
  <si>
    <t>maxson@andrews.edu</t>
  </si>
  <si>
    <t>000025977</t>
  </si>
  <si>
    <t>wilberto@andrews.edu</t>
  </si>
  <si>
    <t>000034125</t>
  </si>
  <si>
    <t>olivo@andrews.edu</t>
  </si>
  <si>
    <t>000046389</t>
  </si>
  <si>
    <t>swansonp@andrews.edu</t>
  </si>
  <si>
    <t>000031571</t>
  </si>
  <si>
    <t>walshe@andrews.edu</t>
  </si>
  <si>
    <t>000136308</t>
  </si>
  <si>
    <t>adenilton@andrews.edu</t>
  </si>
  <si>
    <t>000160279</t>
  </si>
  <si>
    <t>badenasr@andrews.edu</t>
  </si>
  <si>
    <t>000035367</t>
  </si>
  <si>
    <t>borda@andrews.edu</t>
  </si>
  <si>
    <t>000150924</t>
  </si>
  <si>
    <t>jonatas@andrews.edu</t>
  </si>
  <si>
    <t>000159708</t>
  </si>
  <si>
    <t>festa@andrews.edu</t>
  </si>
  <si>
    <t>000159784</t>
  </si>
  <si>
    <t>gallusz@andrews.edu</t>
  </si>
  <si>
    <t>000203949</t>
  </si>
  <si>
    <t>grzeskowiak@andrews.edu</t>
  </si>
  <si>
    <t>000204006</t>
  </si>
  <si>
    <t>ahernandez@andrews.edu</t>
  </si>
  <si>
    <t>000025476</t>
  </si>
  <si>
    <t>kostyuk@andrews.edu</t>
  </si>
  <si>
    <t>000159768</t>
  </si>
  <si>
    <t>bkuryliak@andrews.edu</t>
  </si>
  <si>
    <t>000200888</t>
  </si>
  <si>
    <t>beett@andrews.edu</t>
  </si>
  <si>
    <t>000146533</t>
  </si>
  <si>
    <t>lichtenw@andrews.edu</t>
  </si>
  <si>
    <t>000024733</t>
  </si>
  <si>
    <t>moral@andrews.edu</t>
  </si>
  <si>
    <t>000105885</t>
  </si>
  <si>
    <t>munozj@andrews.edu</t>
  </si>
  <si>
    <t>000073761</t>
  </si>
  <si>
    <t>rmunoz@andrews.edu</t>
  </si>
  <si>
    <t>000064060</t>
  </si>
  <si>
    <t>nunesl@andrews.edu</t>
  </si>
  <si>
    <t>000138706</t>
  </si>
  <si>
    <t>papaioannou@andrews.edu</t>
  </si>
  <si>
    <t>000050429</t>
  </si>
  <si>
    <t>mariop@andrews.edu</t>
  </si>
  <si>
    <t>000108446</t>
  </si>
  <si>
    <t>tlreeve@andrews.edu</t>
  </si>
  <si>
    <t>000050236</t>
  </si>
  <si>
    <t>000008252</t>
  </si>
  <si>
    <t>baezgarc@andrews.edu</t>
  </si>
  <si>
    <t>000118530</t>
  </si>
  <si>
    <t>lsbakerjr@andrews.edu</t>
  </si>
  <si>
    <t>000067622</t>
  </si>
  <si>
    <t>bates@andrews.edu</t>
  </si>
  <si>
    <t>000095796</t>
  </si>
  <si>
    <t>beaulies@andrews.edu</t>
  </si>
  <si>
    <t>000132272</t>
  </si>
  <si>
    <t>000246964</t>
  </si>
  <si>
    <t>brejaal@andrews.edu</t>
  </si>
  <si>
    <t>000068116</t>
  </si>
  <si>
    <t>trisha@andrews.edu</t>
  </si>
  <si>
    <t>000088405</t>
  </si>
  <si>
    <t>doukhanj@andrews.edu</t>
  </si>
  <si>
    <t>000027289</t>
  </si>
  <si>
    <t>emswiler@andrews.edu</t>
  </si>
  <si>
    <t>000205980</t>
  </si>
  <si>
    <t>cgane@andrews.edu</t>
  </si>
  <si>
    <t>000074605</t>
  </si>
  <si>
    <t>danielgordan@andrews.edu</t>
  </si>
  <si>
    <t>000155573</t>
  </si>
  <si>
    <t>johnny@andrews.edu</t>
  </si>
  <si>
    <t>000102157</t>
  </si>
  <si>
    <t>hudon@andrews.edu</t>
  </si>
  <si>
    <t>000133678</t>
  </si>
  <si>
    <t>laurentiuga@andrews.edu</t>
  </si>
  <si>
    <t>000190055</t>
  </si>
  <si>
    <t>jankovic@andrews.edu</t>
  </si>
  <si>
    <t>000138176</t>
  </si>
  <si>
    <t>mcguirej@andrews.edu</t>
  </si>
  <si>
    <t>000118224</t>
  </si>
  <si>
    <t>moody@andrews.edu</t>
  </si>
  <si>
    <t>000141338</t>
  </si>
  <si>
    <t>morrowl@andrews.edu</t>
  </si>
  <si>
    <t>000112615</t>
  </si>
  <si>
    <t>000032749</t>
  </si>
  <si>
    <t>kimchai@andrews.edu</t>
  </si>
  <si>
    <t>000212413</t>
  </si>
  <si>
    <t>neto@andrews.edu</t>
  </si>
  <si>
    <t>000136415</t>
  </si>
  <si>
    <t>abelardo@andrews.edu</t>
  </si>
  <si>
    <t>000133197</t>
  </si>
  <si>
    <t>rojasr@andrews.edu</t>
  </si>
  <si>
    <t>000124643</t>
  </si>
  <si>
    <t>ruizr@andrews.edu</t>
  </si>
  <si>
    <t>000148578</t>
  </si>
  <si>
    <t>sion@andrews.edu</t>
  </si>
  <si>
    <t>000117882</t>
  </si>
  <si>
    <t>tollerto@andrews.edu</t>
  </si>
  <si>
    <t>000117327</t>
  </si>
  <si>
    <t>wiens@andrews.edu</t>
  </si>
  <si>
    <t>000160271</t>
  </si>
  <si>
    <t>ariasqui@andrews.edu</t>
  </si>
  <si>
    <t>000099625</t>
  </si>
  <si>
    <t>sjbell@andrews.edu</t>
  </si>
  <si>
    <t>000015518</t>
  </si>
  <si>
    <t>erlo@andrews.edu</t>
  </si>
  <si>
    <t>000137172</t>
  </si>
  <si>
    <t>alejandrob@andrews.edu</t>
  </si>
  <si>
    <t>000181820</t>
  </si>
  <si>
    <t>canals@andrews.edu</t>
  </si>
  <si>
    <t>000051912</t>
  </si>
  <si>
    <t>cauleym@andrews.edu</t>
  </si>
  <si>
    <t>000025417</t>
  </si>
  <si>
    <t>cauley@andrews.edu</t>
  </si>
  <si>
    <t>000107141</t>
  </si>
  <si>
    <t>ceballom@andrews.edu</t>
  </si>
  <si>
    <t>000039066</t>
  </si>
  <si>
    <t>choque@andrews.edu</t>
  </si>
  <si>
    <t>000127674</t>
  </si>
  <si>
    <t>tevans@andrews.edu</t>
  </si>
  <si>
    <t>000063105</t>
  </si>
  <si>
    <t>angelal@andrews.edu</t>
  </si>
  <si>
    <t>000225367</t>
  </si>
  <si>
    <t>lianga@andrews.edu</t>
  </si>
  <si>
    <t>000035691</t>
  </si>
  <si>
    <t>oudri@andrews.edu</t>
  </si>
  <si>
    <t>000077975</t>
  </si>
  <si>
    <t>patterss@andrews.edu</t>
  </si>
  <si>
    <t>000030103</t>
  </si>
  <si>
    <t>johnnyr@andrews.edu</t>
  </si>
  <si>
    <t>000030856</t>
  </si>
  <si>
    <t>rico@andrews.edu</t>
  </si>
  <si>
    <t>000051411</t>
  </si>
  <si>
    <t>saravia@andrews.edu</t>
  </si>
  <si>
    <t>000046397</t>
  </si>
  <si>
    <t>eschmidt@andrews.edu</t>
  </si>
  <si>
    <t>000041813</t>
  </si>
  <si>
    <t>siroj@andrews.edu</t>
  </si>
  <si>
    <t>000050631</t>
  </si>
  <si>
    <t>wagenersmith@andrews.edu</t>
  </si>
  <si>
    <t>000118859</t>
  </si>
  <si>
    <t>panderson@andrews.edu</t>
  </si>
  <si>
    <t>000048877</t>
  </si>
  <si>
    <t>000233478</t>
  </si>
  <si>
    <t>ferreirajim@andrews.edu</t>
  </si>
  <si>
    <t>000155280</t>
  </si>
  <si>
    <t>galeniec@andrews.edu</t>
  </si>
  <si>
    <t>000078997</t>
  </si>
  <si>
    <t>vaughang@andrews.edu</t>
  </si>
  <si>
    <t>000054097</t>
  </si>
  <si>
    <t>jgrys@andrews.edu</t>
  </si>
  <si>
    <t>000038918</t>
  </si>
  <si>
    <t>jaeger@andrews.edu</t>
  </si>
  <si>
    <t>000115524</t>
  </si>
  <si>
    <t>jledesma@andrews.edu</t>
  </si>
  <si>
    <t>000043873</t>
  </si>
  <si>
    <t>000090518</t>
  </si>
  <si>
    <t>mcleane@andrews.edu</t>
  </si>
  <si>
    <t>000049564</t>
  </si>
  <si>
    <t>ming@andrews.edu</t>
  </si>
  <si>
    <t>000126678</t>
  </si>
  <si>
    <t>moralesx@andrews.edu</t>
  </si>
  <si>
    <t>000139876</t>
  </si>
  <si>
    <t>ramosescoba@andrews.edu</t>
  </si>
  <si>
    <t>000155460</t>
  </si>
  <si>
    <t>taiwo@andrews.edu</t>
  </si>
  <si>
    <t>000051532</t>
  </si>
  <si>
    <t>throstur@andrews.edu</t>
  </si>
  <si>
    <t>000028045</t>
  </si>
  <si>
    <t>trecarts@andrews.edu</t>
  </si>
  <si>
    <t>000133204</t>
  </si>
  <si>
    <t>vatelm@andrews.edu</t>
  </si>
  <si>
    <t>000074539</t>
  </si>
  <si>
    <t>rohann@andrews.edu</t>
  </si>
  <si>
    <t>000110327</t>
  </si>
  <si>
    <t>woodh@andrews.edu</t>
  </si>
  <si>
    <t>000241606</t>
  </si>
  <si>
    <t>dustiny@andrews.edu</t>
  </si>
  <si>
    <t>000234751</t>
  </si>
  <si>
    <t>alexe@andrews.edu</t>
  </si>
  <si>
    <t>000134154</t>
  </si>
  <si>
    <t>lidvar@andrews.edu</t>
  </si>
  <si>
    <t>000148465</t>
  </si>
  <si>
    <t>arena@andrews.edu</t>
  </si>
  <si>
    <t>000148323</t>
  </si>
  <si>
    <t>baldwin@andrews.edu</t>
  </si>
  <si>
    <t>000001902</t>
  </si>
  <si>
    <t>bentancur@andrews.edu</t>
  </si>
  <si>
    <t>000193021</t>
  </si>
  <si>
    <t>canale@andrews.edu</t>
  </si>
  <si>
    <t>000033285</t>
  </si>
  <si>
    <t>covrig@andrews.edu</t>
  </si>
  <si>
    <t>000125642</t>
  </si>
  <si>
    <t>dei@andrews.edu</t>
  </si>
  <si>
    <t>000214349</t>
  </si>
  <si>
    <t>dupera@andrews.edu</t>
  </si>
  <si>
    <t>000001928</t>
  </si>
  <si>
    <t>duranroyo@andrews.edu</t>
  </si>
  <si>
    <t>000210558</t>
  </si>
  <si>
    <t>darius@andrews.edu</t>
  </si>
  <si>
    <t>000069427</t>
  </si>
  <si>
    <t>000022704</t>
  </si>
  <si>
    <t>kormos@andrews.edu</t>
  </si>
  <si>
    <t>000207932</t>
  </si>
  <si>
    <t>jpeckham@andrews.edu</t>
  </si>
  <si>
    <t>000116996</t>
  </si>
  <si>
    <t>zplantak@andrews.edu</t>
  </si>
  <si>
    <t>000104055</t>
  </si>
  <si>
    <t>zoltan@andrews.edu</t>
  </si>
  <si>
    <t>000067911</t>
  </si>
  <si>
    <t>terreros@andrews.edu</t>
  </si>
  <si>
    <t>000054615</t>
  </si>
  <si>
    <t>wetterli@andrews.edu</t>
  </si>
  <si>
    <t>000095321</t>
  </si>
  <si>
    <t>dossc@andrews.edu</t>
  </si>
  <si>
    <t>000011280</t>
  </si>
  <si>
    <t>dossg@andrews.edu</t>
  </si>
  <si>
    <t>000016109</t>
  </si>
  <si>
    <t>dybdahl@andrews.edu</t>
  </si>
  <si>
    <t>000006149</t>
  </si>
  <si>
    <t>dybdahlp@andrews.edu</t>
  </si>
  <si>
    <t>000069738</t>
  </si>
  <si>
    <t>goya@andrews.edu</t>
  </si>
  <si>
    <t>000151900</t>
  </si>
  <si>
    <t>abrahamg@andrews.edu</t>
  </si>
  <si>
    <t>000134376</t>
  </si>
  <si>
    <t>youssry@andrews.edu</t>
  </si>
  <si>
    <t>000229579</t>
  </si>
  <si>
    <t>claval@andrews.edu</t>
  </si>
  <si>
    <t>000124366</t>
  </si>
  <si>
    <t>surachet@andrews.edu</t>
  </si>
  <si>
    <t>000089320</t>
  </si>
  <si>
    <t>rmaier@andrews.edu</t>
  </si>
  <si>
    <t>000019537</t>
  </si>
  <si>
    <t>mcedward@andrews.edu</t>
  </si>
  <si>
    <t>000062229</t>
  </si>
  <si>
    <t>cmercado@andrews.edu</t>
  </si>
  <si>
    <t>000016682</t>
  </si>
  <si>
    <t>lmerklin@andrews.edu</t>
  </si>
  <si>
    <t>000019722</t>
  </si>
  <si>
    <t>sergo@andrews.edu</t>
  </si>
  <si>
    <t>000112386</t>
  </si>
  <si>
    <t>onongha@andrews.edu</t>
  </si>
  <si>
    <t>000056502</t>
  </si>
  <si>
    <t>osindo@andrews.edu</t>
  </si>
  <si>
    <t>000160575</t>
  </si>
  <si>
    <t>profetadep@andrews.edu</t>
  </si>
  <si>
    <t>000144385</t>
  </si>
  <si>
    <t>micheletw@andrews.edu</t>
  </si>
  <si>
    <t>000089121</t>
  </si>
  <si>
    <t>zubkov@andrews.edu</t>
  </si>
  <si>
    <t>000126778</t>
  </si>
  <si>
    <t>large@andrews.edu</t>
  </si>
  <si>
    <t>000133676</t>
  </si>
  <si>
    <t>burt@andrews.edu</t>
  </si>
  <si>
    <t>000049061</t>
  </si>
  <si>
    <t>steve@andrews.edu</t>
  </si>
  <si>
    <t>000040389</t>
  </si>
  <si>
    <t>egalen@andrews.edu</t>
  </si>
  <si>
    <t>000077101</t>
  </si>
  <si>
    <t>kleber@andrews.edu</t>
  </si>
  <si>
    <t>000078571</t>
  </si>
  <si>
    <t>egreen@andrews.edu</t>
  </si>
  <si>
    <t>000212555</t>
  </si>
  <si>
    <t>hucks@andrews.edu</t>
  </si>
  <si>
    <t>000048969</t>
  </si>
  <si>
    <t>irizarry@andrews.edu</t>
  </si>
  <si>
    <t>000140394</t>
  </si>
  <si>
    <t>korchuk@andrews.edu</t>
  </si>
  <si>
    <t>000097153</t>
  </si>
  <si>
    <t>machado@andrews.edu</t>
  </si>
  <si>
    <t>000117818</t>
  </si>
  <si>
    <t>johnmatt@andrews.edu</t>
  </si>
  <si>
    <t>000021462</t>
  </si>
  <si>
    <t>jmoon@andrews.edu</t>
  </si>
  <si>
    <t>000018492</t>
  </si>
  <si>
    <t>muran@andrews.edu</t>
  </si>
  <si>
    <t>000118655</t>
  </si>
  <si>
    <t>nogueirl@andrews.edu</t>
  </si>
  <si>
    <t>000086036</t>
  </si>
  <si>
    <t>pagan@andrews.edu</t>
  </si>
  <si>
    <t>000067278</t>
  </si>
  <si>
    <t>petrisch@andrews.edu</t>
  </si>
  <si>
    <t>000116224</t>
  </si>
  <si>
    <t>ponyatov@andrews.edu</t>
  </si>
  <si>
    <t>000116220</t>
  </si>
  <si>
    <t>gluder@andrews.edu</t>
  </si>
  <si>
    <t>000122528</t>
  </si>
  <si>
    <t>vale@andrews.edu</t>
  </si>
  <si>
    <t>000033969</t>
  </si>
  <si>
    <t>yeagley@andrews.edu</t>
  </si>
  <si>
    <t>000041250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</si>
</sst>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20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  <font>
      <strike/>
      <sz val="10"/>
      <name val="Arial"/>
      <family val="2"/>
    </font>
    <font>
      <strike/>
      <sz val="10"/>
      <color theme="1"/>
      <name val="Arial"/>
      <family val="2"/>
    </font>
    <font>
      <strike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FF66FF"/>
      <name val="Arial"/>
      <family val="2"/>
    </font>
    <font>
      <sz val="10"/>
      <color theme="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FF0000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rgb="FFD9D9D9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rgb="FFFF66FF"/>
        <bgColor rgb="FFFF0000"/>
      </patternFill>
    </fill>
    <fill>
      <patternFill patternType="solid">
        <fgColor rgb="FFFF00FF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/>
      <diagonal/>
    </border>
    <border>
      <left style="thin">
        <color theme="0"/>
      </left>
      <right style="thin">
        <color theme="0"/>
      </right>
      <top style="thin">
        <color rgb="FFD3D3D3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6">
    <xf numFmtId="0" fontId="0" fillId="0" borderId="0" xfId="0"/>
    <xf numFmtId="0" fontId="1" fillId="2" borderId="1" xfId="0" applyFont="1" applyFill="1" applyBorder="1" applyAlignment="1">
      <alignment horizontal="center" textRotation="90" wrapText="1"/>
    </xf>
    <xf numFmtId="0" fontId="2" fillId="2" borderId="1" xfId="0" applyFont="1" applyFill="1" applyBorder="1" applyAlignment="1">
      <alignment horizontal="center" textRotation="90" wrapText="1"/>
    </xf>
    <xf numFmtId="0" fontId="1" fillId="3" borderId="1" xfId="0" applyFont="1" applyFill="1" applyBorder="1" applyAlignment="1">
      <alignment horizontal="center" textRotation="90" wrapText="1"/>
    </xf>
    <xf numFmtId="49" fontId="3" fillId="0" borderId="2" xfId="0" applyNumberFormat="1" applyFont="1" applyBorder="1"/>
    <xf numFmtId="0" fontId="3" fillId="0" borderId="2" xfId="0" applyFont="1" applyBorder="1"/>
    <xf numFmtId="49" fontId="3" fillId="3" borderId="2" xfId="0" applyNumberFormat="1" applyFont="1" applyFill="1" applyBorder="1"/>
    <xf numFmtId="0" fontId="3" fillId="3" borderId="2" xfId="0" applyFont="1" applyFill="1" applyBorder="1"/>
    <xf numFmtId="49" fontId="3" fillId="4" borderId="2" xfId="0" applyNumberFormat="1" applyFont="1" applyFill="1" applyBorder="1"/>
    <xf numFmtId="0" fontId="3" fillId="4" borderId="2" xfId="0" applyFont="1" applyFill="1" applyBorder="1"/>
    <xf numFmtId="49" fontId="2" fillId="0" borderId="2" xfId="0" applyNumberFormat="1" applyFont="1" applyBorder="1"/>
    <xf numFmtId="49" fontId="3" fillId="5" borderId="2" xfId="0" applyNumberFormat="1" applyFont="1" applyFill="1" applyBorder="1"/>
    <xf numFmtId="49" fontId="2" fillId="5" borderId="2" xfId="0" applyNumberFormat="1" applyFont="1" applyFill="1" applyBorder="1"/>
    <xf numFmtId="0" fontId="3" fillId="5" borderId="2" xfId="0" applyFont="1" applyFill="1" applyBorder="1"/>
    <xf numFmtId="49" fontId="3" fillId="6" borderId="2" xfId="0" applyNumberFormat="1" applyFont="1" applyFill="1" applyBorder="1"/>
    <xf numFmtId="0" fontId="3" fillId="6" borderId="2" xfId="0" applyFont="1" applyFill="1" applyBorder="1"/>
    <xf numFmtId="0" fontId="0" fillId="7" borderId="0" xfId="0" applyFill="1"/>
    <xf numFmtId="49" fontId="3" fillId="8" borderId="2" xfId="0" applyNumberFormat="1" applyFont="1" applyFill="1" applyBorder="1"/>
    <xf numFmtId="49" fontId="3" fillId="9" borderId="2" xfId="0" applyNumberFormat="1" applyFont="1" applyFill="1" applyBorder="1"/>
    <xf numFmtId="0" fontId="3" fillId="9" borderId="2" xfId="0" applyFont="1" applyFill="1" applyBorder="1"/>
    <xf numFmtId="49" fontId="2" fillId="5" borderId="2" xfId="0" applyNumberFormat="1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3" fillId="0" borderId="3" xfId="0" applyNumberFormat="1" applyFont="1" applyBorder="1"/>
    <xf numFmtId="49" fontId="3" fillId="5" borderId="4" xfId="0" applyNumberFormat="1" applyFont="1" applyFill="1" applyBorder="1"/>
    <xf numFmtId="49" fontId="4" fillId="0" borderId="0" xfId="0" applyNumberFormat="1" applyFont="1">
      <extLst>
        <ext xmlns:xfpb="http://schemas.microsoft.com/office/spreadsheetml/2022/featurepropertybag" uri="{C7286773-470A-42A8-94C5-96B5CB345126}">
          <xfpb:xfComplement i="0"/>
        </ext>
      </extLst>
    </xf>
    <xf numFmtId="49" fontId="5" fillId="0" borderId="0" xfId="0" applyNumberFormat="1" applyFont="1"/>
    <xf numFmtId="49" fontId="4" fillId="0" borderId="2" xfId="0" applyNumberFormat="1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5" fillId="0" borderId="2" xfId="0" applyNumberFormat="1" applyFont="1" applyBorder="1"/>
    <xf numFmtId="49" fontId="4" fillId="10" borderId="5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10" borderId="6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8" borderId="0" xfId="0" applyNumberFormat="1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8" borderId="5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8" borderId="6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0" borderId="5" xfId="0" applyNumberFormat="1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3" fillId="3" borderId="3" xfId="0" applyNumberFormat="1" applyFont="1" applyFill="1" applyBorder="1"/>
    <xf numFmtId="49" fontId="4" fillId="11" borderId="7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11" borderId="8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11" borderId="9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11" borderId="10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7" borderId="8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7" borderId="9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3" fillId="9" borderId="3" xfId="0" applyNumberFormat="1" applyFont="1" applyFill="1" applyBorder="1"/>
    <xf numFmtId="49" fontId="6" fillId="12" borderId="2" xfId="0" applyNumberFormat="1" applyFont="1" applyFill="1" applyBorder="1"/>
    <xf numFmtId="49" fontId="4" fillId="12" borderId="0" xfId="0" applyNumberFormat="1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49" fontId="5" fillId="12" borderId="0" xfId="0" applyNumberFormat="1" applyFont="1" applyFill="1"/>
    <xf numFmtId="0" fontId="6" fillId="12" borderId="2" xfId="0" applyFont="1" applyFill="1" applyBorder="1"/>
    <xf numFmtId="0" fontId="0" fillId="13" borderId="0" xfId="0" applyFill="1"/>
    <xf numFmtId="49" fontId="3" fillId="10" borderId="2" xfId="0" applyNumberFormat="1" applyFont="1" applyFill="1" applyBorder="1"/>
    <xf numFmtId="0" fontId="3" fillId="10" borderId="2" xfId="0" applyFont="1" applyFill="1" applyBorder="1"/>
    <xf numFmtId="0" fontId="0" fillId="10" borderId="0" xfId="0" applyFill="1"/>
    <xf numFmtId="49" fontId="4" fillId="0" borderId="6" xfId="0" applyNumberFormat="1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3" fillId="0" borderId="4" xfId="0" applyNumberFormat="1" applyFont="1" applyBorder="1"/>
    <xf numFmtId="0" fontId="0" fillId="8" borderId="0" xfId="0" applyFill="1"/>
    <xf numFmtId="49" fontId="3" fillId="8" borderId="4" xfId="0" applyNumberFormat="1" applyFont="1" applyFill="1" applyBorder="1"/>
    <xf numFmtId="49" fontId="2" fillId="8" borderId="2" xfId="0" applyNumberFormat="1" applyFont="1" applyFill="1" applyBorder="1"/>
    <xf numFmtId="0" fontId="3" fillId="8" borderId="2" xfId="0" applyFont="1" applyFill="1" applyBorder="1"/>
    <xf numFmtId="49" fontId="4" fillId="12" borderId="5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3" fillId="12" borderId="2" xfId="0" applyNumberFormat="1" applyFont="1" applyFill="1" applyBorder="1"/>
    <xf numFmtId="49" fontId="3" fillId="12" borderId="0" xfId="0" applyNumberFormat="1" applyFont="1" applyFill="1"/>
    <xf numFmtId="49" fontId="3" fillId="8" borderId="0" xfId="0" applyNumberFormat="1" applyFont="1" applyFill="1"/>
    <xf numFmtId="49" fontId="7" fillId="12" borderId="0" xfId="0" applyNumberFormat="1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49" fontId="3" fillId="0" borderId="0" xfId="0" applyNumberFormat="1" applyFont="1"/>
    <xf numFmtId="49" fontId="5" fillId="0" borderId="4" xfId="0" applyNumberFormat="1" applyFont="1" applyBorder="1"/>
    <xf numFmtId="49" fontId="3" fillId="12" borderId="4" xfId="0" applyNumberFormat="1" applyFont="1" applyFill="1" applyBorder="1"/>
    <xf numFmtId="49" fontId="4" fillId="12" borderId="8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12" borderId="9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3" fillId="14" borderId="2" xfId="0" applyNumberFormat="1" applyFont="1" applyFill="1" applyBorder="1"/>
    <xf numFmtId="49" fontId="8" fillId="8" borderId="5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8" fillId="8" borderId="6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8" fillId="8" borderId="0" xfId="0" applyNumberFormat="1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49" fontId="9" fillId="5" borderId="4" xfId="0" applyNumberFormat="1" applyFont="1" applyFill="1" applyBorder="1"/>
    <xf numFmtId="49" fontId="9" fillId="5" borderId="2" xfId="0" applyNumberFormat="1" applyFont="1" applyFill="1" applyBorder="1"/>
    <xf numFmtId="49" fontId="9" fillId="12" borderId="2" xfId="0" applyNumberFormat="1" applyFont="1" applyFill="1" applyBorder="1"/>
    <xf numFmtId="0" fontId="9" fillId="5" borderId="2" xfId="0" applyFont="1" applyFill="1" applyBorder="1"/>
    <xf numFmtId="0" fontId="10" fillId="0" borderId="0" xfId="0" applyFont="1"/>
    <xf numFmtId="49" fontId="4" fillId="10" borderId="8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10" borderId="9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3" fillId="10" borderId="3" xfId="0" applyNumberFormat="1" applyFont="1" applyFill="1" applyBorder="1"/>
    <xf numFmtId="49" fontId="11" fillId="10" borderId="8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11" fillId="10" borderId="9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12" fillId="10" borderId="3" xfId="0" applyNumberFormat="1" applyFont="1" applyFill="1" applyBorder="1"/>
    <xf numFmtId="49" fontId="12" fillId="10" borderId="2" xfId="0" applyNumberFormat="1" applyFont="1" applyFill="1" applyBorder="1"/>
    <xf numFmtId="0" fontId="12" fillId="10" borderId="2" xfId="0" applyFont="1" applyFill="1" applyBorder="1"/>
    <xf numFmtId="0" fontId="13" fillId="10" borderId="0" xfId="0" applyFont="1" applyFill="1"/>
    <xf numFmtId="49" fontId="3" fillId="11" borderId="2" xfId="0" applyNumberFormat="1" applyFont="1" applyFill="1" applyBorder="1"/>
    <xf numFmtId="49" fontId="3" fillId="15" borderId="2" xfId="0" applyNumberFormat="1" applyFont="1" applyFill="1" applyBorder="1"/>
    <xf numFmtId="49" fontId="3" fillId="5" borderId="3" xfId="0" applyNumberFormat="1" applyFont="1" applyFill="1" applyBorder="1"/>
    <xf numFmtId="49" fontId="5" fillId="0" borderId="3" xfId="0" applyNumberFormat="1" applyFont="1" applyBorder="1"/>
    <xf numFmtId="49" fontId="14" fillId="8" borderId="2" xfId="0" applyNumberFormat="1" applyFont="1" applyFill="1" applyBorder="1"/>
    <xf numFmtId="49" fontId="14" fillId="12" borderId="2" xfId="0" applyNumberFormat="1" applyFont="1" applyFill="1" applyBorder="1"/>
    <xf numFmtId="49" fontId="4" fillId="12" borderId="6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11" xfId="0" applyFont="1" applyFill="1" applyBorder="1" applyAlignment="1">
      <alignment horizontal="center" textRotation="90" wrapText="1"/>
    </xf>
    <xf numFmtId="0" fontId="2" fillId="2" borderId="11" xfId="0" applyFont="1" applyFill="1" applyBorder="1" applyAlignment="1">
      <alignment horizontal="center" textRotation="90" wrapText="1"/>
    </xf>
    <xf numFmtId="0" fontId="1" fillId="3" borderId="11" xfId="0" applyFont="1" applyFill="1" applyBorder="1" applyAlignment="1">
      <alignment horizontal="center" textRotation="90" wrapText="1"/>
    </xf>
    <xf numFmtId="0" fontId="0" fillId="0" borderId="11" xfId="0" applyBorder="1"/>
    <xf numFmtId="49" fontId="4" fillId="0" borderId="11" xfId="0" applyNumberFormat="1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5" fillId="0" borderId="11" xfId="0" applyNumberFormat="1" applyFont="1" applyBorder="1"/>
    <xf numFmtId="49" fontId="3" fillId="0" borderId="11" xfId="0" applyNumberFormat="1" applyFont="1" applyBorder="1"/>
    <xf numFmtId="0" fontId="3" fillId="0" borderId="11" xfId="0" applyFont="1" applyBorder="1"/>
    <xf numFmtId="49" fontId="2" fillId="0" borderId="11" xfId="0" applyNumberFormat="1" applyFont="1" applyBorder="1"/>
    <xf numFmtId="49" fontId="4" fillId="10" borderId="11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3" fillId="4" borderId="11" xfId="0" applyNumberFormat="1" applyFont="1" applyFill="1" applyBorder="1"/>
    <xf numFmtId="0" fontId="3" fillId="4" borderId="11" xfId="0" applyFont="1" applyFill="1" applyBorder="1"/>
    <xf numFmtId="49" fontId="4" fillId="11" borderId="11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3" fillId="3" borderId="11" xfId="0" applyNumberFormat="1" applyFont="1" applyFill="1" applyBorder="1"/>
    <xf numFmtId="0" fontId="3" fillId="3" borderId="11" xfId="0" applyFont="1" applyFill="1" applyBorder="1"/>
    <xf numFmtId="0" fontId="13" fillId="0" borderId="11" xfId="0" applyFont="1" applyBorder="1"/>
    <xf numFmtId="49" fontId="11" fillId="10" borderId="11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12" fillId="4" borderId="11" xfId="0" applyNumberFormat="1" applyFont="1" applyFill="1" applyBorder="1"/>
    <xf numFmtId="0" fontId="12" fillId="4" borderId="11" xfId="0" applyFont="1" applyFill="1" applyBorder="1"/>
    <xf numFmtId="49" fontId="14" fillId="12" borderId="11" xfId="0" applyNumberFormat="1" applyFont="1" applyFill="1" applyBorder="1"/>
    <xf numFmtId="49" fontId="3" fillId="12" borderId="11" xfId="0" applyNumberFormat="1" applyFont="1" applyFill="1" applyBorder="1"/>
    <xf numFmtId="49" fontId="12" fillId="12" borderId="11" xfId="0" applyNumberFormat="1" applyFont="1" applyFill="1" applyBorder="1"/>
    <xf numFmtId="49" fontId="3" fillId="10" borderId="0" xfId="0" applyNumberFormat="1" applyFont="1" applyFill="1"/>
    <xf numFmtId="0" fontId="3" fillId="12" borderId="2" xfId="0" applyFont="1" applyFill="1" applyBorder="1"/>
    <xf numFmtId="49" fontId="5" fillId="8" borderId="0" xfId="0" applyNumberFormat="1" applyFont="1" applyFill="1"/>
    <xf numFmtId="49" fontId="12" fillId="0" borderId="2" xfId="0" applyNumberFormat="1" applyFont="1" applyBorder="1"/>
    <xf numFmtId="0" fontId="0" fillId="14" borderId="0" xfId="0" applyFill="1"/>
    <xf numFmtId="0" fontId="3" fillId="11" borderId="2" xfId="0" applyFont="1" applyFill="1" applyBorder="1"/>
    <xf numFmtId="49" fontId="3" fillId="12" borderId="3" xfId="0" applyNumberFormat="1" applyFont="1" applyFill="1" applyBorder="1"/>
    <xf numFmtId="49" fontId="3" fillId="5" borderId="0" xfId="0" applyNumberFormat="1" applyFont="1" applyFill="1"/>
    <xf numFmtId="15" fontId="0" fillId="8" borderId="0" xfId="0" applyNumberFormat="1" applyFill="1"/>
    <xf numFmtId="49" fontId="3" fillId="4" borderId="4" xfId="0" applyNumberFormat="1" applyFont="1" applyFill="1" applyBorder="1"/>
    <xf numFmtId="49" fontId="3" fillId="16" borderId="2" xfId="0" applyNumberFormat="1" applyFont="1" applyFill="1" applyBorder="1"/>
    <xf numFmtId="0" fontId="3" fillId="16" borderId="2" xfId="0" applyFont="1" applyFill="1" applyBorder="1"/>
    <xf numFmtId="49" fontId="3" fillId="17" borderId="2" xfId="0" applyNumberFormat="1" applyFont="1" applyFill="1" applyBorder="1"/>
    <xf numFmtId="49" fontId="4" fillId="11" borderId="5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0" borderId="8" xfId="0" applyNumberFormat="1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11" borderId="0" xfId="0" applyNumberFormat="1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8" borderId="8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10" borderId="0" xfId="0" applyNumberFormat="1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11" borderId="6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0" borderId="9" xfId="0" applyNumberFormat="1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8" borderId="9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3" fillId="17" borderId="0" xfId="0" applyNumberFormat="1" applyFont="1" applyFill="1"/>
    <xf numFmtId="49" fontId="3" fillId="3" borderId="4" xfId="0" applyNumberFormat="1" applyFont="1" applyFill="1" applyBorder="1"/>
    <xf numFmtId="49" fontId="3" fillId="3" borderId="0" xfId="0" applyNumberFormat="1" applyFont="1" applyFill="1"/>
    <xf numFmtId="49" fontId="3" fillId="4" borderId="3" xfId="0" applyNumberFormat="1" applyFont="1" applyFill="1" applyBorder="1"/>
    <xf numFmtId="49" fontId="3" fillId="4" borderId="0" xfId="0" applyNumberFormat="1" applyFont="1" applyFill="1"/>
    <xf numFmtId="49" fontId="5" fillId="12" borderId="4" xfId="0" applyNumberFormat="1" applyFont="1" applyFill="1" applyBorder="1"/>
    <xf numFmtId="49" fontId="3" fillId="4" borderId="2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14" borderId="2" xfId="0" applyFill="1" applyBorder="1"/>
    <xf numFmtId="0" fontId="0" fillId="0" borderId="2" xfId="0" applyBorder="1" applyAlignment="1">
      <alignment horizontal="center" vertical="center"/>
    </xf>
    <xf numFmtId="16" fontId="0" fillId="0" borderId="2" xfId="0" applyNumberFormat="1" applyBorder="1"/>
    <xf numFmtId="0" fontId="0" fillId="12" borderId="2" xfId="0" applyFill="1" applyBorder="1"/>
    <xf numFmtId="49" fontId="7" fillId="8" borderId="8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7" fillId="8" borderId="9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3" fillId="8" borderId="3" xfId="0" applyNumberFormat="1" applyFont="1" applyFill="1" applyBorder="1"/>
    <xf numFmtId="49" fontId="3" fillId="10" borderId="2" xfId="0" applyNumberFormat="1" applyFont="1" applyFill="1" applyBorder="1" applyAlignment="1">
      <alignment horizontal="center" vertical="center"/>
    </xf>
    <xf numFmtId="0" fontId="0" fillId="10" borderId="2" xfId="0" applyFill="1" applyBorder="1"/>
    <xf numFmtId="49" fontId="5" fillId="12" borderId="2" xfId="0" applyNumberFormat="1" applyFont="1" applyFill="1" applyBorder="1"/>
    <xf numFmtId="49" fontId="5" fillId="5" borderId="3" xfId="0" applyNumberFormat="1" applyFont="1" applyFill="1" applyBorder="1"/>
    <xf numFmtId="49" fontId="5" fillId="5" borderId="0" xfId="0" applyNumberFormat="1" applyFont="1" applyFill="1"/>
    <xf numFmtId="49" fontId="4" fillId="10" borderId="3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12" borderId="3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5" fillId="12" borderId="3" xfId="0" applyNumberFormat="1" applyFont="1" applyFill="1" applyBorder="1"/>
    <xf numFmtId="49" fontId="3" fillId="0" borderId="0" xfId="0" applyNumberFormat="1" applyFont="1" applyAlignment="1">
      <alignment horizontal="center" vertical="center"/>
    </xf>
    <xf numFmtId="49" fontId="7" fillId="8" borderId="0" xfId="0" applyNumberFormat="1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49" fontId="7" fillId="10" borderId="5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7" fillId="10" borderId="6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14" borderId="11" xfId="0" applyFont="1" applyFill="1" applyBorder="1"/>
    <xf numFmtId="0" fontId="3" fillId="14" borderId="11" xfId="0" applyFont="1" applyFill="1" applyBorder="1" applyAlignment="1">
      <alignment horizontal="left"/>
    </xf>
    <xf numFmtId="15" fontId="3" fillId="14" borderId="11" xfId="0" applyNumberFormat="1" applyFont="1" applyFill="1" applyBorder="1" applyAlignment="1">
      <alignment horizontal="left"/>
    </xf>
    <xf numFmtId="164" fontId="3" fillId="14" borderId="11" xfId="0" applyNumberFormat="1" applyFont="1" applyFill="1" applyBorder="1" applyAlignment="1">
      <alignment horizontal="center" wrapText="1"/>
    </xf>
    <xf numFmtId="164" fontId="3" fillId="14" borderId="11" xfId="0" applyNumberFormat="1" applyFont="1" applyFill="1" applyBorder="1" applyAlignment="1">
      <alignment horizontal="left"/>
    </xf>
    <xf numFmtId="0" fontId="16" fillId="14" borderId="11" xfId="0" applyFont="1" applyFill="1" applyBorder="1"/>
    <xf numFmtId="49" fontId="7" fillId="0" borderId="11" xfId="0" applyNumberFormat="1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10" borderId="11" xfId="0" applyFont="1" applyFill="1" applyBorder="1"/>
    <xf numFmtId="49" fontId="3" fillId="14" borderId="11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15" fontId="3" fillId="14" borderId="11" xfId="0" applyNumberFormat="1" applyFont="1" applyFill="1" applyBorder="1" applyAlignment="1">
      <alignment horizontal="center" wrapText="1"/>
    </xf>
    <xf numFmtId="49" fontId="7" fillId="14" borderId="11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5" fillId="12" borderId="11" xfId="0" applyNumberFormat="1" applyFont="1" applyFill="1" applyBorder="1"/>
    <xf numFmtId="49" fontId="4" fillId="12" borderId="11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15" fontId="3" fillId="14" borderId="11" xfId="0" applyNumberFormat="1" applyFont="1" applyFill="1" applyBorder="1" applyAlignment="1">
      <alignment horizontal="center"/>
    </xf>
    <xf numFmtId="49" fontId="2" fillId="12" borderId="11" xfId="0" applyNumberFormat="1" applyFont="1" applyFill="1" applyBorder="1"/>
    <xf numFmtId="0" fontId="14" fillId="14" borderId="11" xfId="0" applyFont="1" applyFill="1" applyBorder="1"/>
    <xf numFmtId="49" fontId="18" fillId="12" borderId="11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12" fillId="0" borderId="11" xfId="0" applyNumberFormat="1" applyFont="1" applyBorder="1"/>
    <xf numFmtId="15" fontId="3" fillId="14" borderId="11" xfId="0" applyNumberFormat="1" applyFont="1" applyFill="1" applyBorder="1" applyAlignment="1">
      <alignment horizontal="left" wrapText="1"/>
    </xf>
    <xf numFmtId="0" fontId="17" fillId="14" borderId="1" xfId="0" applyFont="1" applyFill="1" applyBorder="1"/>
    <xf numFmtId="0" fontId="17" fillId="14" borderId="12" xfId="0" applyFont="1" applyFill="1" applyBorder="1"/>
    <xf numFmtId="164" fontId="3" fillId="14" borderId="11" xfId="0" applyNumberFormat="1" applyFont="1" applyFill="1" applyBorder="1" applyAlignment="1">
      <alignment horizontal="center"/>
    </xf>
    <xf numFmtId="0" fontId="0" fillId="14" borderId="11" xfId="0" applyFill="1" applyBorder="1"/>
    <xf numFmtId="0" fontId="3" fillId="12" borderId="11" xfId="0" applyFont="1" applyFill="1" applyBorder="1" applyAlignment="1">
      <alignment horizontal="left"/>
    </xf>
    <xf numFmtId="0" fontId="3" fillId="12" borderId="11" xfId="0" applyFont="1" applyFill="1" applyBorder="1"/>
    <xf numFmtId="15" fontId="3" fillId="12" borderId="11" xfId="0" applyNumberFormat="1" applyFont="1" applyFill="1" applyBorder="1" applyAlignment="1">
      <alignment horizontal="left"/>
    </xf>
    <xf numFmtId="15" fontId="3" fillId="12" borderId="11" xfId="0" applyNumberFormat="1" applyFont="1" applyFill="1" applyBorder="1" applyAlignment="1">
      <alignment horizontal="center" wrapText="1"/>
    </xf>
    <xf numFmtId="15" fontId="3" fillId="12" borderId="11" xfId="0" applyNumberFormat="1" applyFont="1" applyFill="1" applyBorder="1" applyAlignment="1">
      <alignment horizontal="center"/>
    </xf>
    <xf numFmtId="0" fontId="17" fillId="12" borderId="1" xfId="0" applyFont="1" applyFill="1" applyBorder="1"/>
    <xf numFmtId="0" fontId="17" fillId="12" borderId="12" xfId="0" applyFont="1" applyFill="1" applyBorder="1"/>
    <xf numFmtId="0" fontId="0" fillId="12" borderId="11" xfId="0" applyFill="1" applyBorder="1"/>
    <xf numFmtId="49" fontId="5" fillId="18" borderId="11" xfId="0" applyNumberFormat="1" applyFont="1" applyFill="1" applyBorder="1"/>
    <xf numFmtId="0" fontId="19" fillId="12" borderId="1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22/11/relationships/FeaturePropertyBag" Target="featurePropertyBag/featurePropertyBag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iveandrews-my.sharepoint.com/personal/rodriguesk_andrews_edu/Documents/9999_k.c.rodrigues_SEM/_Smart%20Schedule_Automated/2026-41_Fall_Smart_Schedule/x_SEM_CourseUpdate_LiveFolder_office365/DonSheet_202641_Fall_v0.9_KR.xlsx" TargetMode="External"/><Relationship Id="rId1" Type="http://schemas.openxmlformats.org/officeDocument/2006/relationships/externalLinkPath" Target="DonSheet_202641_Fall_v0.9_KR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liveandrews-my.sharepoint.com/personal/rodriguesk_andrews_edu/Documents/9999_k.c.rodrigues_SEM/_Smart%20Schedule_Automated/2026-31_Summer_Smart_Schedule/x_SEM_CourseUpdate_LiveFolder_office365/DonSheet_202631_Summer_v3.0.xlsx" TargetMode="External"/><Relationship Id="rId2" Type="http://schemas.microsoft.com/office/2019/04/relationships/externalLinkLongPath" Target="/personal/rodriguesk_andrews_edu/Documents/9999_k.c.rodrigues_SEM/_Smart%20Schedule_Automated/2026-31_Summer_Smart_Schedule/x_SEM_CourseUpdate_LiveFolder_office365/DonSheet_202631_Summer_v3.0.xlsx?5F711B67" TargetMode="External"/><Relationship Id="rId1" Type="http://schemas.openxmlformats.org/officeDocument/2006/relationships/externalLinkPath" Target="file:///5F711B67/DonSheet_202631_Summer_v3.0.xlsx" TargetMode="External"/><Relationship Id="rId4" Type="http://schemas.openxmlformats.org/officeDocument/2006/relationships/externalLinkPath" Target="../../../../../rodriguesk_andrews_edu/Documents/9999_k.c.rodrigues_SEM/_Smart%20Schedule_Automated/2026-31_Summer_Smart_Schedule/x_SEM_CourseUpdate_LiveFolder_office365/DonSheet_202631_Summer_v3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IS"/>
      <sheetName val="DSLE"/>
      <sheetName val="GSEM"/>
      <sheetName val="MSSN"/>
      <sheetName val="NTST"/>
      <sheetName val="OTST"/>
      <sheetName val="PATH"/>
      <sheetName val="THST"/>
      <sheetName val="MDivHISP"/>
      <sheetName val="MAPmENGL"/>
      <sheetName val="MAPmHISP"/>
      <sheetName val="MA_Religion"/>
      <sheetName val="DMIN"/>
      <sheetName val="DropDownMenu"/>
      <sheetName val="InstructorM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1">
          <cell r="A1" t="str">
            <v>Instructor Name {Instr Name}</v>
          </cell>
          <cell r="B1" t="str">
            <v>Instructor Email {Instr Email}</v>
          </cell>
          <cell r="C1" t="str">
            <v>Instructor ID {Instr ID}</v>
          </cell>
        </row>
        <row r="2">
          <cell r="A2" t="str">
            <v>Abar, Emmanuel M.</v>
          </cell>
          <cell r="B2" t="str">
            <v>abar@andrews.edu</v>
          </cell>
          <cell r="C2" t="str">
            <v>000114991</v>
          </cell>
        </row>
        <row r="3">
          <cell r="A3" t="str">
            <v>Antic, Radisa</v>
          </cell>
          <cell r="B3" t="str">
            <v>radisa@andrews.edu</v>
          </cell>
          <cell r="C3" t="str">
            <v>000042516</v>
          </cell>
        </row>
        <row r="4">
          <cell r="A4" t="str">
            <v>Augsburger, Daniel E.</v>
          </cell>
          <cell r="B4" t="str">
            <v>augsburg@andrews.edu</v>
          </cell>
          <cell r="C4" t="str">
            <v>000003539</v>
          </cell>
        </row>
        <row r="5">
          <cell r="A5" t="str">
            <v>Barbosa, Rodrigo d.</v>
          </cell>
          <cell r="B5" t="str">
            <v>degaliza@andrews.edu</v>
          </cell>
          <cell r="C5" t="str">
            <v>000141959</v>
          </cell>
        </row>
        <row r="6">
          <cell r="A6" t="str">
            <v>Barna, Jan</v>
          </cell>
          <cell r="B6" t="str">
            <v>barna@andrews.edu</v>
          </cell>
          <cell r="C6" t="str">
            <v>000107673</v>
          </cell>
        </row>
        <row r="7">
          <cell r="A7" t="str">
            <v>Burton, Kevin M.</v>
          </cell>
          <cell r="B7" t="str">
            <v>burtonk@andrews.edu</v>
          </cell>
          <cell r="C7" t="str">
            <v>000148286</v>
          </cell>
        </row>
        <row r="8">
          <cell r="A8" t="str">
            <v>Chow, Christie Chui-Shan</v>
          </cell>
          <cell r="B8" t="str">
            <v>christiechu@andrews.edu</v>
          </cell>
          <cell r="C8" t="str">
            <v>000232177</v>
          </cell>
        </row>
        <row r="9">
          <cell r="A9" t="str">
            <v>Damsteegt, P Gerard</v>
          </cell>
          <cell r="B9" t="str">
            <v>damsteeg@andrews.edu</v>
          </cell>
          <cell r="C9" t="str">
            <v>000009168</v>
          </cell>
        </row>
        <row r="10">
          <cell r="A10" t="str">
            <v>Figueroa, Victor F.</v>
          </cell>
          <cell r="B10" t="str">
            <v>figuerov@andrews.edu</v>
          </cell>
          <cell r="C10" t="str">
            <v>000055527</v>
          </cell>
        </row>
        <row r="11">
          <cell r="A11" t="str">
            <v>Gameti, Yvonne Y.</v>
          </cell>
          <cell r="B11" t="str">
            <v>gameti@andrews.edu</v>
          </cell>
          <cell r="C11" t="str">
            <v>000239625</v>
          </cell>
        </row>
        <row r="12">
          <cell r="A12" t="str">
            <v>Garcia Zarate, Heber E.</v>
          </cell>
          <cell r="B12" t="str">
            <v>heber@andrews.edu</v>
          </cell>
          <cell r="C12" t="str">
            <v>000147941</v>
          </cell>
        </row>
        <row r="13">
          <cell r="A13" t="str">
            <v>Kaiser, Angelika</v>
          </cell>
          <cell r="B13" t="str">
            <v>angelika@andrews.edu</v>
          </cell>
          <cell r="C13" t="str">
            <v>000143159</v>
          </cell>
        </row>
        <row r="14">
          <cell r="A14" t="str">
            <v>Kaiser, Denis</v>
          </cell>
          <cell r="B14" t="str">
            <v>denis@andrews.edu</v>
          </cell>
          <cell r="C14" t="str">
            <v>000134382</v>
          </cell>
        </row>
        <row r="15">
          <cell r="A15" t="str">
            <v>Louw, Eric A.</v>
          </cell>
          <cell r="B15" t="str">
            <v>louw@andrews.edu</v>
          </cell>
          <cell r="C15" t="str">
            <v>000160504</v>
          </cell>
        </row>
        <row r="16">
          <cell r="A16" t="str">
            <v>Park, Jungkyu</v>
          </cell>
          <cell r="B16" t="str">
            <v>jungkyu@andrews.edu</v>
          </cell>
          <cell r="C16" t="str">
            <v>000122429</v>
          </cell>
        </row>
        <row r="17">
          <cell r="A17" t="str">
            <v>Rodrigues, Gerson C.</v>
          </cell>
          <cell r="B17" t="str">
            <v>gersoncr@andrews.edu</v>
          </cell>
          <cell r="C17" t="str">
            <v>000093682</v>
          </cell>
        </row>
        <row r="18">
          <cell r="A18" t="str">
            <v>Rosario, Antonio M.</v>
          </cell>
          <cell r="B18" t="str">
            <v>arosario@andrews.edu</v>
          </cell>
          <cell r="C18" t="str">
            <v>000074158</v>
          </cell>
        </row>
        <row r="19">
          <cell r="A19" t="str">
            <v>Steger, Walter E.</v>
          </cell>
          <cell r="B19" t="str">
            <v>steger@andrews.edu</v>
          </cell>
          <cell r="C19" t="str">
            <v>000064286</v>
          </cell>
        </row>
        <row r="20">
          <cell r="A20" t="str">
            <v>Toscano, Steven M.</v>
          </cell>
          <cell r="B20" t="str">
            <v>toscano@andrews.edu</v>
          </cell>
          <cell r="C20" t="str">
            <v>000138178</v>
          </cell>
        </row>
        <row r="21">
          <cell r="A21" t="str">
            <v>Allen, Shirley M.</v>
          </cell>
          <cell r="B21" t="str">
            <v>ashirley@andrews.edu</v>
          </cell>
          <cell r="C21" t="str">
            <v>000062024</v>
          </cell>
        </row>
        <row r="22">
          <cell r="A22" t="str">
            <v>Beagles, Kathleen A.</v>
          </cell>
          <cell r="B22" t="str">
            <v>beaglesk@andrews.edu</v>
          </cell>
          <cell r="C22" t="str">
            <v>000041794</v>
          </cell>
        </row>
        <row r="23">
          <cell r="A23" t="str">
            <v>Consuegra, Claudio J.</v>
          </cell>
          <cell r="B23" t="str">
            <v>consuegr@andrews.edu</v>
          </cell>
          <cell r="C23" t="str">
            <v>000041530</v>
          </cell>
        </row>
        <row r="24">
          <cell r="A24" t="str">
            <v>Davis, Desiree E.</v>
          </cell>
          <cell r="B24" t="str">
            <v>desireed@andrews.edu</v>
          </cell>
          <cell r="C24" t="str">
            <v>000111875</v>
          </cell>
        </row>
        <row r="25">
          <cell r="A25" t="str">
            <v>Duany, Efrain</v>
          </cell>
          <cell r="B25" t="str">
            <v>duany@andrews.edu</v>
          </cell>
          <cell r="C25" t="str">
            <v>000117365</v>
          </cell>
        </row>
        <row r="26">
          <cell r="A26" t="str">
            <v>Espinosa, Jose M.</v>
          </cell>
          <cell r="B26" t="str">
            <v>josee@andrews.edu</v>
          </cell>
          <cell r="C26" t="str">
            <v>000032088</v>
          </cell>
        </row>
        <row r="27">
          <cell r="A27" t="str">
            <v>Fraser, Jasmine J.</v>
          </cell>
          <cell r="B27" t="str">
            <v>fraserj@andrews.edu</v>
          </cell>
          <cell r="C27" t="str">
            <v>000129106</v>
          </cell>
        </row>
        <row r="28">
          <cell r="A28" t="str">
            <v>Freed, Kristina M.</v>
          </cell>
          <cell r="B28" t="str">
            <v>tyrrell@andrews.edu</v>
          </cell>
          <cell r="C28" t="str">
            <v>000067653</v>
          </cell>
        </row>
        <row r="29">
          <cell r="A29" t="str">
            <v>Gilles, Allens</v>
          </cell>
          <cell r="B29" t="str">
            <v>gilles@andrews.edu</v>
          </cell>
          <cell r="C29" t="str">
            <v>000129689</v>
          </cell>
        </row>
        <row r="30">
          <cell r="A30" t="str">
            <v>Hamilton, Lloyd M.</v>
          </cell>
          <cell r="B30" t="str">
            <v>hamiltol@andrews.edu</v>
          </cell>
          <cell r="C30" t="str">
            <v>000062449</v>
          </cell>
        </row>
        <row r="31">
          <cell r="A31" t="str">
            <v>Joseph, Ainsworth E.</v>
          </cell>
          <cell r="B31" t="str">
            <v>ainsworj@andrews.edu</v>
          </cell>
          <cell r="C31" t="str">
            <v>000079312</v>
          </cell>
        </row>
        <row r="32">
          <cell r="A32" t="str">
            <v>Martin, Benjamin L.</v>
          </cell>
          <cell r="B32" t="str">
            <v>benjaminm@andrews.edu</v>
          </cell>
          <cell r="C32" t="str">
            <v>000155484</v>
          </cell>
        </row>
        <row r="33">
          <cell r="A33" t="str">
            <v>Mayer, Jorge R.</v>
          </cell>
          <cell r="B33" t="str">
            <v>jorgem@andrews.edu</v>
          </cell>
          <cell r="C33" t="str">
            <v>000049082</v>
          </cell>
        </row>
        <row r="34">
          <cell r="A34" t="str">
            <v>Moore, Richard A.</v>
          </cell>
          <cell r="B34" t="str">
            <v>mooreri@andrews.edu</v>
          </cell>
          <cell r="C34" t="str">
            <v>000054389</v>
          </cell>
        </row>
        <row r="35">
          <cell r="A35" t="str">
            <v>Ramos, Israel</v>
          </cell>
          <cell r="B35" t="str">
            <v>ramosi@andrews.edu</v>
          </cell>
          <cell r="C35" t="str">
            <v>000111021</v>
          </cell>
        </row>
        <row r="36">
          <cell r="A36" t="str">
            <v>Reddy, Ashley C.</v>
          </cell>
          <cell r="B36" t="str">
            <v>reddy@andrews.edu</v>
          </cell>
          <cell r="C36" t="str">
            <v>000159825</v>
          </cell>
        </row>
        <row r="37">
          <cell r="A37" t="str">
            <v>Reinert, Katia G.</v>
          </cell>
          <cell r="B37" t="str">
            <v>reinert@andrews.edu</v>
          </cell>
          <cell r="C37" t="str">
            <v>000195832</v>
          </cell>
        </row>
        <row r="38">
          <cell r="A38" t="str">
            <v>Sedlacek, David</v>
          </cell>
          <cell r="B38" t="str">
            <v>sedlacek@andrews.edu</v>
          </cell>
          <cell r="C38" t="str">
            <v>000142355</v>
          </cell>
        </row>
        <row r="39">
          <cell r="A39" t="str">
            <v>Ward, Scott R.</v>
          </cell>
          <cell r="B39" t="str">
            <v>sward@andrews.edu</v>
          </cell>
          <cell r="C39" t="str">
            <v>000077973</v>
          </cell>
        </row>
        <row r="40">
          <cell r="A40" t="str">
            <v>Fernandez-Gibbs, Jharony E.</v>
          </cell>
          <cell r="B40" t="str">
            <v>jharony@andrews.edu</v>
          </cell>
          <cell r="C40" t="str">
            <v>000140039</v>
          </cell>
        </row>
        <row r="41">
          <cell r="A41" t="str">
            <v>Peguero Colon, Samuel</v>
          </cell>
          <cell r="B41" t="str">
            <v>pegueroc@andrews.edu</v>
          </cell>
          <cell r="C41" t="str">
            <v>000130089</v>
          </cell>
        </row>
        <row r="42">
          <cell r="A42" t="str">
            <v>Fox, Curtis A.</v>
          </cell>
          <cell r="B42" t="str">
            <v>curtisf@andrews.edu</v>
          </cell>
          <cell r="C42" t="str">
            <v>000062042</v>
          </cell>
        </row>
        <row r="43">
          <cell r="A43" t="str">
            <v>Lopez, Elim J.</v>
          </cell>
          <cell r="B43" t="str">
            <v>elim@andrews.edu</v>
          </cell>
          <cell r="C43" t="str">
            <v>000132146</v>
          </cell>
        </row>
        <row r="44">
          <cell r="A44" t="str">
            <v>Maxson, Benjamin C.</v>
          </cell>
          <cell r="B44" t="str">
            <v>maxson@andrews.edu</v>
          </cell>
          <cell r="C44" t="str">
            <v>000025977</v>
          </cell>
        </row>
        <row r="45">
          <cell r="A45" t="str">
            <v>Oliver, Wilbert H.</v>
          </cell>
          <cell r="B45" t="str">
            <v>wilberto@andrews.edu</v>
          </cell>
          <cell r="C45" t="str">
            <v>000034125</v>
          </cell>
        </row>
        <row r="46">
          <cell r="A46" t="str">
            <v>Olivo, Dionisio</v>
          </cell>
          <cell r="B46" t="str">
            <v>olivo@andrews.edu</v>
          </cell>
          <cell r="C46" t="str">
            <v>000046389</v>
          </cell>
        </row>
        <row r="47">
          <cell r="A47" t="str">
            <v>Swanson, H Peter</v>
          </cell>
          <cell r="B47" t="str">
            <v>swansonp@andrews.edu</v>
          </cell>
          <cell r="C47" t="str">
            <v>000031571</v>
          </cell>
        </row>
        <row r="48">
          <cell r="A48" t="str">
            <v>Walshe, Allan R.</v>
          </cell>
          <cell r="B48" t="str">
            <v>walshe@andrews.edu</v>
          </cell>
          <cell r="C48" t="str">
            <v>000136308</v>
          </cell>
        </row>
        <row r="49">
          <cell r="A49" t="str">
            <v>Aguiar, Adenilton T.</v>
          </cell>
          <cell r="B49" t="str">
            <v>adenilton@andrews.edu</v>
          </cell>
          <cell r="C49" t="str">
            <v>000160279</v>
          </cell>
        </row>
        <row r="50">
          <cell r="A50" t="str">
            <v>Agustin, Alfredo G.</v>
          </cell>
          <cell r="B50" t="str">
            <v>agustina@andrews.edu</v>
          </cell>
          <cell r="C50" t="str">
            <v>000240618</v>
          </cell>
        </row>
        <row r="51">
          <cell r="A51" t="str">
            <v>Badenas, Roberto D.</v>
          </cell>
          <cell r="B51" t="str">
            <v>badenasr@andrews.edu</v>
          </cell>
          <cell r="C51" t="str">
            <v>000035367</v>
          </cell>
        </row>
        <row r="52">
          <cell r="A52" t="str">
            <v>Borda, Guilherme L.</v>
          </cell>
          <cell r="B52" t="str">
            <v>borda@andrews.edu</v>
          </cell>
          <cell r="C52" t="str">
            <v>000150924</v>
          </cell>
        </row>
        <row r="53">
          <cell r="A53" t="str">
            <v>Choi, Phuichun R.</v>
          </cell>
          <cell r="B53" t="str">
            <v>choir@andrews.edu</v>
          </cell>
          <cell r="C53" t="str">
            <v>000036676</v>
          </cell>
        </row>
        <row r="54">
          <cell r="A54" t="str">
            <v>Cortez, Felix H.</v>
          </cell>
          <cell r="B54" t="str">
            <v>fcortez@andrews.edu</v>
          </cell>
          <cell r="C54" t="str">
            <v>000110700</v>
          </cell>
        </row>
        <row r="55">
          <cell r="A55" t="str">
            <v>Ferreira, Jonatas L.</v>
          </cell>
          <cell r="B55" t="str">
            <v>jonatas@andrews.edu</v>
          </cell>
          <cell r="C55" t="str">
            <v>000159708</v>
          </cell>
        </row>
        <row r="56">
          <cell r="A56" t="str">
            <v>Festa, Sergio R.</v>
          </cell>
          <cell r="B56" t="str">
            <v>festa@andrews.edu</v>
          </cell>
          <cell r="C56" t="str">
            <v>000159784</v>
          </cell>
        </row>
        <row r="57">
          <cell r="A57" t="str">
            <v>Gallos, Erhard H.</v>
          </cell>
          <cell r="B57" t="str">
            <v>gallos@andrews.edu</v>
          </cell>
          <cell r="C57" t="str">
            <v>000068119</v>
          </cell>
        </row>
        <row r="58">
          <cell r="A58" t="str">
            <v>Gallusz, Laszlo</v>
          </cell>
          <cell r="B58" t="str">
            <v>gallusz@andrews.edu</v>
          </cell>
          <cell r="C58" t="str">
            <v>000203949</v>
          </cell>
        </row>
        <row r="59">
          <cell r="A59" t="str">
            <v>Grzeskowiak, Adam</v>
          </cell>
          <cell r="B59" t="str">
            <v>grzeskowiak@andrews.edu</v>
          </cell>
          <cell r="C59" t="str">
            <v>000204006</v>
          </cell>
        </row>
        <row r="60">
          <cell r="A60" t="str">
            <v>Hernandez, Angel M.</v>
          </cell>
          <cell r="B60" t="str">
            <v>ahernandez@andrews.edu</v>
          </cell>
          <cell r="C60" t="str">
            <v>000025476</v>
          </cell>
        </row>
        <row r="61">
          <cell r="A61" t="str">
            <v>Huss, Rajan P.</v>
          </cell>
          <cell r="B61" t="str">
            <v>huss@andrews.edu</v>
          </cell>
          <cell r="C61" t="str">
            <v>000141225</v>
          </cell>
        </row>
        <row r="62">
          <cell r="A62" t="str">
            <v>Johnston, Robert M.</v>
          </cell>
          <cell r="B62" t="str">
            <v>bobjohn@andrews.edu</v>
          </cell>
          <cell r="C62" t="str">
            <v>000003908</v>
          </cell>
        </row>
        <row r="63">
          <cell r="A63" t="str">
            <v>Kondrat, Stanislav</v>
          </cell>
          <cell r="B63" t="str">
            <v>kondrat@andrews.edu</v>
          </cell>
          <cell r="C63" t="str">
            <v>000119532</v>
          </cell>
        </row>
        <row r="64">
          <cell r="A64" t="str">
            <v>Kostyuk, Oleg</v>
          </cell>
          <cell r="B64" t="str">
            <v>kostyuk@andrews.edu</v>
          </cell>
          <cell r="C64" t="str">
            <v>000159768</v>
          </cell>
        </row>
        <row r="65">
          <cell r="A65" t="str">
            <v>Kuryliak, Bohdan</v>
          </cell>
          <cell r="B65" t="str">
            <v>bkuryliak@andrews.edu</v>
          </cell>
          <cell r="C65" t="str">
            <v>000200888</v>
          </cell>
        </row>
        <row r="66">
          <cell r="A66" t="str">
            <v>Kwon, Timothy B.</v>
          </cell>
          <cell r="B66" t="str">
            <v>beett@andrews.edu</v>
          </cell>
          <cell r="C66" t="str">
            <v>000146533</v>
          </cell>
        </row>
        <row r="67">
          <cell r="A67" t="str">
            <v>Lichtenwalter, Larry L.</v>
          </cell>
          <cell r="B67" t="str">
            <v>lichtenw@andrews.edu</v>
          </cell>
          <cell r="C67" t="str">
            <v>000024733</v>
          </cell>
        </row>
        <row r="68">
          <cell r="A68" t="str">
            <v>Moral Hernandez, Manuel A.</v>
          </cell>
          <cell r="B68" t="str">
            <v>moral@andrews.edu</v>
          </cell>
          <cell r="C68" t="str">
            <v>000105885</v>
          </cell>
        </row>
        <row r="69">
          <cell r="A69" t="str">
            <v>Mot, Laurentiu F.</v>
          </cell>
          <cell r="B69" t="str">
            <v>laurentiu@andrews.edu</v>
          </cell>
          <cell r="C69" t="str">
            <v>000115113</v>
          </cell>
        </row>
        <row r="70">
          <cell r="A70" t="str">
            <v>Munoz, Jose Y.</v>
          </cell>
          <cell r="B70" t="str">
            <v>munozj@andrews.edu</v>
          </cell>
          <cell r="C70" t="str">
            <v>000073761</v>
          </cell>
        </row>
        <row r="71">
          <cell r="A71" t="str">
            <v>Munoz, Ruben A.</v>
          </cell>
          <cell r="B71" t="str">
            <v>rmunoz@andrews.edu</v>
          </cell>
          <cell r="C71" t="str">
            <v>000064060</v>
          </cell>
        </row>
        <row r="72">
          <cell r="A72" t="str">
            <v>Nunes, Leonardo G.</v>
          </cell>
          <cell r="B72" t="str">
            <v>nunesl@andrews.edu</v>
          </cell>
          <cell r="C72" t="str">
            <v>000138706</v>
          </cell>
        </row>
        <row r="73">
          <cell r="A73" t="str">
            <v>Papaioannou, Kim G.</v>
          </cell>
          <cell r="B73" t="str">
            <v>papaioannou@andrews.edu</v>
          </cell>
          <cell r="C73" t="str">
            <v>000050429</v>
          </cell>
        </row>
        <row r="74">
          <cell r="A74" t="str">
            <v>Phillip, Mario N.</v>
          </cell>
          <cell r="B74" t="str">
            <v>mariop@andrews.edu</v>
          </cell>
          <cell r="C74" t="str">
            <v>000108446</v>
          </cell>
        </row>
        <row r="75">
          <cell r="A75" t="str">
            <v>Reeve, Teresa L.</v>
          </cell>
          <cell r="B75" t="str">
            <v>tlreeve@andrews.edu</v>
          </cell>
          <cell r="C75" t="str">
            <v>000050236</v>
          </cell>
        </row>
        <row r="76">
          <cell r="A76" t="str">
            <v>Richards, W Larry</v>
          </cell>
          <cell r="C76" t="str">
            <v>000008252</v>
          </cell>
        </row>
        <row r="77">
          <cell r="A77" t="str">
            <v>Stefanovic, Ranko</v>
          </cell>
          <cell r="B77" t="str">
            <v>ranko@andrews.edu</v>
          </cell>
          <cell r="C77" t="str">
            <v>000057767</v>
          </cell>
        </row>
        <row r="78">
          <cell r="A78" t="str">
            <v>Vine, Cedric E.</v>
          </cell>
          <cell r="B78" t="str">
            <v>cvine@andrews.edu</v>
          </cell>
          <cell r="C78" t="str">
            <v>000093509</v>
          </cell>
        </row>
        <row r="79">
          <cell r="A79" t="str">
            <v>Baez Garcia, Enrique</v>
          </cell>
          <cell r="B79" t="str">
            <v>baezgarc@andrews.edu</v>
          </cell>
          <cell r="C79" t="str">
            <v>000118530</v>
          </cell>
        </row>
        <row r="80">
          <cell r="A80" t="str">
            <v>Baker, Leslie S.</v>
          </cell>
          <cell r="B80" t="str">
            <v>lsbakerjr@andrews.edu</v>
          </cell>
          <cell r="C80" t="str">
            <v>000067622</v>
          </cell>
        </row>
        <row r="81">
          <cell r="A81" t="str">
            <v>Bates, Robert D.</v>
          </cell>
          <cell r="B81" t="str">
            <v>bates@andrews.edu</v>
          </cell>
          <cell r="C81" t="str">
            <v>000095796</v>
          </cell>
        </row>
        <row r="82">
          <cell r="A82" t="str">
            <v>Beaulieu, Stephane A.</v>
          </cell>
          <cell r="B82" t="str">
            <v>beaulies@andrews.edu</v>
          </cell>
          <cell r="C82" t="str">
            <v>000132272</v>
          </cell>
        </row>
        <row r="83">
          <cell r="A83" t="str">
            <v>Bediako, Daniel K.</v>
          </cell>
          <cell r="C83" t="str">
            <v>000246964</v>
          </cell>
        </row>
        <row r="84">
          <cell r="A84" t="str">
            <v>Breja, Alexandru</v>
          </cell>
          <cell r="B84" t="str">
            <v>brejaal@andrews.edu</v>
          </cell>
          <cell r="C84" t="str">
            <v>000068116</v>
          </cell>
        </row>
        <row r="85">
          <cell r="A85" t="str">
            <v>Broy, Trisha E.</v>
          </cell>
          <cell r="B85" t="str">
            <v>trisha@andrews.edu</v>
          </cell>
          <cell r="C85" t="str">
            <v>000088405</v>
          </cell>
        </row>
        <row r="86">
          <cell r="A86" t="str">
            <v>Doukhan, Jacques B.</v>
          </cell>
          <cell r="B86" t="str">
            <v>doukhanj@andrews.edu</v>
          </cell>
          <cell r="C86" t="str">
            <v>000027289</v>
          </cell>
        </row>
        <row r="87">
          <cell r="A87" t="str">
            <v>Emswiler, Elizabeth</v>
          </cell>
          <cell r="B87" t="str">
            <v>emswiler@andrews.edu</v>
          </cell>
          <cell r="C87" t="str">
            <v>000205980</v>
          </cell>
        </row>
        <row r="88">
          <cell r="A88" t="str">
            <v>Gane, Constance E.</v>
          </cell>
          <cell r="B88" t="str">
            <v>cgane@andrews.edu</v>
          </cell>
          <cell r="C88" t="str">
            <v>000074605</v>
          </cell>
        </row>
        <row r="89">
          <cell r="A89" t="str">
            <v>Glanz, Oliver</v>
          </cell>
          <cell r="B89" t="str">
            <v>glanz@andrews.edu</v>
          </cell>
          <cell r="C89" t="str">
            <v>000162826</v>
          </cell>
        </row>
        <row r="90">
          <cell r="A90" t="str">
            <v>Gordan, Daniel M.</v>
          </cell>
          <cell r="B90" t="str">
            <v>danielgordan@andrews.edu</v>
          </cell>
          <cell r="C90" t="str">
            <v>000155573</v>
          </cell>
        </row>
        <row r="91">
          <cell r="A91" t="str">
            <v>Gregor, Paul Z.</v>
          </cell>
          <cell r="B91" t="str">
            <v>pgregor@andrews.edu</v>
          </cell>
          <cell r="C91" t="str">
            <v>000052867</v>
          </cell>
        </row>
        <row r="92">
          <cell r="A92" t="str">
            <v>Groda, Johnny</v>
          </cell>
          <cell r="B92" t="str">
            <v>johnny@andrews.edu</v>
          </cell>
          <cell r="C92" t="str">
            <v>000102157</v>
          </cell>
        </row>
        <row r="93">
          <cell r="A93" t="str">
            <v>Hudon, Jeffrey P.</v>
          </cell>
          <cell r="B93" t="str">
            <v>hudon@andrews.edu</v>
          </cell>
          <cell r="C93" t="str">
            <v>000133678</v>
          </cell>
        </row>
        <row r="94">
          <cell r="A94" t="str">
            <v>Ionescu, Laurentiu Gabriel</v>
          </cell>
          <cell r="B94" t="str">
            <v>laurentiuga@andrews.edu</v>
          </cell>
          <cell r="C94" t="str">
            <v>000190055</v>
          </cell>
        </row>
        <row r="95">
          <cell r="A95" t="str">
            <v>Jankovic, Slavisa</v>
          </cell>
          <cell r="B95" t="str">
            <v>jankovic@andrews.edu</v>
          </cell>
          <cell r="C95" t="str">
            <v>000138176</v>
          </cell>
        </row>
        <row r="96">
          <cell r="A96" t="str">
            <v>McGuire-Moushon, Joni A.</v>
          </cell>
          <cell r="B96" t="str">
            <v>mcguirej@andrews.edu</v>
          </cell>
          <cell r="C96" t="str">
            <v>000118224</v>
          </cell>
        </row>
        <row r="97">
          <cell r="A97" t="str">
            <v>Moody, Jacob A.</v>
          </cell>
          <cell r="B97" t="str">
            <v>moody@andrews.edu</v>
          </cell>
          <cell r="C97" t="str">
            <v>000141338</v>
          </cell>
        </row>
        <row r="98">
          <cell r="A98" t="str">
            <v>Morrow, Laura K.</v>
          </cell>
          <cell r="B98" t="str">
            <v>morrowl@andrews.edu</v>
          </cell>
          <cell r="C98" t="str">
            <v>000112615</v>
          </cell>
        </row>
        <row r="99">
          <cell r="A99" t="str">
            <v>Nam, Daegeuk</v>
          </cell>
          <cell r="C99" t="str">
            <v>000032749</v>
          </cell>
        </row>
        <row r="100">
          <cell r="A100" t="str">
            <v>Ngo, Kim Chai</v>
          </cell>
          <cell r="B100" t="str">
            <v>kimchai@andrews.edu</v>
          </cell>
          <cell r="C100" t="str">
            <v>000212413</v>
          </cell>
        </row>
        <row r="101">
          <cell r="A101" t="str">
            <v>Olariu, Daniel</v>
          </cell>
          <cell r="B101" t="str">
            <v>olariu@andrews.edu</v>
          </cell>
          <cell r="C101" t="str">
            <v>000163538</v>
          </cell>
        </row>
        <row r="102">
          <cell r="A102" t="str">
            <v>Prestes Neto, Flavio</v>
          </cell>
          <cell r="B102" t="str">
            <v>neto@andrews.edu</v>
          </cell>
          <cell r="C102" t="str">
            <v>000136415</v>
          </cell>
        </row>
        <row r="103">
          <cell r="A103" t="str">
            <v>Rivas Santini, Abelardo J.</v>
          </cell>
          <cell r="B103" t="str">
            <v>abelardo@andrews.edu</v>
          </cell>
          <cell r="C103" t="str">
            <v>000133197</v>
          </cell>
        </row>
        <row r="104">
          <cell r="A104" t="str">
            <v>Rojas, Ronald</v>
          </cell>
          <cell r="B104" t="str">
            <v>rojasr@andrews.edu</v>
          </cell>
          <cell r="C104" t="str">
            <v>000124643</v>
          </cell>
        </row>
        <row r="105">
          <cell r="A105" t="str">
            <v>Ruiz Araica, Roger D.</v>
          </cell>
          <cell r="B105" t="str">
            <v>ruizr@andrews.edu</v>
          </cell>
          <cell r="C105" t="str">
            <v>000148578</v>
          </cell>
        </row>
        <row r="106">
          <cell r="A106" t="str">
            <v>Skinner, Jerome L.</v>
          </cell>
          <cell r="B106" t="str">
            <v>skinnerj@andrews.edu</v>
          </cell>
          <cell r="C106" t="str">
            <v>000117063</v>
          </cell>
        </row>
        <row r="107">
          <cell r="A107" t="str">
            <v>Sung, Sion</v>
          </cell>
          <cell r="B107" t="str">
            <v>sion@andrews.edu</v>
          </cell>
          <cell r="C107" t="str">
            <v>000117882</v>
          </cell>
        </row>
        <row r="108">
          <cell r="A108" t="str">
            <v>Tollerton, Evelyn Y.</v>
          </cell>
          <cell r="B108" t="str">
            <v>tollerto@andrews.edu</v>
          </cell>
          <cell r="C108" t="str">
            <v>000117327</v>
          </cell>
        </row>
        <row r="109">
          <cell r="A109" t="str">
            <v>Wiens, Roman</v>
          </cell>
          <cell r="B109" t="str">
            <v>wiens@andrews.edu</v>
          </cell>
          <cell r="C109" t="str">
            <v>000160271</v>
          </cell>
        </row>
        <row r="110">
          <cell r="A110" t="str">
            <v>Arias-Quintero, Jose A.</v>
          </cell>
          <cell r="B110" t="str">
            <v>ariasqui@andrews.edu</v>
          </cell>
          <cell r="C110" t="str">
            <v>000099625</v>
          </cell>
        </row>
        <row r="111">
          <cell r="A111" t="str">
            <v>Bell, Ora M.</v>
          </cell>
          <cell r="B111" t="str">
            <v>sjbell@andrews.edu</v>
          </cell>
          <cell r="C111" t="str">
            <v>000015518</v>
          </cell>
        </row>
        <row r="112">
          <cell r="A112" t="str">
            <v>Braun, Erlo</v>
          </cell>
          <cell r="B112" t="str">
            <v>erlo@andrews.edu</v>
          </cell>
          <cell r="C112" t="str">
            <v>000137172</v>
          </cell>
        </row>
        <row r="113">
          <cell r="A113" t="str">
            <v>Bullon, Alejandro</v>
          </cell>
          <cell r="B113" t="str">
            <v>alejandrob@andrews.edu</v>
          </cell>
          <cell r="C113" t="str">
            <v>000181820</v>
          </cell>
        </row>
        <row r="114">
          <cell r="A114" t="str">
            <v>Canals, Ramon J.</v>
          </cell>
          <cell r="B114" t="str">
            <v>canals@andrews.edu</v>
          </cell>
          <cell r="C114" t="str">
            <v>000051912</v>
          </cell>
        </row>
        <row r="115">
          <cell r="A115" t="str">
            <v>Cauley, Michael F.</v>
          </cell>
          <cell r="B115" t="str">
            <v>cauleym@andrews.edu</v>
          </cell>
          <cell r="C115" t="str">
            <v>000025417</v>
          </cell>
        </row>
        <row r="116">
          <cell r="A116" t="str">
            <v>Cauley, Michael R.</v>
          </cell>
          <cell r="B116" t="str">
            <v>cauley@andrews.edu</v>
          </cell>
          <cell r="C116" t="str">
            <v>000107141</v>
          </cell>
        </row>
        <row r="117">
          <cell r="A117" t="str">
            <v>Ceballos, Mario E.</v>
          </cell>
          <cell r="B117" t="str">
            <v>ceballom@andrews.edu</v>
          </cell>
          <cell r="C117" t="str">
            <v>000039066</v>
          </cell>
        </row>
        <row r="118">
          <cell r="A118" t="str">
            <v>Choque Fernandez, Juan</v>
          </cell>
          <cell r="B118" t="str">
            <v>choque@andrews.edu</v>
          </cell>
          <cell r="C118" t="str">
            <v>000127674</v>
          </cell>
        </row>
        <row r="119">
          <cell r="A119" t="str">
            <v>Evans, Tommy L.</v>
          </cell>
          <cell r="B119" t="str">
            <v>tevans@andrews.edu</v>
          </cell>
          <cell r="C119" t="str">
            <v>000063105</v>
          </cell>
        </row>
        <row r="120">
          <cell r="A120" t="str">
            <v>Li, Angela H.</v>
          </cell>
          <cell r="B120" t="str">
            <v>angelal@andrews.edu</v>
          </cell>
          <cell r="C120" t="str">
            <v>000225367</v>
          </cell>
        </row>
        <row r="121">
          <cell r="A121" t="str">
            <v>Liang, Onn</v>
          </cell>
          <cell r="B121" t="str">
            <v>lianga@andrews.edu</v>
          </cell>
          <cell r="C121" t="str">
            <v>000035691</v>
          </cell>
        </row>
        <row r="122">
          <cell r="A122" t="str">
            <v>Oudri, Gerardo</v>
          </cell>
          <cell r="B122" t="str">
            <v>oudri@andrews.edu</v>
          </cell>
          <cell r="C122" t="str">
            <v>000077975</v>
          </cell>
        </row>
        <row r="123">
          <cell r="A123" t="str">
            <v>Patterson, Stanley E.</v>
          </cell>
          <cell r="B123" t="str">
            <v>patterss@andrews.edu</v>
          </cell>
          <cell r="C123" t="str">
            <v>000030103</v>
          </cell>
        </row>
        <row r="124">
          <cell r="A124" t="str">
            <v>Penno, David K.</v>
          </cell>
          <cell r="B124" t="str">
            <v>penno@andrews.edu</v>
          </cell>
          <cell r="C124" t="str">
            <v>000041639</v>
          </cell>
        </row>
        <row r="125">
          <cell r="A125" t="str">
            <v>Ramirez, Johnny</v>
          </cell>
          <cell r="B125" t="str">
            <v>johnnyr@andrews.edu</v>
          </cell>
          <cell r="C125" t="str">
            <v>000030856</v>
          </cell>
        </row>
        <row r="126">
          <cell r="A126" t="str">
            <v>Rico, Jorge E.</v>
          </cell>
          <cell r="B126" t="str">
            <v>rico@andrews.edu</v>
          </cell>
          <cell r="C126" t="str">
            <v>000051411</v>
          </cell>
        </row>
        <row r="127">
          <cell r="A127" t="str">
            <v>Saravia, Yohalmo A.</v>
          </cell>
          <cell r="B127" t="str">
            <v>saravia@andrews.edu</v>
          </cell>
          <cell r="C127" t="str">
            <v>000046397</v>
          </cell>
        </row>
        <row r="128">
          <cell r="A128" t="str">
            <v>Schmidt, Eduard E.</v>
          </cell>
          <cell r="B128" t="str">
            <v>eschmidt@andrews.edu</v>
          </cell>
          <cell r="C128" t="str">
            <v>000041813</v>
          </cell>
        </row>
        <row r="129">
          <cell r="A129" t="str">
            <v>Sorajjakool, Siroj</v>
          </cell>
          <cell r="B129" t="str">
            <v>siroj@andrews.edu</v>
          </cell>
          <cell r="C129" t="str">
            <v>000050631</v>
          </cell>
        </row>
        <row r="130">
          <cell r="A130" t="str">
            <v>Wagener Smith, Anthony</v>
          </cell>
          <cell r="B130" t="str">
            <v>wagenersmith@andrews.edu</v>
          </cell>
          <cell r="C130" t="str">
            <v>000118859</v>
          </cell>
        </row>
        <row r="131">
          <cell r="A131" t="str">
            <v>Williams, Hyveth M.</v>
          </cell>
          <cell r="B131" t="str">
            <v>hyveth@andrews.edu</v>
          </cell>
          <cell r="C131" t="str">
            <v>000049271</v>
          </cell>
        </row>
        <row r="132">
          <cell r="A132" t="str">
            <v>Anderson, Paul S.</v>
          </cell>
          <cell r="B132" t="str">
            <v>panderson@andrews.edu</v>
          </cell>
          <cell r="C132" t="str">
            <v>000048877</v>
          </cell>
        </row>
        <row r="133">
          <cell r="A133" t="str">
            <v>Barcelo, Saul</v>
          </cell>
          <cell r="C133" t="str">
            <v>000233478</v>
          </cell>
        </row>
        <row r="134">
          <cell r="A134" t="str">
            <v>Coralie, Alain G.</v>
          </cell>
          <cell r="B134" t="str">
            <v>coralie@andrews.edu</v>
          </cell>
          <cell r="C134" t="str">
            <v>000076162</v>
          </cell>
        </row>
        <row r="135">
          <cell r="A135" t="str">
            <v>Crews, Heather L.</v>
          </cell>
          <cell r="B135" t="str">
            <v>crewsh@andrews.edu</v>
          </cell>
          <cell r="C135" t="str">
            <v>000052089</v>
          </cell>
        </row>
        <row r="136">
          <cell r="A136" t="str">
            <v>Ferreira, Sandy Y.</v>
          </cell>
          <cell r="B136" t="str">
            <v>ferreirajim@andrews.edu</v>
          </cell>
          <cell r="C136" t="str">
            <v>000155280</v>
          </cell>
        </row>
        <row r="137">
          <cell r="A137" t="str">
            <v>Galeniece, Anna</v>
          </cell>
          <cell r="B137" t="str">
            <v>galeniec@andrews.edu</v>
          </cell>
          <cell r="C137" t="str">
            <v>000078997</v>
          </cell>
        </row>
        <row r="138">
          <cell r="A138" t="str">
            <v>Grant, Vaughan K.</v>
          </cell>
          <cell r="B138" t="str">
            <v>vaughang@andrews.edu</v>
          </cell>
          <cell r="C138" t="str">
            <v>000054097</v>
          </cell>
        </row>
        <row r="139">
          <cell r="A139" t="str">
            <v>Grys, John W.</v>
          </cell>
          <cell r="B139" t="str">
            <v>jgrys@andrews.edu</v>
          </cell>
          <cell r="C139" t="str">
            <v>000038918</v>
          </cell>
        </row>
        <row r="140">
          <cell r="A140" t="str">
            <v>Jaeger, Victor A.</v>
          </cell>
          <cell r="B140" t="str">
            <v>jaeger@andrews.edu</v>
          </cell>
          <cell r="C140" t="str">
            <v>000115524</v>
          </cell>
        </row>
        <row r="141">
          <cell r="A141" t="str">
            <v>Kissinger, Evelyn G.</v>
          </cell>
          <cell r="B141" t="str">
            <v>evelynk@andrews.edu</v>
          </cell>
          <cell r="C141" t="str">
            <v>000031535</v>
          </cell>
        </row>
        <row r="142">
          <cell r="A142" t="str">
            <v>Ledesma, Janet</v>
          </cell>
          <cell r="B142" t="str">
            <v>jledesma@andrews.edu</v>
          </cell>
          <cell r="C142" t="str">
            <v>000043873</v>
          </cell>
        </row>
        <row r="143">
          <cell r="A143" t="str">
            <v>Lewis, Michael L.</v>
          </cell>
          <cell r="B143" t="str">
            <v>lewismi@andrews.edu</v>
          </cell>
          <cell r="C143" t="str">
            <v>000096645</v>
          </cell>
        </row>
        <row r="144">
          <cell r="A144" t="str">
            <v>Madding, Timothy E.</v>
          </cell>
          <cell r="B144" t="str">
            <v>madding@andrews.edu</v>
          </cell>
          <cell r="C144" t="str">
            <v>000069917</v>
          </cell>
        </row>
        <row r="145">
          <cell r="A145" t="str">
            <v>Martin, Allan D.</v>
          </cell>
          <cell r="C145" t="str">
            <v>000090518</v>
          </cell>
        </row>
        <row r="146">
          <cell r="A146" t="str">
            <v>McLean, Errol N.</v>
          </cell>
          <cell r="B146" t="str">
            <v>mcleane@andrews.edu</v>
          </cell>
          <cell r="C146" t="str">
            <v>000049564</v>
          </cell>
        </row>
        <row r="147">
          <cell r="A147" t="str">
            <v>Ming, Marilyn D.</v>
          </cell>
          <cell r="B147" t="str">
            <v>ming@andrews.edu</v>
          </cell>
          <cell r="C147" t="str">
            <v>000126678</v>
          </cell>
        </row>
        <row r="148">
          <cell r="A148" t="str">
            <v>Morales, Xavier</v>
          </cell>
          <cell r="B148" t="str">
            <v>moralesx@andrews.edu</v>
          </cell>
          <cell r="C148" t="str">
            <v>000139876</v>
          </cell>
        </row>
        <row r="149">
          <cell r="A149" t="str">
            <v>Ramos Escobar, Walter</v>
          </cell>
          <cell r="B149" t="str">
            <v>ramosescoba@andrews.edu</v>
          </cell>
          <cell r="C149" t="str">
            <v>000155460</v>
          </cell>
        </row>
        <row r="150">
          <cell r="A150" t="str">
            <v>Rojas, Hugo E.</v>
          </cell>
          <cell r="B150" t="str">
            <v>elir@andrews.edu</v>
          </cell>
          <cell r="C150" t="str">
            <v>000095431</v>
          </cell>
        </row>
        <row r="151">
          <cell r="A151" t="str">
            <v>Taiwo, Moses O.</v>
          </cell>
          <cell r="B151" t="str">
            <v>taiwo@andrews.edu</v>
          </cell>
          <cell r="C151" t="str">
            <v>000051532</v>
          </cell>
        </row>
        <row r="152">
          <cell r="A152" t="str">
            <v>Thordarson, Throstur B.</v>
          </cell>
          <cell r="B152" t="str">
            <v>throstur@andrews.edu</v>
          </cell>
          <cell r="C152" t="str">
            <v>000028045</v>
          </cell>
        </row>
        <row r="153">
          <cell r="A153" t="str">
            <v>Trecartin, Shannon M.</v>
          </cell>
          <cell r="B153" t="str">
            <v>trecarts@andrews.edu</v>
          </cell>
          <cell r="C153" t="str">
            <v>000133204</v>
          </cell>
        </row>
        <row r="154">
          <cell r="A154" t="str">
            <v>Tsui, Terry M.</v>
          </cell>
          <cell r="B154" t="str">
            <v>tsui@andrews.edu</v>
          </cell>
          <cell r="C154" t="str">
            <v>000120498</v>
          </cell>
        </row>
        <row r="155">
          <cell r="A155" t="str">
            <v>Vatel, Marie S.</v>
          </cell>
          <cell r="B155" t="str">
            <v>vatelm@andrews.edu</v>
          </cell>
          <cell r="C155" t="str">
            <v>000074539</v>
          </cell>
        </row>
        <row r="156">
          <cell r="A156" t="str">
            <v>Wellington, Rohann D.</v>
          </cell>
          <cell r="B156" t="str">
            <v>rohann@andrews.edu</v>
          </cell>
          <cell r="C156" t="str">
            <v>000110327</v>
          </cell>
        </row>
        <row r="157">
          <cell r="A157" t="str">
            <v>Wood, H Stanley</v>
          </cell>
          <cell r="B157" t="str">
            <v>woodh@andrews.edu</v>
          </cell>
          <cell r="C157" t="str">
            <v>000241606</v>
          </cell>
        </row>
        <row r="158">
          <cell r="A158" t="str">
            <v>Young, Dustin R.</v>
          </cell>
          <cell r="B158" t="str">
            <v>dustiny@andrews.edu</v>
          </cell>
          <cell r="C158" t="str">
            <v>000234751</v>
          </cell>
        </row>
        <row r="159">
          <cell r="A159" t="str">
            <v>Alexe, Cristina A.</v>
          </cell>
          <cell r="B159" t="str">
            <v>alexe@andrews.edu</v>
          </cell>
          <cell r="C159" t="str">
            <v>000134154</v>
          </cell>
        </row>
        <row r="160">
          <cell r="A160" t="str">
            <v>Andvik, Lidvar</v>
          </cell>
          <cell r="B160" t="str">
            <v>lidvar@andrews.edu</v>
          </cell>
          <cell r="C160" t="str">
            <v>000148465</v>
          </cell>
        </row>
        <row r="161">
          <cell r="A161" t="str">
            <v>Arena, Timothy J.</v>
          </cell>
          <cell r="B161" t="str">
            <v>arena@andrews.edu</v>
          </cell>
          <cell r="C161" t="str">
            <v>000148323</v>
          </cell>
        </row>
        <row r="162">
          <cell r="A162" t="str">
            <v>Baldwin, John T.</v>
          </cell>
          <cell r="B162" t="str">
            <v>baldwin@andrews.edu</v>
          </cell>
          <cell r="C162" t="str">
            <v>000001902</v>
          </cell>
        </row>
        <row r="163">
          <cell r="A163" t="str">
            <v>Bentancur, Ricardo</v>
          </cell>
          <cell r="B163" t="str">
            <v>bentancur@andrews.edu</v>
          </cell>
          <cell r="C163" t="str">
            <v>000193021</v>
          </cell>
        </row>
        <row r="164">
          <cell r="A164" t="str">
            <v>Canale, Fernando</v>
          </cell>
          <cell r="B164" t="str">
            <v>canale@andrews.edu</v>
          </cell>
          <cell r="C164" t="str">
            <v>000033285</v>
          </cell>
        </row>
        <row r="165">
          <cell r="A165" t="str">
            <v>Covrig, Duane M.</v>
          </cell>
          <cell r="B165" t="str">
            <v>covrig@andrews.edu</v>
          </cell>
          <cell r="C165" t="str">
            <v>000125642</v>
          </cell>
        </row>
        <row r="166">
          <cell r="A166" t="str">
            <v>Dei, Daniel</v>
          </cell>
          <cell r="B166" t="str">
            <v>dei@andrews.edu</v>
          </cell>
          <cell r="C166" t="str">
            <v>000214349</v>
          </cell>
        </row>
        <row r="167">
          <cell r="A167" t="str">
            <v>Drew, Arlyn S.</v>
          </cell>
          <cell r="B167" t="str">
            <v>drewa@andrews.edu</v>
          </cell>
          <cell r="C167" t="str">
            <v>000043384</v>
          </cell>
        </row>
        <row r="168">
          <cell r="A168" t="str">
            <v>Dupertuis, Atilio R.</v>
          </cell>
          <cell r="B168" t="str">
            <v>dupera@andrews.edu</v>
          </cell>
          <cell r="C168" t="str">
            <v>000001928</v>
          </cell>
        </row>
        <row r="169">
          <cell r="A169" t="str">
            <v>Duran Royo, Noemi</v>
          </cell>
          <cell r="B169" t="str">
            <v>duranroyo@andrews.edu</v>
          </cell>
          <cell r="C169" t="str">
            <v>000210558</v>
          </cell>
        </row>
        <row r="170">
          <cell r="A170" t="str">
            <v>Gibbs, Nathaniel</v>
          </cell>
          <cell r="B170" t="str">
            <v>gibbsn@andrews.edu</v>
          </cell>
          <cell r="C170" t="str">
            <v>000146529</v>
          </cell>
        </row>
        <row r="171">
          <cell r="A171" t="str">
            <v>Hanna, Martin F.</v>
          </cell>
          <cell r="B171" t="str">
            <v>mhanna@andrews.edu</v>
          </cell>
          <cell r="C171" t="str">
            <v>000057080</v>
          </cell>
        </row>
        <row r="172">
          <cell r="A172" t="str">
            <v>Jankiewicz, Darius W.</v>
          </cell>
          <cell r="B172" t="str">
            <v>darius@andrews.edu</v>
          </cell>
          <cell r="C172" t="str">
            <v>000069427</v>
          </cell>
        </row>
        <row r="173">
          <cell r="A173" t="str">
            <v>Kis, Miroslav M.</v>
          </cell>
          <cell r="C173" t="str">
            <v>000022704</v>
          </cell>
        </row>
        <row r="174">
          <cell r="A174" t="str">
            <v>Kormos, Erik</v>
          </cell>
          <cell r="B174" t="str">
            <v>kormos@andrews.edu</v>
          </cell>
          <cell r="C174" t="str">
            <v>000207932</v>
          </cell>
        </row>
        <row r="175">
          <cell r="A175" t="str">
            <v>Koval, Bohdan</v>
          </cell>
          <cell r="B175" t="str">
            <v>koval@andrews.edu</v>
          </cell>
          <cell r="C175" t="str">
            <v>000163303</v>
          </cell>
        </row>
        <row r="176">
          <cell r="A176" t="str">
            <v>Peckham, John C.</v>
          </cell>
          <cell r="B176" t="str">
            <v>jpeckham@andrews.edu</v>
          </cell>
          <cell r="C176" t="str">
            <v>000116996</v>
          </cell>
        </row>
        <row r="177">
          <cell r="A177" t="str">
            <v>Plantak, Zorislav</v>
          </cell>
          <cell r="B177" t="str">
            <v>zplantak@andrews.edu</v>
          </cell>
          <cell r="C177" t="str">
            <v>000104055</v>
          </cell>
        </row>
        <row r="178">
          <cell r="A178" t="str">
            <v>Razmerita, Gheorghe</v>
          </cell>
          <cell r="B178" t="str">
            <v>razmerita@andrews.edu</v>
          </cell>
          <cell r="C178" t="str">
            <v>000087063</v>
          </cell>
        </row>
        <row r="179">
          <cell r="A179" t="str">
            <v>Rodrigues, Adriani M.</v>
          </cell>
          <cell r="B179" t="str">
            <v>adriani@andrews.edu</v>
          </cell>
          <cell r="C179" t="str">
            <v>000145425</v>
          </cell>
        </row>
        <row r="180">
          <cell r="A180" t="str">
            <v>Sciarabba, Davide</v>
          </cell>
          <cell r="B180" t="str">
            <v>sciarabb@andrews.edu</v>
          </cell>
          <cell r="C180" t="str">
            <v>000138600</v>
          </cell>
        </row>
        <row r="181">
          <cell r="A181" t="str">
            <v>Szallos-Farkas, Zoltan</v>
          </cell>
          <cell r="B181" t="str">
            <v>zoltan@andrews.edu</v>
          </cell>
          <cell r="C181" t="str">
            <v>000067911</v>
          </cell>
        </row>
        <row r="182">
          <cell r="A182" t="str">
            <v>Terreros, Marco T.</v>
          </cell>
          <cell r="B182" t="str">
            <v>terreros@andrews.edu</v>
          </cell>
          <cell r="C182" t="str">
            <v>000054615</v>
          </cell>
        </row>
        <row r="183">
          <cell r="A183" t="str">
            <v>Tornalejo, Remwil R.</v>
          </cell>
          <cell r="B183" t="str">
            <v>tornalejo@andrews.edu</v>
          </cell>
          <cell r="C183" t="str">
            <v>000208503</v>
          </cell>
        </row>
        <row r="184">
          <cell r="A184" t="str">
            <v>Wetterlin, Cory D.</v>
          </cell>
          <cell r="B184" t="str">
            <v>wetterli@andrews.edu</v>
          </cell>
          <cell r="C184" t="str">
            <v>000095321</v>
          </cell>
        </row>
        <row r="185">
          <cell r="A185" t="str">
            <v>Zaitsev, Eugene V.</v>
          </cell>
          <cell r="B185" t="str">
            <v>eugenez@andrews.edu</v>
          </cell>
          <cell r="C185" t="str">
            <v>000065636</v>
          </cell>
        </row>
        <row r="186">
          <cell r="A186" t="str">
            <v>Bauer, Bruce L.</v>
          </cell>
          <cell r="B186" t="str">
            <v>bbauer@andrews.edu</v>
          </cell>
          <cell r="C186" t="str">
            <v>000003023</v>
          </cell>
        </row>
        <row r="187">
          <cell r="A187" t="str">
            <v>Cincala, Petr</v>
          </cell>
          <cell r="B187" t="str">
            <v>cincala@andrews.edu</v>
          </cell>
          <cell r="C187" t="str">
            <v>000074406</v>
          </cell>
        </row>
        <row r="188">
          <cell r="A188" t="str">
            <v>Dementyev, Vadim</v>
          </cell>
          <cell r="B188" t="str">
            <v>dementyev@andrews.edu</v>
          </cell>
          <cell r="C188" t="str">
            <v>000121343</v>
          </cell>
        </row>
        <row r="189">
          <cell r="A189" t="str">
            <v>Doss, Cheryl D.</v>
          </cell>
          <cell r="B189" t="str">
            <v>dossc@andrews.edu</v>
          </cell>
          <cell r="C189" t="str">
            <v>000011280</v>
          </cell>
        </row>
        <row r="190">
          <cell r="A190" t="str">
            <v>Doss, Gorden R.</v>
          </cell>
          <cell r="B190" t="str">
            <v>dossg@andrews.edu</v>
          </cell>
          <cell r="C190" t="str">
            <v>000016109</v>
          </cell>
        </row>
        <row r="191">
          <cell r="A191" t="str">
            <v>Drumi, Iurii N.</v>
          </cell>
          <cell r="B191" t="str">
            <v>drumi@andrews.edu</v>
          </cell>
          <cell r="C191" t="str">
            <v>000092262</v>
          </cell>
        </row>
        <row r="192">
          <cell r="A192" t="str">
            <v>Duffis Gordon, Daniel M.</v>
          </cell>
          <cell r="B192" t="str">
            <v>duffisgordo@andrews.edu</v>
          </cell>
          <cell r="C192" t="str">
            <v>000159832</v>
          </cell>
        </row>
        <row r="193">
          <cell r="A193" t="str">
            <v>Dybdahl, Jon L.</v>
          </cell>
          <cell r="B193" t="str">
            <v>dybdahl@andrews.edu</v>
          </cell>
          <cell r="C193" t="str">
            <v>000006149</v>
          </cell>
        </row>
        <row r="194">
          <cell r="A194" t="str">
            <v>Dybdahl, Paul B.</v>
          </cell>
          <cell r="B194" t="str">
            <v>dybdahlp@andrews.edu</v>
          </cell>
          <cell r="C194" t="str">
            <v>000069738</v>
          </cell>
        </row>
        <row r="195">
          <cell r="A195" t="str">
            <v>Goya Rozas, Ignacio</v>
          </cell>
          <cell r="B195" t="str">
            <v>goya@andrews.edu</v>
          </cell>
          <cell r="C195" t="str">
            <v>000151900</v>
          </cell>
        </row>
        <row r="196">
          <cell r="A196" t="str">
            <v>Guerrero Romero, Abraham I.</v>
          </cell>
          <cell r="B196" t="str">
            <v>abrahamg@andrews.edu</v>
          </cell>
          <cell r="C196" t="str">
            <v>000134376</v>
          </cell>
        </row>
        <row r="197">
          <cell r="A197" t="str">
            <v>Guirguis, Youssry L.</v>
          </cell>
          <cell r="B197" t="str">
            <v>youssry@andrews.edu</v>
          </cell>
          <cell r="C197" t="str">
            <v>000229579</v>
          </cell>
        </row>
        <row r="198">
          <cell r="A198" t="str">
            <v>Hunter, Claval I.</v>
          </cell>
          <cell r="B198" t="str">
            <v>claval@andrews.edu</v>
          </cell>
          <cell r="C198" t="str">
            <v>000124366</v>
          </cell>
        </row>
        <row r="199">
          <cell r="A199" t="str">
            <v>Ialyshev, Kemil K.</v>
          </cell>
          <cell r="B199" t="str">
            <v>yalyshev@andrews.edu</v>
          </cell>
          <cell r="C199" t="str">
            <v>000123480</v>
          </cell>
        </row>
        <row r="200">
          <cell r="A200" t="str">
            <v>Insom, Surachet</v>
          </cell>
          <cell r="B200" t="str">
            <v>surachet@andrews.edu</v>
          </cell>
          <cell r="C200" t="str">
            <v>000089320</v>
          </cell>
        </row>
        <row r="201">
          <cell r="A201" t="str">
            <v>Krause, Gary D.</v>
          </cell>
          <cell r="B201" t="str">
            <v>gkrause@andrews.edu</v>
          </cell>
          <cell r="C201" t="str">
            <v>000231151</v>
          </cell>
        </row>
        <row r="202">
          <cell r="A202" t="str">
            <v>Kuhn, Wagner</v>
          </cell>
          <cell r="B202" t="str">
            <v>kuhn@andrews.edu</v>
          </cell>
          <cell r="C202" t="str">
            <v>000067555</v>
          </cell>
        </row>
        <row r="203">
          <cell r="A203" t="str">
            <v>Maier, Rudolf</v>
          </cell>
          <cell r="B203" t="str">
            <v>rmaier@andrews.edu</v>
          </cell>
          <cell r="C203" t="str">
            <v>000019537</v>
          </cell>
        </row>
        <row r="204">
          <cell r="A204" t="str">
            <v>McEdward, Richard E.</v>
          </cell>
          <cell r="B204" t="str">
            <v>mcedward@andrews.edu</v>
          </cell>
          <cell r="C204" t="str">
            <v>000062229</v>
          </cell>
        </row>
        <row r="205">
          <cell r="A205" t="str">
            <v>Mercado, Carmelo</v>
          </cell>
          <cell r="B205" t="str">
            <v>cmercado@andrews.edu</v>
          </cell>
          <cell r="C205" t="str">
            <v>000016682</v>
          </cell>
        </row>
        <row r="206">
          <cell r="A206" t="str">
            <v>Merklin, Lester P.</v>
          </cell>
          <cell r="B206" t="str">
            <v>lmerklin@andrews.edu</v>
          </cell>
          <cell r="C206" t="str">
            <v>000019722</v>
          </cell>
        </row>
        <row r="207">
          <cell r="A207" t="str">
            <v>Namoradze, Sergo</v>
          </cell>
          <cell r="B207" t="str">
            <v>sergo@andrews.edu</v>
          </cell>
          <cell r="C207" t="str">
            <v>000112386</v>
          </cell>
        </row>
        <row r="208">
          <cell r="A208" t="str">
            <v>Onongha, Kelvin O.</v>
          </cell>
          <cell r="B208" t="str">
            <v>onongha@andrews.edu</v>
          </cell>
          <cell r="C208" t="str">
            <v>000056502</v>
          </cell>
        </row>
        <row r="209">
          <cell r="A209" t="str">
            <v>Osindo, Oscar</v>
          </cell>
          <cell r="B209" t="str">
            <v>osindo@andrews.edu</v>
          </cell>
          <cell r="C209" t="str">
            <v>000160575</v>
          </cell>
        </row>
        <row r="210">
          <cell r="A210" t="str">
            <v>Phillips, Gabriela F.</v>
          </cell>
          <cell r="B210" t="str">
            <v>profetadep@andrews.edu</v>
          </cell>
          <cell r="C210" t="str">
            <v>000144385</v>
          </cell>
        </row>
        <row r="211">
          <cell r="A211" t="str">
            <v>Tompkins, Andrew J.</v>
          </cell>
          <cell r="B211" t="str">
            <v>tompkina@andrews.edu</v>
          </cell>
          <cell r="C211" t="str">
            <v>000122109</v>
          </cell>
        </row>
        <row r="212">
          <cell r="A212" t="str">
            <v>William, Michelet</v>
          </cell>
          <cell r="B212" t="str">
            <v>micheletw@andrews.edu</v>
          </cell>
          <cell r="C212" t="str">
            <v>000089121</v>
          </cell>
        </row>
        <row r="213">
          <cell r="A213" t="str">
            <v>Zhanikaev, Makhti K.</v>
          </cell>
          <cell r="B213" t="str">
            <v>makhti@andrews.edu</v>
          </cell>
          <cell r="C213" t="str">
            <v>000160361</v>
          </cell>
        </row>
        <row r="214">
          <cell r="A214" t="str">
            <v>Zubkov, Pavel A.</v>
          </cell>
          <cell r="B214" t="str">
            <v>zubkov@andrews.edu</v>
          </cell>
          <cell r="C214" t="str">
            <v>000126778</v>
          </cell>
        </row>
        <row r="215">
          <cell r="A215" t="str">
            <v>Blue, Katrina B.</v>
          </cell>
          <cell r="B215" t="str">
            <v>large@andrews.edu</v>
          </cell>
          <cell r="C215" t="str">
            <v>000133676</v>
          </cell>
        </row>
        <row r="216">
          <cell r="A216" t="str">
            <v>Burt, Merlin D.</v>
          </cell>
          <cell r="B216" t="str">
            <v>burt@andrews.edu</v>
          </cell>
          <cell r="C216" t="str">
            <v>000049061</v>
          </cell>
        </row>
        <row r="217">
          <cell r="A217" t="str">
            <v>Camarena, Carlos C.</v>
          </cell>
          <cell r="B217" t="str">
            <v>ccarlos@andrews.edu</v>
          </cell>
          <cell r="C217" t="str">
            <v>000036675</v>
          </cell>
        </row>
        <row r="218">
          <cell r="A218" t="str">
            <v>Case, Steve W.</v>
          </cell>
          <cell r="B218" t="str">
            <v>steve@andrews.edu</v>
          </cell>
          <cell r="C218" t="str">
            <v>000040389</v>
          </cell>
        </row>
        <row r="219">
          <cell r="A219" t="str">
            <v>Davidson, JoAnn</v>
          </cell>
          <cell r="B219" t="str">
            <v>jad@andrews.edu</v>
          </cell>
          <cell r="C219" t="str">
            <v>000012454</v>
          </cell>
        </row>
        <row r="220">
          <cell r="A220" t="str">
            <v>Davidson, Richard M.</v>
          </cell>
          <cell r="B220" t="str">
            <v>davidson@andrews.edu</v>
          </cell>
          <cell r="C220" t="str">
            <v>000012107</v>
          </cell>
        </row>
        <row r="221">
          <cell r="A221" t="str">
            <v>Fortin, Denis</v>
          </cell>
          <cell r="B221" t="str">
            <v>fortind@andrews.edu</v>
          </cell>
          <cell r="C221" t="str">
            <v>000043638</v>
          </cell>
        </row>
        <row r="222">
          <cell r="A222" t="str">
            <v>Galenieks, Eriks</v>
          </cell>
          <cell r="B222" t="str">
            <v>egalen@andrews.edu</v>
          </cell>
          <cell r="C222" t="str">
            <v>000077101</v>
          </cell>
        </row>
        <row r="223">
          <cell r="A223" t="str">
            <v>Gane, Roy E.</v>
          </cell>
          <cell r="B223" t="str">
            <v>gane@andrews.edu</v>
          </cell>
          <cell r="C223" t="str">
            <v>000008963</v>
          </cell>
        </row>
        <row r="224">
          <cell r="A224" t="str">
            <v>Gaton, Roy G.</v>
          </cell>
          <cell r="B224" t="str">
            <v>royg@andrews.edu</v>
          </cell>
          <cell r="C224" t="str">
            <v>000048477</v>
          </cell>
        </row>
        <row r="225">
          <cell r="A225" t="str">
            <v>Goncalves, Kleber D.</v>
          </cell>
          <cell r="B225" t="str">
            <v>kleber@andrews.edu</v>
          </cell>
          <cell r="C225" t="str">
            <v>000078571</v>
          </cell>
        </row>
        <row r="226">
          <cell r="A226" t="str">
            <v>Green, Esther</v>
          </cell>
          <cell r="B226" t="str">
            <v>egreen@andrews.edu</v>
          </cell>
          <cell r="C226" t="str">
            <v>000212555</v>
          </cell>
        </row>
        <row r="227">
          <cell r="A227" t="str">
            <v>Hall, Kenley D.</v>
          </cell>
          <cell r="B227" t="str">
            <v>kenley@andrews.edu</v>
          </cell>
          <cell r="C227" t="str">
            <v>000069431</v>
          </cell>
        </row>
        <row r="228">
          <cell r="A228" t="str">
            <v>Hernandez, Abner F.</v>
          </cell>
          <cell r="B228" t="str">
            <v>abnerh@andrews.edu</v>
          </cell>
          <cell r="C228" t="str">
            <v>000149024</v>
          </cell>
        </row>
        <row r="229">
          <cell r="A229" t="str">
            <v>Hucks, Willie E.</v>
          </cell>
          <cell r="B229" t="str">
            <v>hucks@andrews.edu</v>
          </cell>
          <cell r="C229" t="str">
            <v>000048969</v>
          </cell>
        </row>
        <row r="230">
          <cell r="A230" t="str">
            <v>Irizarry De La Cruz, Iriann M.</v>
          </cell>
          <cell r="B230" t="str">
            <v>irizarry@andrews.edu</v>
          </cell>
          <cell r="C230" t="str">
            <v>000140394</v>
          </cell>
        </row>
        <row r="231">
          <cell r="A231" t="str">
            <v>Jeroncic, Ante</v>
          </cell>
          <cell r="B231" t="str">
            <v>jeroncic@andrews.edu</v>
          </cell>
          <cell r="C231" t="str">
            <v>000066942</v>
          </cell>
        </row>
        <row r="232">
          <cell r="A232" t="str">
            <v>Kidder, S Joseph</v>
          </cell>
          <cell r="B232" t="str">
            <v>kiddersj@andrews.edu</v>
          </cell>
          <cell r="C232" t="str">
            <v>000039170</v>
          </cell>
        </row>
        <row r="233">
          <cell r="A233" t="str">
            <v>Korchuk, Viacheslav I.</v>
          </cell>
          <cell r="B233" t="str">
            <v>korchuk@andrews.edu</v>
          </cell>
          <cell r="C233" t="str">
            <v>000097153</v>
          </cell>
        </row>
        <row r="234">
          <cell r="A234" t="str">
            <v>Kwon, Sung K.</v>
          </cell>
          <cell r="B234" t="str">
            <v>kwons@andrews.edu</v>
          </cell>
          <cell r="C234" t="str">
            <v>000073236</v>
          </cell>
        </row>
        <row r="235">
          <cell r="A235" t="str">
            <v>Machado, Carlos A.</v>
          </cell>
          <cell r="B235" t="str">
            <v>machado@andrews.edu</v>
          </cell>
          <cell r="C235" t="str">
            <v>000117818</v>
          </cell>
        </row>
        <row r="236">
          <cell r="A236" t="str">
            <v>Matthews, John V.</v>
          </cell>
          <cell r="B236" t="str">
            <v>johnmatt@andrews.edu</v>
          </cell>
          <cell r="C236" t="str">
            <v>000021462</v>
          </cell>
        </row>
        <row r="237">
          <cell r="A237" t="str">
            <v>Miller, Nicholas P.</v>
          </cell>
          <cell r="B237" t="str">
            <v>nicholas@andrews.edu</v>
          </cell>
          <cell r="C237" t="str">
            <v>000050696</v>
          </cell>
        </row>
        <row r="238">
          <cell r="A238" t="str">
            <v>Moon, Jerry A.</v>
          </cell>
          <cell r="B238" t="str">
            <v>jmoon@andrews.edu</v>
          </cell>
          <cell r="C238" t="str">
            <v>000018492</v>
          </cell>
        </row>
        <row r="239">
          <cell r="A239" t="str">
            <v>Moskala, Jiri</v>
          </cell>
          <cell r="B239" t="str">
            <v>moskala@andrews.edu</v>
          </cell>
          <cell r="C239" t="str">
            <v>000036790</v>
          </cell>
        </row>
        <row r="240">
          <cell r="A240" t="str">
            <v>Muran, Alexej</v>
          </cell>
          <cell r="B240" t="str">
            <v>muran@andrews.edu</v>
          </cell>
          <cell r="C240" t="str">
            <v>000118655</v>
          </cell>
        </row>
        <row r="241">
          <cell r="A241" t="str">
            <v>Nogueira, Lincoln</v>
          </cell>
          <cell r="B241" t="str">
            <v>nogueirl@andrews.edu</v>
          </cell>
          <cell r="C241" t="str">
            <v>000086036</v>
          </cell>
        </row>
        <row r="242">
          <cell r="A242" t="str">
            <v>Norton, Ricardo</v>
          </cell>
          <cell r="B242" t="str">
            <v>ricardo@andrews.edu</v>
          </cell>
          <cell r="C242" t="str">
            <v>000033967</v>
          </cell>
        </row>
        <row r="243">
          <cell r="A243" t="str">
            <v>O'Reggio, Trevor E.</v>
          </cell>
          <cell r="B243" t="str">
            <v>toreggio@andrews.edu</v>
          </cell>
          <cell r="C243" t="str">
            <v>000035762</v>
          </cell>
        </row>
        <row r="244">
          <cell r="A244" t="str">
            <v>Ortiz, Luis F.</v>
          </cell>
          <cell r="B244" t="str">
            <v>ortizl@andrews.edu</v>
          </cell>
          <cell r="C244" t="str">
            <v>000069315</v>
          </cell>
        </row>
        <row r="245">
          <cell r="A245" t="str">
            <v>Pagan, Samuel</v>
          </cell>
          <cell r="B245" t="str">
            <v>pagan@andrews.edu</v>
          </cell>
          <cell r="C245" t="str">
            <v>000067278</v>
          </cell>
        </row>
        <row r="246">
          <cell r="A246" t="str">
            <v>Paquini, Rogelio</v>
          </cell>
          <cell r="B246" t="str">
            <v>rpaquini@andrews.edu</v>
          </cell>
          <cell r="C246" t="str">
            <v>000105171</v>
          </cell>
        </row>
        <row r="247">
          <cell r="A247" t="str">
            <v>Petrishchev, Anton</v>
          </cell>
          <cell r="B247" t="str">
            <v>petrisch@andrews.edu</v>
          </cell>
          <cell r="C247" t="str">
            <v>000116224</v>
          </cell>
        </row>
        <row r="248">
          <cell r="A248" t="str">
            <v>Ponyatovsky, Felix</v>
          </cell>
          <cell r="B248" t="str">
            <v>ponyatov@andrews.edu</v>
          </cell>
          <cell r="C248" t="str">
            <v>000116220</v>
          </cell>
        </row>
        <row r="249">
          <cell r="A249" t="str">
            <v>Quispe, Gluder</v>
          </cell>
          <cell r="B249" t="str">
            <v>gluder@andrews.edu</v>
          </cell>
          <cell r="C249" t="str">
            <v>000122528</v>
          </cell>
        </row>
        <row r="250">
          <cell r="A250" t="str">
            <v>Ray, Paul J.</v>
          </cell>
          <cell r="B250" t="str">
            <v>rayp@andrews.edu</v>
          </cell>
          <cell r="C250" t="str">
            <v>000029934</v>
          </cell>
        </row>
        <row r="251">
          <cell r="A251" t="str">
            <v>Reeve, John W.</v>
          </cell>
          <cell r="B251" t="str">
            <v>jreeve@andrews.edu</v>
          </cell>
          <cell r="C251" t="str">
            <v>000049018</v>
          </cell>
        </row>
        <row r="252">
          <cell r="A252" t="str">
            <v>Richards, Natasha A.</v>
          </cell>
          <cell r="B252" t="str">
            <v>richardsn@andrews.edu</v>
          </cell>
          <cell r="C252" t="str">
            <v>000230576</v>
          </cell>
        </row>
        <row r="253">
          <cell r="A253" t="str">
            <v>Sanou, Boubakar</v>
          </cell>
          <cell r="B253" t="str">
            <v>sanou@andrews.edu</v>
          </cell>
          <cell r="C253" t="str">
            <v>000098144</v>
          </cell>
        </row>
        <row r="254">
          <cell r="A254" t="str">
            <v>Shepherd, Thomas R.</v>
          </cell>
          <cell r="B254" t="str">
            <v>trs@andrews.edu</v>
          </cell>
          <cell r="C254" t="str">
            <v>000033676</v>
          </cell>
        </row>
        <row r="255">
          <cell r="A255" t="str">
            <v>Valenzuela, Alfonso</v>
          </cell>
          <cell r="B255" t="str">
            <v>vale@andrews.edu</v>
          </cell>
          <cell r="C255" t="str">
            <v>000033969</v>
          </cell>
        </row>
        <row r="256">
          <cell r="A256" t="str">
            <v>Williams, David A.</v>
          </cell>
          <cell r="B256" t="str">
            <v>wdavid@andrews.edu</v>
          </cell>
          <cell r="C256" t="str">
            <v>000124996</v>
          </cell>
        </row>
        <row r="257">
          <cell r="A257" t="str">
            <v>Yeagley, Stephen T.</v>
          </cell>
          <cell r="B257" t="str">
            <v>yeagley@andrews.edu</v>
          </cell>
          <cell r="C257" t="str">
            <v>000041250</v>
          </cell>
        </row>
        <row r="258">
          <cell r="A258" t="str">
            <v>Younker, Randall W.</v>
          </cell>
          <cell r="B258" t="str">
            <v>younker@andrews.edu</v>
          </cell>
          <cell r="C258" t="str">
            <v>000042559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  <xxl21:relativeUrl r:id="rId4"/>
    </xxl21:alternateUrls>
    <sheetNames>
      <sheetName val="CHIS"/>
      <sheetName val="DSLE"/>
      <sheetName val="GSEM"/>
      <sheetName val="MDiv_HISP"/>
      <sheetName val="MSSN"/>
      <sheetName val="NTST"/>
      <sheetName val="OTST"/>
      <sheetName val="PATH"/>
      <sheetName val="THST"/>
      <sheetName val="MAPM_ENGL"/>
      <sheetName val="MAPM_HISP"/>
      <sheetName val="MA_Religion"/>
      <sheetName val="DMIN"/>
      <sheetName val="OLD THST"/>
      <sheetName val="DropDownMenu"/>
      <sheetName val="InstructorM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">
          <cell r="A1" t="str">
            <v>Instructor Name {Instr Name}</v>
          </cell>
          <cell r="B1" t="str">
            <v>Instructor Email {Instr Email}</v>
          </cell>
          <cell r="C1" t="str">
            <v>Instructor ID {Instr ID}</v>
          </cell>
        </row>
        <row r="2">
          <cell r="A2" t="str">
            <v>Abar, Emmanuel M.</v>
          </cell>
          <cell r="B2" t="str">
            <v>abar@andrews.edu</v>
          </cell>
          <cell r="C2" t="str">
            <v>000114991</v>
          </cell>
        </row>
        <row r="3">
          <cell r="A3" t="str">
            <v>Antic, Radisa</v>
          </cell>
          <cell r="B3" t="str">
            <v>radisa@andrews.edu</v>
          </cell>
          <cell r="C3" t="str">
            <v>000042516</v>
          </cell>
        </row>
        <row r="4">
          <cell r="A4" t="str">
            <v>Augsburger, Daniel E.</v>
          </cell>
          <cell r="B4" t="str">
            <v>augsburg@andrews.edu</v>
          </cell>
          <cell r="C4" t="str">
            <v>000003539</v>
          </cell>
        </row>
        <row r="5">
          <cell r="A5" t="str">
            <v>Barbosa, Rodrigo d.</v>
          </cell>
          <cell r="B5" t="str">
            <v>degaliza@andrews.edu</v>
          </cell>
          <cell r="C5" t="str">
            <v>000141959</v>
          </cell>
        </row>
        <row r="6">
          <cell r="A6" t="str">
            <v>Barna, Jan</v>
          </cell>
          <cell r="B6" t="str">
            <v>barna@andrews.edu</v>
          </cell>
          <cell r="C6" t="str">
            <v>000107673</v>
          </cell>
        </row>
        <row r="7">
          <cell r="A7" t="str">
            <v>Burton, Kevin M.</v>
          </cell>
          <cell r="B7" t="str">
            <v>burtonk@andrews.edu</v>
          </cell>
          <cell r="C7" t="str">
            <v>000148286</v>
          </cell>
        </row>
        <row r="8">
          <cell r="A8" t="str">
            <v>Chow, Christie Chui-Shan</v>
          </cell>
          <cell r="B8" t="str">
            <v>christiechu@andrews.edu</v>
          </cell>
          <cell r="C8" t="str">
            <v>000232177</v>
          </cell>
        </row>
        <row r="9">
          <cell r="A9" t="str">
            <v>Damsteegt, P Gerard</v>
          </cell>
          <cell r="B9" t="str">
            <v>damsteeg@andrews.edu</v>
          </cell>
          <cell r="C9" t="str">
            <v>000009168</v>
          </cell>
        </row>
        <row r="10">
          <cell r="A10" t="str">
            <v>Figueroa, Victor F.</v>
          </cell>
          <cell r="B10" t="str">
            <v>figuerov@andrews.edu</v>
          </cell>
          <cell r="C10" t="str">
            <v>000055527</v>
          </cell>
        </row>
        <row r="11">
          <cell r="A11" t="str">
            <v>Gameti, Yvonne Y.</v>
          </cell>
          <cell r="B11" t="str">
            <v>gameti@andrews.edu</v>
          </cell>
          <cell r="C11" t="str">
            <v>000239625</v>
          </cell>
        </row>
        <row r="12">
          <cell r="A12" t="str">
            <v>Garcia Zarate, Heber E.</v>
          </cell>
          <cell r="B12" t="str">
            <v>heber@andrews.edu</v>
          </cell>
          <cell r="C12" t="str">
            <v>000147941</v>
          </cell>
        </row>
        <row r="13">
          <cell r="A13" t="str">
            <v>Kaiser, Angelika</v>
          </cell>
          <cell r="B13" t="str">
            <v>angelika@andrews.edu</v>
          </cell>
          <cell r="C13" t="str">
            <v>000143159</v>
          </cell>
        </row>
        <row r="14">
          <cell r="A14" t="str">
            <v>Kaiser, Denis</v>
          </cell>
          <cell r="B14" t="str">
            <v>denis@andrews.edu</v>
          </cell>
          <cell r="C14" t="str">
            <v>000134382</v>
          </cell>
        </row>
        <row r="15">
          <cell r="A15" t="str">
            <v>Louw, Eric A.</v>
          </cell>
          <cell r="B15" t="str">
            <v>louw@andrews.edu</v>
          </cell>
          <cell r="C15" t="str">
            <v>000160504</v>
          </cell>
        </row>
        <row r="16">
          <cell r="A16" t="str">
            <v>Park, Jungkyu</v>
          </cell>
          <cell r="B16" t="str">
            <v>jungkyu@andrews.edu</v>
          </cell>
          <cell r="C16" t="str">
            <v>000122429</v>
          </cell>
        </row>
        <row r="17">
          <cell r="A17" t="str">
            <v>Rodrigues, Gerson C.</v>
          </cell>
          <cell r="B17" t="str">
            <v>gersoncr@andrews.edu</v>
          </cell>
          <cell r="C17" t="str">
            <v>000093682</v>
          </cell>
        </row>
        <row r="18">
          <cell r="A18" t="str">
            <v>Rosario, Antonio M.</v>
          </cell>
          <cell r="B18" t="str">
            <v>arosario@andrews.edu</v>
          </cell>
          <cell r="C18" t="str">
            <v>000074158</v>
          </cell>
        </row>
        <row r="19">
          <cell r="A19" t="str">
            <v>Steger, Walter E.</v>
          </cell>
          <cell r="B19" t="str">
            <v>steger@andrews.edu</v>
          </cell>
          <cell r="C19" t="str">
            <v>000064286</v>
          </cell>
        </row>
        <row r="20">
          <cell r="A20" t="str">
            <v>Toscano, Steven M.</v>
          </cell>
          <cell r="B20" t="str">
            <v>toscano@andrews.edu</v>
          </cell>
          <cell r="C20" t="str">
            <v>000138178</v>
          </cell>
        </row>
        <row r="21">
          <cell r="A21" t="str">
            <v>Allen, Shirley M.</v>
          </cell>
          <cell r="B21" t="str">
            <v>ashirley@andrews.edu</v>
          </cell>
          <cell r="C21" t="str">
            <v>000062024</v>
          </cell>
        </row>
        <row r="22">
          <cell r="A22" t="str">
            <v>Beagles, Kathleen A.</v>
          </cell>
          <cell r="B22" t="str">
            <v>beaglesk@andrews.edu</v>
          </cell>
          <cell r="C22" t="str">
            <v>000041794</v>
          </cell>
        </row>
        <row r="23">
          <cell r="A23" t="str">
            <v>Consuegra, Claudio J.</v>
          </cell>
          <cell r="B23" t="str">
            <v>consuegr@andrews.edu</v>
          </cell>
          <cell r="C23" t="str">
            <v>000041530</v>
          </cell>
        </row>
        <row r="24">
          <cell r="A24" t="str">
            <v>Davis, Desiree E.</v>
          </cell>
          <cell r="B24" t="str">
            <v>desireed@andrews.edu</v>
          </cell>
          <cell r="C24" t="str">
            <v>000111875</v>
          </cell>
        </row>
        <row r="25">
          <cell r="A25" t="str">
            <v>Duany, Efrain</v>
          </cell>
          <cell r="B25" t="str">
            <v>duany@andrews.edu</v>
          </cell>
          <cell r="C25" t="str">
            <v>000117365</v>
          </cell>
        </row>
        <row r="26">
          <cell r="A26" t="str">
            <v>Espinosa, Jose M.</v>
          </cell>
          <cell r="B26" t="str">
            <v>josee@andrews.edu</v>
          </cell>
          <cell r="C26" t="str">
            <v>000032088</v>
          </cell>
        </row>
        <row r="27">
          <cell r="A27" t="str">
            <v>Fraser, Jasmine J.</v>
          </cell>
          <cell r="B27" t="str">
            <v>fraserj@andrews.edu</v>
          </cell>
          <cell r="C27" t="str">
            <v>000129106</v>
          </cell>
        </row>
        <row r="28">
          <cell r="A28" t="str">
            <v>Freed, Kristina M.</v>
          </cell>
          <cell r="B28" t="str">
            <v>tyrrell@andrews.edu</v>
          </cell>
          <cell r="C28" t="str">
            <v>000067653</v>
          </cell>
        </row>
        <row r="29">
          <cell r="A29" t="str">
            <v>Gilles, Allens</v>
          </cell>
          <cell r="B29" t="str">
            <v>gilles@andrews.edu</v>
          </cell>
          <cell r="C29" t="str">
            <v>000129689</v>
          </cell>
        </row>
        <row r="30">
          <cell r="A30" t="str">
            <v>Hamilton, Lloyd M.</v>
          </cell>
          <cell r="B30" t="str">
            <v>hamiltol@andrews.edu</v>
          </cell>
          <cell r="C30" t="str">
            <v>000062449</v>
          </cell>
        </row>
        <row r="31">
          <cell r="A31" t="str">
            <v>Joseph, Ainsworth E.</v>
          </cell>
          <cell r="B31" t="str">
            <v>ainsworj@andrews.edu</v>
          </cell>
          <cell r="C31" t="str">
            <v>000079312</v>
          </cell>
        </row>
        <row r="32">
          <cell r="A32" t="str">
            <v>Martin, Benjamin L.</v>
          </cell>
          <cell r="B32" t="str">
            <v>benjaminm@andrews.edu</v>
          </cell>
          <cell r="C32" t="str">
            <v>000155484</v>
          </cell>
        </row>
        <row r="33">
          <cell r="A33" t="str">
            <v>Mayer, Jorge R.</v>
          </cell>
          <cell r="B33" t="str">
            <v>jorgem@andrews.edu</v>
          </cell>
          <cell r="C33" t="str">
            <v>000049082</v>
          </cell>
        </row>
        <row r="34">
          <cell r="A34" t="str">
            <v>Moore, Richard A.</v>
          </cell>
          <cell r="B34" t="str">
            <v>mooreri@andrews.edu</v>
          </cell>
          <cell r="C34" t="str">
            <v>000054389</v>
          </cell>
        </row>
        <row r="35">
          <cell r="A35" t="str">
            <v>Ramos, Israel</v>
          </cell>
          <cell r="B35" t="str">
            <v>ramosi@andrews.edu</v>
          </cell>
          <cell r="C35" t="str">
            <v>000111021</v>
          </cell>
        </row>
        <row r="36">
          <cell r="A36" t="str">
            <v>Reddy, Ashley C.</v>
          </cell>
          <cell r="B36" t="str">
            <v>reddy@andrews.edu</v>
          </cell>
          <cell r="C36" t="str">
            <v>000159825</v>
          </cell>
        </row>
        <row r="37">
          <cell r="A37" t="str">
            <v>Reinert, Katia G.</v>
          </cell>
          <cell r="B37" t="str">
            <v>reinert@andrews.edu</v>
          </cell>
          <cell r="C37" t="str">
            <v>000195832</v>
          </cell>
        </row>
        <row r="38">
          <cell r="A38" t="str">
            <v>Sedlacek, David</v>
          </cell>
          <cell r="B38" t="str">
            <v>sedlacek@andrews.edu</v>
          </cell>
          <cell r="C38" t="str">
            <v>000142355</v>
          </cell>
        </row>
        <row r="39">
          <cell r="A39" t="str">
            <v>Ward, Scott R.</v>
          </cell>
          <cell r="B39" t="str">
            <v>sward@andrews.edu</v>
          </cell>
          <cell r="C39" t="str">
            <v>000077973</v>
          </cell>
        </row>
        <row r="40">
          <cell r="A40" t="str">
            <v>Fernandez-Gibbs, Jharony E.</v>
          </cell>
          <cell r="B40" t="str">
            <v>jharony@andrews.edu</v>
          </cell>
          <cell r="C40" t="str">
            <v>000140039</v>
          </cell>
        </row>
        <row r="41">
          <cell r="A41" t="str">
            <v>Peguero Colon, Samuel</v>
          </cell>
          <cell r="B41" t="str">
            <v>pegueroc@andrews.edu</v>
          </cell>
          <cell r="C41" t="str">
            <v>000130089</v>
          </cell>
        </row>
        <row r="42">
          <cell r="A42" t="str">
            <v>Fox, Curtis A.</v>
          </cell>
          <cell r="B42" t="str">
            <v>curtisf@andrews.edu</v>
          </cell>
          <cell r="C42" t="str">
            <v>000062042</v>
          </cell>
        </row>
        <row r="43">
          <cell r="A43" t="str">
            <v>Lopez, Elim J.</v>
          </cell>
          <cell r="B43" t="str">
            <v>elim@andrews.edu</v>
          </cell>
          <cell r="C43" t="str">
            <v>000132146</v>
          </cell>
        </row>
        <row r="44">
          <cell r="A44" t="str">
            <v>Maxson, Benjamin C.</v>
          </cell>
          <cell r="B44" t="str">
            <v>maxson@andrews.edu</v>
          </cell>
          <cell r="C44" t="str">
            <v>000025977</v>
          </cell>
        </row>
        <row r="45">
          <cell r="A45" t="str">
            <v>Oliver, Wilbert H.</v>
          </cell>
          <cell r="B45" t="str">
            <v>wilberto@andrews.edu</v>
          </cell>
          <cell r="C45" t="str">
            <v>000034125</v>
          </cell>
        </row>
        <row r="46">
          <cell r="A46" t="str">
            <v>Olivo, Dionisio</v>
          </cell>
          <cell r="B46" t="str">
            <v>olivo@andrews.edu</v>
          </cell>
          <cell r="C46" t="str">
            <v>000046389</v>
          </cell>
        </row>
        <row r="47">
          <cell r="A47" t="str">
            <v>Swanson, H Peter</v>
          </cell>
          <cell r="B47" t="str">
            <v>swansonp@andrews.edu</v>
          </cell>
          <cell r="C47" t="str">
            <v>000031571</v>
          </cell>
        </row>
        <row r="48">
          <cell r="A48" t="str">
            <v>Walshe, Allan R.</v>
          </cell>
          <cell r="B48" t="str">
            <v>walshe@andrews.edu</v>
          </cell>
          <cell r="C48" t="str">
            <v>000136308</v>
          </cell>
        </row>
        <row r="49">
          <cell r="A49" t="str">
            <v>Aguiar, Adenilton T.</v>
          </cell>
          <cell r="B49" t="str">
            <v>adenilton@andrews.edu</v>
          </cell>
          <cell r="C49" t="str">
            <v>000160279</v>
          </cell>
        </row>
        <row r="50">
          <cell r="A50" t="str">
            <v>Agustin, Alfredo G.</v>
          </cell>
          <cell r="B50" t="str">
            <v>agustina@andrews.edu</v>
          </cell>
          <cell r="C50" t="str">
            <v>000240618</v>
          </cell>
        </row>
        <row r="51">
          <cell r="A51" t="str">
            <v>Badenas, Roberto D.</v>
          </cell>
          <cell r="B51" t="str">
            <v>badenasr@andrews.edu</v>
          </cell>
          <cell r="C51" t="str">
            <v>000035367</v>
          </cell>
        </row>
        <row r="52">
          <cell r="A52" t="str">
            <v>Borda, Guilherme L.</v>
          </cell>
          <cell r="B52" t="str">
            <v>borda@andrews.edu</v>
          </cell>
          <cell r="C52" t="str">
            <v>000150924</v>
          </cell>
        </row>
        <row r="53">
          <cell r="A53" t="str">
            <v>Choi, Phuichun R.</v>
          </cell>
          <cell r="B53" t="str">
            <v>choir@andrews.edu</v>
          </cell>
          <cell r="C53" t="str">
            <v>000036676</v>
          </cell>
        </row>
        <row r="54">
          <cell r="A54" t="str">
            <v>Cortez, Felix H.</v>
          </cell>
          <cell r="B54" t="str">
            <v>fcortez@andrews.edu</v>
          </cell>
          <cell r="C54" t="str">
            <v>000110700</v>
          </cell>
        </row>
        <row r="55">
          <cell r="A55" t="str">
            <v>Ferreira, Jonatas L.</v>
          </cell>
          <cell r="B55" t="str">
            <v>jonatas@andrews.edu</v>
          </cell>
          <cell r="C55" t="str">
            <v>000159708</v>
          </cell>
        </row>
        <row r="56">
          <cell r="A56" t="str">
            <v>Festa, Sergio R.</v>
          </cell>
          <cell r="B56" t="str">
            <v>festa@andrews.edu</v>
          </cell>
          <cell r="C56" t="str">
            <v>000159784</v>
          </cell>
        </row>
        <row r="57">
          <cell r="A57" t="str">
            <v>Gallos, Erhard H.</v>
          </cell>
          <cell r="B57" t="str">
            <v>gallos@andrews.edu</v>
          </cell>
          <cell r="C57" t="str">
            <v>000068119</v>
          </cell>
        </row>
        <row r="58">
          <cell r="A58" t="str">
            <v>Gallusz, Laszlo</v>
          </cell>
          <cell r="B58" t="str">
            <v>gallusz@andrews.edu</v>
          </cell>
          <cell r="C58" t="str">
            <v>000203949</v>
          </cell>
        </row>
        <row r="59">
          <cell r="A59" t="str">
            <v>Grzeskowiak, Adam</v>
          </cell>
          <cell r="B59" t="str">
            <v>grzeskowiak@andrews.edu</v>
          </cell>
          <cell r="C59" t="str">
            <v>000204006</v>
          </cell>
        </row>
        <row r="60">
          <cell r="A60" t="str">
            <v>Hernandez, Angel M.</v>
          </cell>
          <cell r="B60" t="str">
            <v>ahernandez@andrews.edu</v>
          </cell>
          <cell r="C60" t="str">
            <v>000025476</v>
          </cell>
        </row>
        <row r="61">
          <cell r="A61" t="str">
            <v>Huss, Rajan P.</v>
          </cell>
          <cell r="B61" t="str">
            <v>huss@andrews.edu</v>
          </cell>
          <cell r="C61" t="str">
            <v>000141225</v>
          </cell>
        </row>
        <row r="62">
          <cell r="A62" t="str">
            <v>Johnston, Robert M.</v>
          </cell>
          <cell r="B62" t="str">
            <v>bobjohn@andrews.edu</v>
          </cell>
          <cell r="C62" t="str">
            <v>000003908</v>
          </cell>
        </row>
        <row r="63">
          <cell r="A63" t="str">
            <v>Kondrat, Stanislav</v>
          </cell>
          <cell r="B63" t="str">
            <v>kondrat@andrews.edu</v>
          </cell>
          <cell r="C63" t="str">
            <v>000119532</v>
          </cell>
        </row>
        <row r="64">
          <cell r="A64" t="str">
            <v>Kostyuk, Oleg</v>
          </cell>
          <cell r="B64" t="str">
            <v>kostyuk@andrews.edu</v>
          </cell>
          <cell r="C64" t="str">
            <v>000159768</v>
          </cell>
        </row>
        <row r="65">
          <cell r="A65" t="str">
            <v>Kuryliak, Bohdan</v>
          </cell>
          <cell r="B65" t="str">
            <v>bkuryliak@andrews.edu</v>
          </cell>
          <cell r="C65" t="str">
            <v>000200888</v>
          </cell>
        </row>
        <row r="66">
          <cell r="A66" t="str">
            <v>Kwon, Timothy B.</v>
          </cell>
          <cell r="B66" t="str">
            <v>beett@andrews.edu</v>
          </cell>
          <cell r="C66" t="str">
            <v>000146533</v>
          </cell>
        </row>
        <row r="67">
          <cell r="A67" t="str">
            <v>Lichtenwalter, Larry L.</v>
          </cell>
          <cell r="B67" t="str">
            <v>lichtenw@andrews.edu</v>
          </cell>
          <cell r="C67" t="str">
            <v>000024733</v>
          </cell>
        </row>
        <row r="68">
          <cell r="A68" t="str">
            <v>Moral Hernandez, Manuel A.</v>
          </cell>
          <cell r="B68" t="str">
            <v>moral@andrews.edu</v>
          </cell>
          <cell r="C68" t="str">
            <v>000105885</v>
          </cell>
        </row>
        <row r="69">
          <cell r="A69" t="str">
            <v>Mot, Laurentiu F.</v>
          </cell>
          <cell r="B69" t="str">
            <v>laurentiu@andrews.edu</v>
          </cell>
          <cell r="C69" t="str">
            <v>000115113</v>
          </cell>
        </row>
        <row r="70">
          <cell r="A70" t="str">
            <v>Munoz, Jose Y.</v>
          </cell>
          <cell r="B70" t="str">
            <v>munozj@andrews.edu</v>
          </cell>
          <cell r="C70" t="str">
            <v>000073761</v>
          </cell>
        </row>
        <row r="71">
          <cell r="A71" t="str">
            <v>Munoz, Ruben A.</v>
          </cell>
          <cell r="B71" t="str">
            <v>rmunoz@andrews.edu</v>
          </cell>
          <cell r="C71" t="str">
            <v>000064060</v>
          </cell>
        </row>
        <row r="72">
          <cell r="A72" t="str">
            <v>Nunes, Leonardo G.</v>
          </cell>
          <cell r="B72" t="str">
            <v>nunesl@andrews.edu</v>
          </cell>
          <cell r="C72" t="str">
            <v>000138706</v>
          </cell>
        </row>
        <row r="73">
          <cell r="A73" t="str">
            <v>Papaioannou, Kim G.</v>
          </cell>
          <cell r="B73" t="str">
            <v>papaioannou@andrews.edu</v>
          </cell>
          <cell r="C73" t="str">
            <v>000050429</v>
          </cell>
        </row>
        <row r="74">
          <cell r="A74" t="str">
            <v>Phillip, Mario N.</v>
          </cell>
          <cell r="B74" t="str">
            <v>mariop@andrews.edu</v>
          </cell>
          <cell r="C74" t="str">
            <v>000108446</v>
          </cell>
        </row>
        <row r="75">
          <cell r="A75" t="str">
            <v>Reeve, Teresa L.</v>
          </cell>
          <cell r="B75" t="str">
            <v>tlreeve@andrews.edu</v>
          </cell>
          <cell r="C75" t="str">
            <v>000050236</v>
          </cell>
        </row>
        <row r="76">
          <cell r="A76" t="str">
            <v>Richards, W Larry</v>
          </cell>
          <cell r="C76" t="str">
            <v>000008252</v>
          </cell>
        </row>
        <row r="77">
          <cell r="A77" t="str">
            <v>Stefanovic, Ranko</v>
          </cell>
          <cell r="B77" t="str">
            <v>ranko@andrews.edu</v>
          </cell>
          <cell r="C77" t="str">
            <v>000057767</v>
          </cell>
        </row>
        <row r="78">
          <cell r="A78" t="str">
            <v>Vine, Cedric E.</v>
          </cell>
          <cell r="B78" t="str">
            <v>cvine@andrews.edu</v>
          </cell>
          <cell r="C78" t="str">
            <v>000093509</v>
          </cell>
        </row>
        <row r="79">
          <cell r="A79" t="str">
            <v>Baez Garcia, Enrique</v>
          </cell>
          <cell r="B79" t="str">
            <v>baezgarc@andrews.edu</v>
          </cell>
          <cell r="C79" t="str">
            <v>000118530</v>
          </cell>
        </row>
        <row r="80">
          <cell r="A80" t="str">
            <v>Baker, Leslie S.</v>
          </cell>
          <cell r="B80" t="str">
            <v>lsbakerjr@andrews.edu</v>
          </cell>
          <cell r="C80" t="str">
            <v>000067622</v>
          </cell>
        </row>
        <row r="81">
          <cell r="A81" t="str">
            <v>Bates, Robert D.</v>
          </cell>
          <cell r="B81" t="str">
            <v>bates@andrews.edu</v>
          </cell>
          <cell r="C81" t="str">
            <v>000095796</v>
          </cell>
        </row>
        <row r="82">
          <cell r="A82" t="str">
            <v>Beaulieu, Stephane A.</v>
          </cell>
          <cell r="B82" t="str">
            <v>beaulies@andrews.edu</v>
          </cell>
          <cell r="C82" t="str">
            <v>000132272</v>
          </cell>
        </row>
        <row r="83">
          <cell r="A83" t="str">
            <v>Bediako, Daniel K.</v>
          </cell>
          <cell r="C83" t="str">
            <v>000246964</v>
          </cell>
        </row>
        <row r="84">
          <cell r="A84" t="str">
            <v>Breja, Alexandru</v>
          </cell>
          <cell r="B84" t="str">
            <v>brejaal@andrews.edu</v>
          </cell>
          <cell r="C84" t="str">
            <v>000068116</v>
          </cell>
        </row>
        <row r="85">
          <cell r="A85" t="str">
            <v>Broy, Trisha E.</v>
          </cell>
          <cell r="B85" t="str">
            <v>trisha@andrews.edu</v>
          </cell>
          <cell r="C85" t="str">
            <v>000088405</v>
          </cell>
        </row>
        <row r="86">
          <cell r="A86" t="str">
            <v>Doukhan, Jacques B.</v>
          </cell>
          <cell r="B86" t="str">
            <v>doukhanj@andrews.edu</v>
          </cell>
          <cell r="C86" t="str">
            <v>000027289</v>
          </cell>
        </row>
        <row r="87">
          <cell r="A87" t="str">
            <v>Emswiler, Elizabeth</v>
          </cell>
          <cell r="B87" t="str">
            <v>emswiler@andrews.edu</v>
          </cell>
          <cell r="C87" t="str">
            <v>000205980</v>
          </cell>
        </row>
        <row r="88">
          <cell r="A88" t="str">
            <v>Gane, Constance E.</v>
          </cell>
          <cell r="B88" t="str">
            <v>cgane@andrews.edu</v>
          </cell>
          <cell r="C88" t="str">
            <v>000074605</v>
          </cell>
        </row>
        <row r="89">
          <cell r="A89" t="str">
            <v>Glanz, Oliver</v>
          </cell>
          <cell r="B89" t="str">
            <v>glanz@andrews.edu</v>
          </cell>
          <cell r="C89" t="str">
            <v>000162826</v>
          </cell>
        </row>
        <row r="90">
          <cell r="A90" t="str">
            <v>Gordan, Daniel M.</v>
          </cell>
          <cell r="B90" t="str">
            <v>danielgordan@andrews.edu</v>
          </cell>
          <cell r="C90" t="str">
            <v>000155573</v>
          </cell>
        </row>
        <row r="91">
          <cell r="A91" t="str">
            <v>Gregor, Paul Z.</v>
          </cell>
          <cell r="B91" t="str">
            <v>pgregor@andrews.edu</v>
          </cell>
          <cell r="C91" t="str">
            <v>000052867</v>
          </cell>
        </row>
        <row r="92">
          <cell r="A92" t="str">
            <v>Groda, Johnny</v>
          </cell>
          <cell r="B92" t="str">
            <v>johnny@andrews.edu</v>
          </cell>
          <cell r="C92" t="str">
            <v>000102157</v>
          </cell>
        </row>
        <row r="93">
          <cell r="A93" t="str">
            <v>Hudon, Jeffrey P.</v>
          </cell>
          <cell r="B93" t="str">
            <v>hudon@andrews.edu</v>
          </cell>
          <cell r="C93" t="str">
            <v>000133678</v>
          </cell>
        </row>
        <row r="94">
          <cell r="A94" t="str">
            <v>Ionescu, Laurentiu Gabriel</v>
          </cell>
          <cell r="B94" t="str">
            <v>laurentiuga@andrews.edu</v>
          </cell>
          <cell r="C94" t="str">
            <v>000190055</v>
          </cell>
        </row>
        <row r="95">
          <cell r="A95" t="str">
            <v>Jankovic, Slavisa</v>
          </cell>
          <cell r="B95" t="str">
            <v>jankovic@andrews.edu</v>
          </cell>
          <cell r="C95" t="str">
            <v>000138176</v>
          </cell>
        </row>
        <row r="96">
          <cell r="A96" t="str">
            <v>McGuire-Moushon, Joni A.</v>
          </cell>
          <cell r="B96" t="str">
            <v>mcguirej@andrews.edu</v>
          </cell>
          <cell r="C96" t="str">
            <v>000118224</v>
          </cell>
        </row>
        <row r="97">
          <cell r="A97" t="str">
            <v>Moody, Jacob A.</v>
          </cell>
          <cell r="B97" t="str">
            <v>moody@andrews.edu</v>
          </cell>
          <cell r="C97" t="str">
            <v>000141338</v>
          </cell>
        </row>
        <row r="98">
          <cell r="A98" t="str">
            <v>Morrow, Laura K.</v>
          </cell>
          <cell r="B98" t="str">
            <v>morrowl@andrews.edu</v>
          </cell>
          <cell r="C98" t="str">
            <v>000112615</v>
          </cell>
        </row>
        <row r="99">
          <cell r="A99" t="str">
            <v>Nam, Daegeuk</v>
          </cell>
          <cell r="C99" t="str">
            <v>000032749</v>
          </cell>
        </row>
        <row r="100">
          <cell r="A100" t="str">
            <v>Ngo, Kim Chai</v>
          </cell>
          <cell r="B100" t="str">
            <v>kimchai@andrews.edu</v>
          </cell>
          <cell r="C100" t="str">
            <v>000212413</v>
          </cell>
        </row>
        <row r="101">
          <cell r="A101" t="str">
            <v>Olariu, Daniel</v>
          </cell>
          <cell r="B101" t="str">
            <v>olariu@andrews.edu</v>
          </cell>
          <cell r="C101" t="str">
            <v>000163538</v>
          </cell>
        </row>
        <row r="102">
          <cell r="A102" t="str">
            <v>Prestes Neto, Flavio</v>
          </cell>
          <cell r="B102" t="str">
            <v>neto@andrews.edu</v>
          </cell>
          <cell r="C102" t="str">
            <v>000136415</v>
          </cell>
        </row>
        <row r="103">
          <cell r="A103" t="str">
            <v>Rivas Santini, Abelardo J.</v>
          </cell>
          <cell r="B103" t="str">
            <v>abelardo@andrews.edu</v>
          </cell>
          <cell r="C103" t="str">
            <v>000133197</v>
          </cell>
        </row>
        <row r="104">
          <cell r="A104" t="str">
            <v>Rojas, Ronald</v>
          </cell>
          <cell r="B104" t="str">
            <v>rojasr@andrews.edu</v>
          </cell>
          <cell r="C104" t="str">
            <v>000124643</v>
          </cell>
        </row>
        <row r="105">
          <cell r="A105" t="str">
            <v>Ruiz Araica, Roger D.</v>
          </cell>
          <cell r="B105" t="str">
            <v>ruizr@andrews.edu</v>
          </cell>
          <cell r="C105" t="str">
            <v>000148578</v>
          </cell>
        </row>
        <row r="106">
          <cell r="A106" t="str">
            <v>Skinner, Jerome L.</v>
          </cell>
          <cell r="B106" t="str">
            <v>skinnerj@andrews.edu</v>
          </cell>
          <cell r="C106" t="str">
            <v>000117063</v>
          </cell>
        </row>
        <row r="107">
          <cell r="A107" t="str">
            <v>Sung, Sion</v>
          </cell>
          <cell r="B107" t="str">
            <v>sion@andrews.edu</v>
          </cell>
          <cell r="C107" t="str">
            <v>000117882</v>
          </cell>
        </row>
        <row r="108">
          <cell r="A108" t="str">
            <v>Tollerton, Evelyn Y.</v>
          </cell>
          <cell r="B108" t="str">
            <v>tollerto@andrews.edu</v>
          </cell>
          <cell r="C108" t="str">
            <v>000117327</v>
          </cell>
        </row>
        <row r="109">
          <cell r="A109" t="str">
            <v>Wiens, Roman</v>
          </cell>
          <cell r="B109" t="str">
            <v>wiens@andrews.edu</v>
          </cell>
          <cell r="C109" t="str">
            <v>000160271</v>
          </cell>
        </row>
        <row r="110">
          <cell r="A110" t="str">
            <v>Arias-Quintero, Jose A.</v>
          </cell>
          <cell r="B110" t="str">
            <v>ariasqui@andrews.edu</v>
          </cell>
          <cell r="C110" t="str">
            <v>000099625</v>
          </cell>
        </row>
        <row r="111">
          <cell r="A111" t="str">
            <v>Bell, Ora M.</v>
          </cell>
          <cell r="B111" t="str">
            <v>sjbell@andrews.edu</v>
          </cell>
          <cell r="C111" t="str">
            <v>000015518</v>
          </cell>
        </row>
        <row r="112">
          <cell r="A112" t="str">
            <v>Braun, Erlo</v>
          </cell>
          <cell r="B112" t="str">
            <v>erlo@andrews.edu</v>
          </cell>
          <cell r="C112" t="str">
            <v>000137172</v>
          </cell>
        </row>
        <row r="113">
          <cell r="A113" t="str">
            <v>Bullon, Alejandro</v>
          </cell>
          <cell r="B113" t="str">
            <v>alejandrob@andrews.edu</v>
          </cell>
          <cell r="C113" t="str">
            <v>000181820</v>
          </cell>
        </row>
        <row r="114">
          <cell r="A114" t="str">
            <v>Canals, Ramon J.</v>
          </cell>
          <cell r="B114" t="str">
            <v>canals@andrews.edu</v>
          </cell>
          <cell r="C114" t="str">
            <v>000051912</v>
          </cell>
        </row>
        <row r="115">
          <cell r="A115" t="str">
            <v>Cauley, Michael F.</v>
          </cell>
          <cell r="B115" t="str">
            <v>cauleym@andrews.edu</v>
          </cell>
          <cell r="C115" t="str">
            <v>000025417</v>
          </cell>
        </row>
        <row r="116">
          <cell r="A116" t="str">
            <v>Cauley, Michael R.</v>
          </cell>
          <cell r="B116" t="str">
            <v>cauley@andrews.edu</v>
          </cell>
          <cell r="C116" t="str">
            <v>000107141</v>
          </cell>
        </row>
        <row r="117">
          <cell r="A117" t="str">
            <v>Ceballos, Mario E.</v>
          </cell>
          <cell r="B117" t="str">
            <v>ceballom@andrews.edu</v>
          </cell>
          <cell r="C117" t="str">
            <v>000039066</v>
          </cell>
        </row>
        <row r="118">
          <cell r="A118" t="str">
            <v>Choque Fernandez, Juan</v>
          </cell>
          <cell r="B118" t="str">
            <v>choque@andrews.edu</v>
          </cell>
          <cell r="C118" t="str">
            <v>000127674</v>
          </cell>
        </row>
        <row r="119">
          <cell r="A119" t="str">
            <v>Evans, Tommy L.</v>
          </cell>
          <cell r="B119" t="str">
            <v>tevans@andrews.edu</v>
          </cell>
          <cell r="C119" t="str">
            <v>000063105</v>
          </cell>
        </row>
        <row r="120">
          <cell r="A120" t="str">
            <v>Li, Angela H.</v>
          </cell>
          <cell r="B120" t="str">
            <v>angelal@andrews.edu</v>
          </cell>
          <cell r="C120" t="str">
            <v>000225367</v>
          </cell>
        </row>
        <row r="121">
          <cell r="A121" t="str">
            <v>Liang, Onn</v>
          </cell>
          <cell r="B121" t="str">
            <v>lianga@andrews.edu</v>
          </cell>
          <cell r="C121" t="str">
            <v>000035691</v>
          </cell>
        </row>
        <row r="122">
          <cell r="A122" t="str">
            <v>Oudri, Gerardo</v>
          </cell>
          <cell r="B122" t="str">
            <v>oudri@andrews.edu</v>
          </cell>
          <cell r="C122" t="str">
            <v>000077975</v>
          </cell>
        </row>
        <row r="123">
          <cell r="A123" t="str">
            <v>Patterson, Stanley E.</v>
          </cell>
          <cell r="B123" t="str">
            <v>patterss@andrews.edu</v>
          </cell>
          <cell r="C123" t="str">
            <v>000030103</v>
          </cell>
        </row>
        <row r="124">
          <cell r="A124" t="str">
            <v>Penno, David K.</v>
          </cell>
          <cell r="B124" t="str">
            <v>penno@andrews.edu</v>
          </cell>
          <cell r="C124" t="str">
            <v>000041639</v>
          </cell>
        </row>
        <row r="125">
          <cell r="A125" t="str">
            <v>Ramirez, Johnny</v>
          </cell>
          <cell r="B125" t="str">
            <v>johnnyr@andrews.edu</v>
          </cell>
          <cell r="C125" t="str">
            <v>000030856</v>
          </cell>
        </row>
        <row r="126">
          <cell r="A126" t="str">
            <v>Rico, Jorge E.</v>
          </cell>
          <cell r="B126" t="str">
            <v>rico@andrews.edu</v>
          </cell>
          <cell r="C126" t="str">
            <v>000051411</v>
          </cell>
        </row>
        <row r="127">
          <cell r="A127" t="str">
            <v>Saravia, Yohalmo A.</v>
          </cell>
          <cell r="B127" t="str">
            <v>saravia@andrews.edu</v>
          </cell>
          <cell r="C127" t="str">
            <v>000046397</v>
          </cell>
        </row>
        <row r="128">
          <cell r="A128" t="str">
            <v>Schmidt, Eduard E.</v>
          </cell>
          <cell r="B128" t="str">
            <v>eschmidt@andrews.edu</v>
          </cell>
          <cell r="C128" t="str">
            <v>000041813</v>
          </cell>
        </row>
        <row r="129">
          <cell r="A129" t="str">
            <v>Sorajjakool, Siroj</v>
          </cell>
          <cell r="B129" t="str">
            <v>siroj@andrews.edu</v>
          </cell>
          <cell r="C129" t="str">
            <v>000050631</v>
          </cell>
        </row>
        <row r="130">
          <cell r="A130" t="str">
            <v>Wagener Smith, Anthony</v>
          </cell>
          <cell r="B130" t="str">
            <v>wagenersmith@andrews.edu</v>
          </cell>
          <cell r="C130" t="str">
            <v>000118859</v>
          </cell>
        </row>
        <row r="131">
          <cell r="A131" t="str">
            <v>Williams, Hyveth M.</v>
          </cell>
          <cell r="B131" t="str">
            <v>hyveth@andrews.edu</v>
          </cell>
          <cell r="C131" t="str">
            <v>000049271</v>
          </cell>
        </row>
        <row r="132">
          <cell r="A132" t="str">
            <v>Anderson, Paul S.</v>
          </cell>
          <cell r="B132" t="str">
            <v>panderson@andrews.edu</v>
          </cell>
          <cell r="C132" t="str">
            <v>000048877</v>
          </cell>
        </row>
        <row r="133">
          <cell r="A133" t="str">
            <v>Barcelo, Saul</v>
          </cell>
          <cell r="C133" t="str">
            <v>000233478</v>
          </cell>
        </row>
        <row r="134">
          <cell r="A134" t="str">
            <v>Coralie, Alain G.</v>
          </cell>
          <cell r="B134" t="str">
            <v>coralie@andrews.edu</v>
          </cell>
          <cell r="C134" t="str">
            <v>000076162</v>
          </cell>
        </row>
        <row r="135">
          <cell r="A135" t="str">
            <v>Crews, Heather L.</v>
          </cell>
          <cell r="B135" t="str">
            <v>crewsh@andrews.edu</v>
          </cell>
          <cell r="C135" t="str">
            <v>000052089</v>
          </cell>
        </row>
        <row r="136">
          <cell r="A136" t="str">
            <v>Ferreira, Sandy Y.</v>
          </cell>
          <cell r="B136" t="str">
            <v>ferreirajim@andrews.edu</v>
          </cell>
          <cell r="C136" t="str">
            <v>000155280</v>
          </cell>
        </row>
        <row r="137">
          <cell r="A137" t="str">
            <v>Galeniece, Anna</v>
          </cell>
          <cell r="B137" t="str">
            <v>galeniec@andrews.edu</v>
          </cell>
          <cell r="C137" t="str">
            <v>000078997</v>
          </cell>
        </row>
        <row r="138">
          <cell r="A138" t="str">
            <v>Grant, Vaughan K.</v>
          </cell>
          <cell r="B138" t="str">
            <v>vaughang@andrews.edu</v>
          </cell>
          <cell r="C138" t="str">
            <v>000054097</v>
          </cell>
        </row>
        <row r="139">
          <cell r="A139" t="str">
            <v>Grys, John W.</v>
          </cell>
          <cell r="B139" t="str">
            <v>jgrys@andrews.edu</v>
          </cell>
          <cell r="C139" t="str">
            <v>000038918</v>
          </cell>
        </row>
        <row r="140">
          <cell r="A140" t="str">
            <v>Jaeger, Victor A.</v>
          </cell>
          <cell r="B140" t="str">
            <v>jaeger@andrews.edu</v>
          </cell>
          <cell r="C140" t="str">
            <v>000115524</v>
          </cell>
        </row>
        <row r="141">
          <cell r="A141" t="str">
            <v>Kissinger, Evelyn G.</v>
          </cell>
          <cell r="B141" t="str">
            <v>evelynk@andrews.edu</v>
          </cell>
          <cell r="C141" t="str">
            <v>000031535</v>
          </cell>
        </row>
        <row r="142">
          <cell r="A142" t="str">
            <v>Ledesma, Janet</v>
          </cell>
          <cell r="B142" t="str">
            <v>jledesma@andrews.edu</v>
          </cell>
          <cell r="C142" t="str">
            <v>000043873</v>
          </cell>
        </row>
        <row r="143">
          <cell r="A143" t="str">
            <v>Lewis, Michael L.</v>
          </cell>
          <cell r="B143" t="str">
            <v>lewismi@andrews.edu</v>
          </cell>
          <cell r="C143" t="str">
            <v>000096645</v>
          </cell>
        </row>
        <row r="144">
          <cell r="A144" t="str">
            <v>Madding, Timothy E.</v>
          </cell>
          <cell r="B144" t="str">
            <v>madding@andrews.edu</v>
          </cell>
          <cell r="C144" t="str">
            <v>000069917</v>
          </cell>
        </row>
        <row r="145">
          <cell r="A145" t="str">
            <v>Martin, Allan D.</v>
          </cell>
          <cell r="C145" t="str">
            <v>000090518</v>
          </cell>
        </row>
        <row r="146">
          <cell r="A146" t="str">
            <v>McLean, Errol N.</v>
          </cell>
          <cell r="B146" t="str">
            <v>mcleane@andrews.edu</v>
          </cell>
          <cell r="C146" t="str">
            <v>000049564</v>
          </cell>
        </row>
        <row r="147">
          <cell r="A147" t="str">
            <v>Ming, Marilyn D.</v>
          </cell>
          <cell r="B147" t="str">
            <v>ming@andrews.edu</v>
          </cell>
          <cell r="C147" t="str">
            <v>000126678</v>
          </cell>
        </row>
        <row r="148">
          <cell r="A148" t="str">
            <v>Morales, Xavier</v>
          </cell>
          <cell r="B148" t="str">
            <v>moralesx@andrews.edu</v>
          </cell>
          <cell r="C148" t="str">
            <v>000139876</v>
          </cell>
        </row>
        <row r="149">
          <cell r="A149" t="str">
            <v>Ramos Escobar, Walter</v>
          </cell>
          <cell r="B149" t="str">
            <v>ramosescoba@andrews.edu</v>
          </cell>
          <cell r="C149" t="str">
            <v>000155460</v>
          </cell>
        </row>
        <row r="150">
          <cell r="A150" t="str">
            <v>Rojas, Hugo E.</v>
          </cell>
          <cell r="B150" t="str">
            <v>elir@andrews.edu</v>
          </cell>
          <cell r="C150" t="str">
            <v>000095431</v>
          </cell>
        </row>
        <row r="151">
          <cell r="A151" t="str">
            <v>Taiwo, Moses O.</v>
          </cell>
          <cell r="B151" t="str">
            <v>taiwo@andrews.edu</v>
          </cell>
          <cell r="C151" t="str">
            <v>000051532</v>
          </cell>
        </row>
        <row r="152">
          <cell r="A152" t="str">
            <v>Thordarson, Throstur B.</v>
          </cell>
          <cell r="B152" t="str">
            <v>throstur@andrews.edu</v>
          </cell>
          <cell r="C152" t="str">
            <v>000028045</v>
          </cell>
        </row>
        <row r="153">
          <cell r="A153" t="str">
            <v>Trecartin, Shannon M.</v>
          </cell>
          <cell r="B153" t="str">
            <v>trecarts@andrews.edu</v>
          </cell>
          <cell r="C153" t="str">
            <v>000133204</v>
          </cell>
        </row>
        <row r="154">
          <cell r="A154" t="str">
            <v>Tsui, Terry M.</v>
          </cell>
          <cell r="B154" t="str">
            <v>tsui@andrews.edu</v>
          </cell>
          <cell r="C154" t="str">
            <v>000120498</v>
          </cell>
        </row>
        <row r="155">
          <cell r="A155" t="str">
            <v>Vatel, Marie S.</v>
          </cell>
          <cell r="B155" t="str">
            <v>vatelm@andrews.edu</v>
          </cell>
          <cell r="C155" t="str">
            <v>000074539</v>
          </cell>
        </row>
        <row r="156">
          <cell r="A156" t="str">
            <v>Wellington, Rohann D.</v>
          </cell>
          <cell r="B156" t="str">
            <v>rohann@andrews.edu</v>
          </cell>
          <cell r="C156" t="str">
            <v>000110327</v>
          </cell>
        </row>
        <row r="157">
          <cell r="A157" t="str">
            <v>Wood, H Stanley</v>
          </cell>
          <cell r="B157" t="str">
            <v>woodh@andrews.edu</v>
          </cell>
          <cell r="C157" t="str">
            <v>000241606</v>
          </cell>
        </row>
        <row r="158">
          <cell r="A158" t="str">
            <v>Young, Dustin R.</v>
          </cell>
          <cell r="B158" t="str">
            <v>dustiny@andrews.edu</v>
          </cell>
          <cell r="C158" t="str">
            <v>000234751</v>
          </cell>
        </row>
        <row r="159">
          <cell r="A159" t="str">
            <v>Alexe, Cristina A.</v>
          </cell>
          <cell r="B159" t="str">
            <v>alexe@andrews.edu</v>
          </cell>
          <cell r="C159" t="str">
            <v>000134154</v>
          </cell>
        </row>
        <row r="160">
          <cell r="A160" t="str">
            <v>Andvik, Lidvar</v>
          </cell>
          <cell r="B160" t="str">
            <v>lidvar@andrews.edu</v>
          </cell>
          <cell r="C160" t="str">
            <v>000148465</v>
          </cell>
        </row>
        <row r="161">
          <cell r="A161" t="str">
            <v>Arena, Timothy J.</v>
          </cell>
          <cell r="B161" t="str">
            <v>arena@andrews.edu</v>
          </cell>
          <cell r="C161" t="str">
            <v>000148323</v>
          </cell>
        </row>
        <row r="162">
          <cell r="A162" t="str">
            <v>Baldwin, John T.</v>
          </cell>
          <cell r="B162" t="str">
            <v>baldwin@andrews.edu</v>
          </cell>
          <cell r="C162" t="str">
            <v>000001902</v>
          </cell>
        </row>
        <row r="163">
          <cell r="A163" t="str">
            <v>Bentancur, Ricardo</v>
          </cell>
          <cell r="B163" t="str">
            <v>bentancur@andrews.edu</v>
          </cell>
          <cell r="C163" t="str">
            <v>000193021</v>
          </cell>
        </row>
        <row r="164">
          <cell r="A164" t="str">
            <v>Canale, Fernando</v>
          </cell>
          <cell r="B164" t="str">
            <v>canale@andrews.edu</v>
          </cell>
          <cell r="C164" t="str">
            <v>000033285</v>
          </cell>
        </row>
        <row r="165">
          <cell r="A165" t="str">
            <v>Covrig, Duane M.</v>
          </cell>
          <cell r="B165" t="str">
            <v>covrig@andrews.edu</v>
          </cell>
          <cell r="C165" t="str">
            <v>000125642</v>
          </cell>
        </row>
        <row r="166">
          <cell r="A166" t="str">
            <v>Dei, Daniel</v>
          </cell>
          <cell r="B166" t="str">
            <v>dei@andrews.edu</v>
          </cell>
          <cell r="C166" t="str">
            <v>000214349</v>
          </cell>
        </row>
        <row r="167">
          <cell r="A167" t="str">
            <v>Drew, Arlyn S.</v>
          </cell>
          <cell r="B167" t="str">
            <v>drewa@andrews.edu</v>
          </cell>
          <cell r="C167" t="str">
            <v>000043384</v>
          </cell>
        </row>
        <row r="168">
          <cell r="A168" t="str">
            <v>Dupertuis, Atilio R.</v>
          </cell>
          <cell r="B168" t="str">
            <v>dupera@andrews.edu</v>
          </cell>
          <cell r="C168" t="str">
            <v>000001928</v>
          </cell>
        </row>
        <row r="169">
          <cell r="A169" t="str">
            <v>Duran Royo, Noemi</v>
          </cell>
          <cell r="B169" t="str">
            <v>duranroyo@andrews.edu</v>
          </cell>
          <cell r="C169" t="str">
            <v>000210558</v>
          </cell>
        </row>
        <row r="170">
          <cell r="A170" t="str">
            <v>Gibbs, Nathaniel</v>
          </cell>
          <cell r="B170" t="str">
            <v>gibbsn@andrews.edu</v>
          </cell>
          <cell r="C170" t="str">
            <v>000146529</v>
          </cell>
        </row>
        <row r="171">
          <cell r="A171" t="str">
            <v>Hanna, Martin F.</v>
          </cell>
          <cell r="B171" t="str">
            <v>mhanna@andrews.edu</v>
          </cell>
          <cell r="C171" t="str">
            <v>000057080</v>
          </cell>
        </row>
        <row r="172">
          <cell r="A172" t="str">
            <v>Jankiewicz, Darius W.</v>
          </cell>
          <cell r="B172" t="str">
            <v>darius@andrews.edu</v>
          </cell>
          <cell r="C172" t="str">
            <v>000069427</v>
          </cell>
        </row>
        <row r="173">
          <cell r="A173" t="str">
            <v>Kis, Miroslav M.</v>
          </cell>
          <cell r="C173" t="str">
            <v>000022704</v>
          </cell>
        </row>
        <row r="174">
          <cell r="A174" t="str">
            <v>Kormos, Erik</v>
          </cell>
          <cell r="B174" t="str">
            <v>kormos@andrews.edu</v>
          </cell>
          <cell r="C174" t="str">
            <v>000207932</v>
          </cell>
        </row>
        <row r="175">
          <cell r="A175" t="str">
            <v>Koval, Bohdan</v>
          </cell>
          <cell r="B175" t="str">
            <v>koval@andrews.edu</v>
          </cell>
          <cell r="C175" t="str">
            <v>000163303</v>
          </cell>
        </row>
        <row r="176">
          <cell r="A176" t="str">
            <v>Peckham, John C.</v>
          </cell>
          <cell r="B176" t="str">
            <v>jpeckham@andrews.edu</v>
          </cell>
          <cell r="C176" t="str">
            <v>000116996</v>
          </cell>
        </row>
        <row r="177">
          <cell r="A177" t="str">
            <v>Plantak, Zorislav</v>
          </cell>
          <cell r="B177" t="str">
            <v>zplantak@andrews.edu</v>
          </cell>
          <cell r="C177" t="str">
            <v>000104055</v>
          </cell>
        </row>
        <row r="178">
          <cell r="A178" t="str">
            <v>Razmerita, Gheorghe</v>
          </cell>
          <cell r="B178" t="str">
            <v>razmerita@andrews.edu</v>
          </cell>
          <cell r="C178" t="str">
            <v>000087063</v>
          </cell>
        </row>
        <row r="179">
          <cell r="A179" t="str">
            <v>Rodrigues, Adriani M.</v>
          </cell>
          <cell r="B179" t="str">
            <v>adriani@andrews.edu</v>
          </cell>
          <cell r="C179" t="str">
            <v>000145425</v>
          </cell>
        </row>
        <row r="180">
          <cell r="A180" t="str">
            <v>Sciarabba, Davide</v>
          </cell>
          <cell r="B180" t="str">
            <v>sciarabb@andrews.edu</v>
          </cell>
          <cell r="C180" t="str">
            <v>000138600</v>
          </cell>
        </row>
        <row r="181">
          <cell r="A181" t="str">
            <v>Szallos-Farkas, Zoltan</v>
          </cell>
          <cell r="B181" t="str">
            <v>zoltan@andrews.edu</v>
          </cell>
          <cell r="C181" t="str">
            <v>000067911</v>
          </cell>
        </row>
        <row r="182">
          <cell r="A182" t="str">
            <v>Terreros, Marco T.</v>
          </cell>
          <cell r="B182" t="str">
            <v>terreros@andrews.edu</v>
          </cell>
          <cell r="C182" t="str">
            <v>000054615</v>
          </cell>
        </row>
        <row r="183">
          <cell r="A183" t="str">
            <v>Tornalejo, Remwil R.</v>
          </cell>
          <cell r="B183" t="str">
            <v>tornalejo@andrews.edu</v>
          </cell>
          <cell r="C183" t="str">
            <v>000208503</v>
          </cell>
        </row>
        <row r="184">
          <cell r="A184" t="str">
            <v>Wetterlin, Cory D.</v>
          </cell>
          <cell r="B184" t="str">
            <v>wetterli@andrews.edu</v>
          </cell>
          <cell r="C184" t="str">
            <v>000095321</v>
          </cell>
        </row>
        <row r="185">
          <cell r="A185" t="str">
            <v>Zaitsev, Eugene V.</v>
          </cell>
          <cell r="B185" t="str">
            <v>eugenez@andrews.edu</v>
          </cell>
          <cell r="C185" t="str">
            <v>000065636</v>
          </cell>
        </row>
        <row r="186">
          <cell r="A186" t="str">
            <v>Bauer, Bruce L.</v>
          </cell>
          <cell r="B186" t="str">
            <v>bbauer@andrews.edu</v>
          </cell>
          <cell r="C186" t="str">
            <v>000003023</v>
          </cell>
        </row>
        <row r="187">
          <cell r="A187" t="str">
            <v>Cincala, Petr</v>
          </cell>
          <cell r="B187" t="str">
            <v>cincala@andrews.edu</v>
          </cell>
          <cell r="C187" t="str">
            <v>000074406</v>
          </cell>
        </row>
        <row r="188">
          <cell r="A188" t="str">
            <v>Dementyev, Vadim</v>
          </cell>
          <cell r="B188" t="str">
            <v>dementyev@andrews.edu</v>
          </cell>
          <cell r="C188" t="str">
            <v>000121343</v>
          </cell>
        </row>
        <row r="189">
          <cell r="A189" t="str">
            <v>Doss, Cheryl D.</v>
          </cell>
          <cell r="B189" t="str">
            <v>dossc@andrews.edu</v>
          </cell>
          <cell r="C189" t="str">
            <v>000011280</v>
          </cell>
        </row>
        <row r="190">
          <cell r="A190" t="str">
            <v>Doss, Gorden R.</v>
          </cell>
          <cell r="B190" t="str">
            <v>dossg@andrews.edu</v>
          </cell>
          <cell r="C190" t="str">
            <v>000016109</v>
          </cell>
        </row>
        <row r="191">
          <cell r="A191" t="str">
            <v>Drumi, Iurii N.</v>
          </cell>
          <cell r="B191" t="str">
            <v>drumi@andrews.edu</v>
          </cell>
          <cell r="C191" t="str">
            <v>000092262</v>
          </cell>
        </row>
        <row r="192">
          <cell r="A192" t="str">
            <v>Duffis Gordon, Daniel M.</v>
          </cell>
          <cell r="B192" t="str">
            <v>duffisgordo@andrews.edu</v>
          </cell>
          <cell r="C192" t="str">
            <v>000159832</v>
          </cell>
        </row>
        <row r="193">
          <cell r="A193" t="str">
            <v>Dybdahl, Jon L.</v>
          </cell>
          <cell r="B193" t="str">
            <v>dybdahl@andrews.edu</v>
          </cell>
          <cell r="C193" t="str">
            <v>000006149</v>
          </cell>
        </row>
        <row r="194">
          <cell r="A194" t="str">
            <v>Dybdahl, Paul B.</v>
          </cell>
          <cell r="B194" t="str">
            <v>dybdahlp@andrews.edu</v>
          </cell>
          <cell r="C194" t="str">
            <v>000069738</v>
          </cell>
        </row>
        <row r="195">
          <cell r="A195" t="str">
            <v>Goya Rozas, Ignacio</v>
          </cell>
          <cell r="B195" t="str">
            <v>goya@andrews.edu</v>
          </cell>
          <cell r="C195" t="str">
            <v>000151900</v>
          </cell>
        </row>
        <row r="196">
          <cell r="A196" t="str">
            <v>Guerrero Romero, Abraham I.</v>
          </cell>
          <cell r="B196" t="str">
            <v>abrahamg@andrews.edu</v>
          </cell>
          <cell r="C196" t="str">
            <v>000134376</v>
          </cell>
        </row>
        <row r="197">
          <cell r="A197" t="str">
            <v>Guirguis, Youssry L.</v>
          </cell>
          <cell r="B197" t="str">
            <v>youssry@andrews.edu</v>
          </cell>
          <cell r="C197" t="str">
            <v>000229579</v>
          </cell>
        </row>
        <row r="198">
          <cell r="A198" t="str">
            <v>Hunter, Claval I.</v>
          </cell>
          <cell r="B198" t="str">
            <v>claval@andrews.edu</v>
          </cell>
          <cell r="C198" t="str">
            <v>000124366</v>
          </cell>
        </row>
        <row r="199">
          <cell r="A199" t="str">
            <v>Ialyshev, Kemil K.</v>
          </cell>
          <cell r="B199" t="str">
            <v>yalyshev@andrews.edu</v>
          </cell>
          <cell r="C199" t="str">
            <v>000123480</v>
          </cell>
        </row>
        <row r="200">
          <cell r="A200" t="str">
            <v>Insom, Surachet</v>
          </cell>
          <cell r="B200" t="str">
            <v>surachet@andrews.edu</v>
          </cell>
          <cell r="C200" t="str">
            <v>000089320</v>
          </cell>
        </row>
        <row r="201">
          <cell r="A201" t="str">
            <v>Krause, Gary D.</v>
          </cell>
          <cell r="B201" t="str">
            <v>gkrause@andrews.edu</v>
          </cell>
          <cell r="C201" t="str">
            <v>000231151</v>
          </cell>
        </row>
        <row r="202">
          <cell r="A202" t="str">
            <v>Kuhn, Wagner</v>
          </cell>
          <cell r="B202" t="str">
            <v>kuhn@andrews.edu</v>
          </cell>
          <cell r="C202" t="str">
            <v>000067555</v>
          </cell>
        </row>
        <row r="203">
          <cell r="A203" t="str">
            <v>Maier, Rudolf</v>
          </cell>
          <cell r="B203" t="str">
            <v>rmaier@andrews.edu</v>
          </cell>
          <cell r="C203" t="str">
            <v>000019537</v>
          </cell>
        </row>
        <row r="204">
          <cell r="A204" t="str">
            <v>McEdward, Richard E.</v>
          </cell>
          <cell r="B204" t="str">
            <v>mcedward@andrews.edu</v>
          </cell>
          <cell r="C204" t="str">
            <v>000062229</v>
          </cell>
        </row>
        <row r="205">
          <cell r="A205" t="str">
            <v>Mercado, Carmelo</v>
          </cell>
          <cell r="B205" t="str">
            <v>cmercado@andrews.edu</v>
          </cell>
          <cell r="C205" t="str">
            <v>000016682</v>
          </cell>
        </row>
        <row r="206">
          <cell r="A206" t="str">
            <v>Merklin, Lester P.</v>
          </cell>
          <cell r="B206" t="str">
            <v>lmerklin@andrews.edu</v>
          </cell>
          <cell r="C206" t="str">
            <v>000019722</v>
          </cell>
        </row>
        <row r="207">
          <cell r="A207" t="str">
            <v>Namoradze, Sergo</v>
          </cell>
          <cell r="B207" t="str">
            <v>sergo@andrews.edu</v>
          </cell>
          <cell r="C207" t="str">
            <v>000112386</v>
          </cell>
        </row>
        <row r="208">
          <cell r="A208" t="str">
            <v>Onongha, Kelvin O.</v>
          </cell>
          <cell r="B208" t="str">
            <v>onongha@andrews.edu</v>
          </cell>
          <cell r="C208" t="str">
            <v>000056502</v>
          </cell>
        </row>
        <row r="209">
          <cell r="A209" t="str">
            <v>Osindo, Oscar</v>
          </cell>
          <cell r="B209" t="str">
            <v>osindo@andrews.edu</v>
          </cell>
          <cell r="C209" t="str">
            <v>000160575</v>
          </cell>
        </row>
        <row r="210">
          <cell r="A210" t="str">
            <v>Phillips, Gabriela F.</v>
          </cell>
          <cell r="B210" t="str">
            <v>profetadep@andrews.edu</v>
          </cell>
          <cell r="C210" t="str">
            <v>000144385</v>
          </cell>
        </row>
        <row r="211">
          <cell r="A211" t="str">
            <v>Tompkins, Andrew J.</v>
          </cell>
          <cell r="B211" t="str">
            <v>tompkina@andrews.edu</v>
          </cell>
          <cell r="C211" t="str">
            <v>000122109</v>
          </cell>
        </row>
        <row r="212">
          <cell r="A212" t="str">
            <v>William, Michelet</v>
          </cell>
          <cell r="B212" t="str">
            <v>micheletw@andrews.edu</v>
          </cell>
          <cell r="C212" t="str">
            <v>000089121</v>
          </cell>
        </row>
        <row r="213">
          <cell r="A213" t="str">
            <v>Zhanikaev, Makhti K.</v>
          </cell>
          <cell r="B213" t="str">
            <v>makhti@andrews.edu</v>
          </cell>
          <cell r="C213" t="str">
            <v>000160361</v>
          </cell>
        </row>
        <row r="214">
          <cell r="A214" t="str">
            <v>Zubkov, Pavel A.</v>
          </cell>
          <cell r="B214" t="str">
            <v>zubkov@andrews.edu</v>
          </cell>
          <cell r="C214" t="str">
            <v>000126778</v>
          </cell>
        </row>
        <row r="215">
          <cell r="A215" t="str">
            <v>Blue, Katrina B.</v>
          </cell>
          <cell r="B215" t="str">
            <v>large@andrews.edu</v>
          </cell>
          <cell r="C215" t="str">
            <v>000133676</v>
          </cell>
        </row>
        <row r="216">
          <cell r="A216" t="str">
            <v>Burt, Merlin D.</v>
          </cell>
          <cell r="B216" t="str">
            <v>burt@andrews.edu</v>
          </cell>
          <cell r="C216" t="str">
            <v>000049061</v>
          </cell>
        </row>
        <row r="217">
          <cell r="A217" t="str">
            <v>Camarena, Carlos C.</v>
          </cell>
          <cell r="B217" t="str">
            <v>ccarlos@andrews.edu</v>
          </cell>
          <cell r="C217" t="str">
            <v>000036675</v>
          </cell>
        </row>
        <row r="218">
          <cell r="A218" t="str">
            <v>Case, Steve W.</v>
          </cell>
          <cell r="B218" t="str">
            <v>steve@andrews.edu</v>
          </cell>
          <cell r="C218" t="str">
            <v>000040389</v>
          </cell>
        </row>
        <row r="219">
          <cell r="A219" t="str">
            <v>Davidson, JoAnn</v>
          </cell>
          <cell r="B219" t="str">
            <v>jad@andrews.edu</v>
          </cell>
          <cell r="C219" t="str">
            <v>000012454</v>
          </cell>
        </row>
        <row r="220">
          <cell r="A220" t="str">
            <v>Davidson, Richard M.</v>
          </cell>
          <cell r="B220" t="str">
            <v>davidson@andrews.edu</v>
          </cell>
          <cell r="C220" t="str">
            <v>000012107</v>
          </cell>
        </row>
        <row r="221">
          <cell r="A221" t="str">
            <v>Fortin, Denis</v>
          </cell>
          <cell r="B221" t="str">
            <v>fortind@andrews.edu</v>
          </cell>
          <cell r="C221" t="str">
            <v>000043638</v>
          </cell>
        </row>
        <row r="222">
          <cell r="A222" t="str">
            <v>Galenieks, Eriks</v>
          </cell>
          <cell r="B222" t="str">
            <v>egalen@andrews.edu</v>
          </cell>
          <cell r="C222" t="str">
            <v>000077101</v>
          </cell>
        </row>
        <row r="223">
          <cell r="A223" t="str">
            <v>Gane, Roy E.</v>
          </cell>
          <cell r="B223" t="str">
            <v>gane@andrews.edu</v>
          </cell>
          <cell r="C223" t="str">
            <v>000008963</v>
          </cell>
        </row>
        <row r="224">
          <cell r="A224" t="str">
            <v>Gaton, Roy G.</v>
          </cell>
          <cell r="B224" t="str">
            <v>royg@andrews.edu</v>
          </cell>
          <cell r="C224" t="str">
            <v>000048477</v>
          </cell>
        </row>
        <row r="225">
          <cell r="A225" t="str">
            <v>Goncalves, Kleber D.</v>
          </cell>
          <cell r="B225" t="str">
            <v>kleber@andrews.edu</v>
          </cell>
          <cell r="C225" t="str">
            <v>000078571</v>
          </cell>
        </row>
        <row r="226">
          <cell r="A226" t="str">
            <v>Green, Esther</v>
          </cell>
          <cell r="B226" t="str">
            <v>egreen@andrews.edu</v>
          </cell>
          <cell r="C226" t="str">
            <v>000212555</v>
          </cell>
        </row>
        <row r="227">
          <cell r="A227" t="str">
            <v>Hall, Kenley D.</v>
          </cell>
          <cell r="B227" t="str">
            <v>kenley@andrews.edu</v>
          </cell>
          <cell r="C227" t="str">
            <v>000069431</v>
          </cell>
        </row>
        <row r="228">
          <cell r="A228" t="str">
            <v>Hernandez, Abner F.</v>
          </cell>
          <cell r="B228" t="str">
            <v>abnerh@andrews.edu</v>
          </cell>
          <cell r="C228" t="str">
            <v>000149024</v>
          </cell>
        </row>
        <row r="229">
          <cell r="A229" t="str">
            <v>Hucks, Willie E.</v>
          </cell>
          <cell r="B229" t="str">
            <v>hucks@andrews.edu</v>
          </cell>
          <cell r="C229" t="str">
            <v>000048969</v>
          </cell>
        </row>
        <row r="230">
          <cell r="A230" t="str">
            <v>Irizarry De La Cruz, Iriann M.</v>
          </cell>
          <cell r="B230" t="str">
            <v>irizarry@andrews.edu</v>
          </cell>
          <cell r="C230" t="str">
            <v>000140394</v>
          </cell>
        </row>
        <row r="231">
          <cell r="A231" t="str">
            <v>Jeroncic, Ante</v>
          </cell>
          <cell r="B231" t="str">
            <v>jeroncic@andrews.edu</v>
          </cell>
          <cell r="C231" t="str">
            <v>000066942</v>
          </cell>
        </row>
        <row r="232">
          <cell r="A232" t="str">
            <v>Kidder, S Joseph</v>
          </cell>
          <cell r="B232" t="str">
            <v>kiddersj@andrews.edu</v>
          </cell>
          <cell r="C232" t="str">
            <v>000039170</v>
          </cell>
        </row>
        <row r="233">
          <cell r="A233" t="str">
            <v>Korchuk, Viacheslav I.</v>
          </cell>
          <cell r="B233" t="str">
            <v>korchuk@andrews.edu</v>
          </cell>
          <cell r="C233" t="str">
            <v>000097153</v>
          </cell>
        </row>
        <row r="234">
          <cell r="A234" t="str">
            <v>Kwon, Sung K.</v>
          </cell>
          <cell r="B234" t="str">
            <v>kwons@andrews.edu</v>
          </cell>
          <cell r="C234" t="str">
            <v>000073236</v>
          </cell>
        </row>
        <row r="235">
          <cell r="A235" t="str">
            <v>Machado, Carlos A.</v>
          </cell>
          <cell r="B235" t="str">
            <v>machado@andrews.edu</v>
          </cell>
          <cell r="C235" t="str">
            <v>000117818</v>
          </cell>
        </row>
        <row r="236">
          <cell r="A236" t="str">
            <v>Matthews, John V.</v>
          </cell>
          <cell r="B236" t="str">
            <v>johnmatt@andrews.edu</v>
          </cell>
          <cell r="C236" t="str">
            <v>000021462</v>
          </cell>
        </row>
        <row r="237">
          <cell r="A237" t="str">
            <v>Miller, Nicholas P.</v>
          </cell>
          <cell r="B237" t="str">
            <v>nicholas@andrews.edu</v>
          </cell>
          <cell r="C237" t="str">
            <v>000050696</v>
          </cell>
        </row>
        <row r="238">
          <cell r="A238" t="str">
            <v>Moon, Jerry A.</v>
          </cell>
          <cell r="B238" t="str">
            <v>jmoon@andrews.edu</v>
          </cell>
          <cell r="C238" t="str">
            <v>000018492</v>
          </cell>
        </row>
        <row r="239">
          <cell r="A239" t="str">
            <v>Moskala, Jiri</v>
          </cell>
          <cell r="B239" t="str">
            <v>moskala@andrews.edu</v>
          </cell>
          <cell r="C239" t="str">
            <v>000036790</v>
          </cell>
        </row>
        <row r="240">
          <cell r="A240" t="str">
            <v>Muran, Alexej</v>
          </cell>
          <cell r="B240" t="str">
            <v>muran@andrews.edu</v>
          </cell>
          <cell r="C240" t="str">
            <v>000118655</v>
          </cell>
        </row>
        <row r="241">
          <cell r="A241" t="str">
            <v>Nogueira, Lincoln</v>
          </cell>
          <cell r="B241" t="str">
            <v>nogueirl@andrews.edu</v>
          </cell>
          <cell r="C241" t="str">
            <v>000086036</v>
          </cell>
        </row>
        <row r="242">
          <cell r="A242" t="str">
            <v>Norton, Ricardo</v>
          </cell>
          <cell r="B242" t="str">
            <v>ricardo@andrews.edu</v>
          </cell>
          <cell r="C242" t="str">
            <v>000033967</v>
          </cell>
        </row>
        <row r="243">
          <cell r="A243" t="str">
            <v>O'Reggio, Trevor E.</v>
          </cell>
          <cell r="B243" t="str">
            <v>toreggio@andrews.edu</v>
          </cell>
          <cell r="C243" t="str">
            <v>000035762</v>
          </cell>
        </row>
        <row r="244">
          <cell r="A244" t="str">
            <v>Ortiz, Luis F.</v>
          </cell>
          <cell r="B244" t="str">
            <v>ortizl@andrews.edu</v>
          </cell>
          <cell r="C244" t="str">
            <v>000069315</v>
          </cell>
        </row>
        <row r="245">
          <cell r="A245" t="str">
            <v>Pagan, Samuel</v>
          </cell>
          <cell r="B245" t="str">
            <v>pagan@andrews.edu</v>
          </cell>
          <cell r="C245" t="str">
            <v>000067278</v>
          </cell>
        </row>
        <row r="246">
          <cell r="A246" t="str">
            <v>Paquini, Rogelio</v>
          </cell>
          <cell r="B246" t="str">
            <v>rpaquini@andrews.edu</v>
          </cell>
          <cell r="C246" t="str">
            <v>000105171</v>
          </cell>
        </row>
        <row r="247">
          <cell r="A247" t="str">
            <v>Petrishchev, Anton</v>
          </cell>
          <cell r="B247" t="str">
            <v>petrisch@andrews.edu</v>
          </cell>
          <cell r="C247" t="str">
            <v>000116224</v>
          </cell>
        </row>
        <row r="248">
          <cell r="A248" t="str">
            <v>Ponyatovsky, Felix</v>
          </cell>
          <cell r="B248" t="str">
            <v>ponyatov@andrews.edu</v>
          </cell>
          <cell r="C248" t="str">
            <v>000116220</v>
          </cell>
        </row>
        <row r="249">
          <cell r="A249" t="str">
            <v>Quispe, Gluder</v>
          </cell>
          <cell r="B249" t="str">
            <v>gluder@andrews.edu</v>
          </cell>
          <cell r="C249" t="str">
            <v>000122528</v>
          </cell>
        </row>
        <row r="250">
          <cell r="A250" t="str">
            <v>Ray, Paul J.</v>
          </cell>
          <cell r="B250" t="str">
            <v>rayp@andrews.edu</v>
          </cell>
          <cell r="C250" t="str">
            <v>000029934</v>
          </cell>
        </row>
        <row r="251">
          <cell r="A251" t="str">
            <v>Reeve, John W.</v>
          </cell>
          <cell r="B251" t="str">
            <v>jreeve@andrews.edu</v>
          </cell>
          <cell r="C251" t="str">
            <v>000049018</v>
          </cell>
        </row>
        <row r="252">
          <cell r="A252" t="str">
            <v>Richards, Natasha A.</v>
          </cell>
          <cell r="B252" t="str">
            <v>richardsn@andrews.edu</v>
          </cell>
          <cell r="C252" t="str">
            <v>000230576</v>
          </cell>
        </row>
        <row r="253">
          <cell r="A253" t="str">
            <v>Sanou, Boubakar</v>
          </cell>
          <cell r="B253" t="str">
            <v>sanou@andrews.edu</v>
          </cell>
          <cell r="C253" t="str">
            <v>000098144</v>
          </cell>
        </row>
        <row r="254">
          <cell r="A254" t="str">
            <v>Shepherd, Thomas R.</v>
          </cell>
          <cell r="B254" t="str">
            <v>trs@andrews.edu</v>
          </cell>
          <cell r="C254" t="str">
            <v>000033676</v>
          </cell>
        </row>
        <row r="255">
          <cell r="A255" t="str">
            <v>Valenzuela, Alfonso</v>
          </cell>
          <cell r="B255" t="str">
            <v>vale@andrews.edu</v>
          </cell>
          <cell r="C255" t="str">
            <v>000033969</v>
          </cell>
        </row>
        <row r="256">
          <cell r="A256" t="str">
            <v>Williams, David A.</v>
          </cell>
          <cell r="B256" t="str">
            <v>wdavid@andrews.edu</v>
          </cell>
          <cell r="C256" t="str">
            <v>000124996</v>
          </cell>
        </row>
        <row r="257">
          <cell r="A257" t="str">
            <v>Yeagley, Stephen T.</v>
          </cell>
          <cell r="B257" t="str">
            <v>yeagley@andrews.edu</v>
          </cell>
          <cell r="C257" t="str">
            <v>000041250</v>
          </cell>
        </row>
        <row r="258">
          <cell r="A258" t="str">
            <v>Younker, Randall W.</v>
          </cell>
          <cell r="B258" t="str">
            <v>younker@andrews.edu</v>
          </cell>
          <cell r="C258" t="str">
            <v>000042559</v>
          </cell>
        </row>
      </sheetData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mailto:iho@andrews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 summaryRight="0"/>
  </sheetPr>
  <dimension ref="A1:WP46"/>
  <sheetViews>
    <sheetView zoomScaleNormal="100" workbookViewId="0">
      <pane xSplit="15" ySplit="1" topLeftCell="P2" activePane="bottomRight" state="frozen"/>
      <selection pane="topRight"/>
      <selection pane="bottomLeft"/>
      <selection pane="bottomRight" activeCell="AQ1" sqref="AQ1"/>
    </sheetView>
  </sheetViews>
  <sheetFormatPr baseColWidth="10" defaultColWidth="8.83203125" defaultRowHeight="15" outlineLevelCol="1" x14ac:dyDescent="0.2"/>
  <cols>
    <col min="1" max="6" width="4" customWidth="1"/>
    <col min="7" max="7" width="18" customWidth="1"/>
    <col min="8" max="8" width="9" customWidth="1"/>
    <col min="9" max="10" width="6" customWidth="1"/>
    <col min="11" max="12" width="5" customWidth="1"/>
    <col min="13" max="13" width="4" customWidth="1"/>
    <col min="14" max="14" width="32" customWidth="1"/>
    <col min="15" max="15" width="10.5" customWidth="1"/>
    <col min="16" max="16" width="37" customWidth="1"/>
    <col min="17" max="17" width="7.6640625" bestFit="1" customWidth="1" outlineLevel="1"/>
    <col min="18" max="19" width="4" customWidth="1" outlineLevel="1"/>
    <col min="20" max="20" width="11" bestFit="1" customWidth="1" outlineLevel="1"/>
    <col min="21" max="21" width="10.33203125" bestFit="1" customWidth="1" outlineLevel="1"/>
    <col min="22" max="22" width="4" customWidth="1" outlineLevel="1"/>
    <col min="23" max="23" width="7.6640625" bestFit="1" customWidth="1"/>
    <col min="24" max="24" width="3.83203125" customWidth="1" outlineLevel="1"/>
    <col min="25" max="25" width="5" customWidth="1" outlineLevel="1"/>
    <col min="26" max="26" width="6" customWidth="1" outlineLevel="1"/>
    <col min="27" max="27" width="10" customWidth="1" collapsed="1"/>
    <col min="28" max="34" width="10" hidden="1" customWidth="1" outlineLevel="1"/>
    <col min="35" max="35" width="6" customWidth="1"/>
    <col min="36" max="36" width="6" customWidth="1" outlineLevel="1"/>
    <col min="37" max="43" width="3.1640625" customWidth="1" outlineLevel="1"/>
    <col min="44" max="44" width="6" customWidth="1" outlineLevel="1"/>
    <col min="45" max="45" width="25" customWidth="1" outlineLevel="1"/>
    <col min="46" max="47" width="20" customWidth="1" outlineLevel="1"/>
    <col min="48" max="48" width="10" customWidth="1" outlineLevel="1"/>
    <col min="49" max="49" width="7.6640625" bestFit="1" customWidth="1" outlineLevel="1"/>
    <col min="50" max="50" width="4.83203125" bestFit="1" customWidth="1"/>
    <col min="51" max="52" width="4" hidden="1" customWidth="1" outlineLevel="1"/>
    <col min="53" max="53" width="20.6640625" bestFit="1" customWidth="1" outlineLevel="1"/>
    <col min="54" max="54" width="4" customWidth="1"/>
    <col min="55" max="59" width="4" customWidth="1" outlineLevel="1"/>
    <col min="60" max="60" width="6" customWidth="1" outlineLevel="1"/>
    <col min="61" max="61" width="11" customWidth="1" outlineLevel="1"/>
    <col min="62" max="64" width="4" customWidth="1" outlineLevel="1"/>
    <col min="65" max="65" width="11" customWidth="1" outlineLevel="1"/>
    <col min="66" max="66" width="4" customWidth="1" outlineLevel="1"/>
    <col min="67" max="67" width="7" customWidth="1" outlineLevel="1"/>
    <col min="68" max="68" width="4" customWidth="1" outlineLevel="1"/>
    <col min="69" max="69" width="18" customWidth="1" outlineLevel="1"/>
    <col min="70" max="96" width="4" customWidth="1" outlineLevel="1"/>
    <col min="97" max="97" width="6" customWidth="1" outlineLevel="1"/>
    <col min="98" max="98" width="8" customWidth="1" outlineLevel="1"/>
    <col min="99" max="100" width="4" customWidth="1" outlineLevel="1"/>
  </cols>
  <sheetData>
    <row r="1" spans="1:614" ht="15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 t="s">
        <v>22</v>
      </c>
      <c r="X1" s="1" t="s">
        <v>23</v>
      </c>
      <c r="Y1" s="1" t="s">
        <v>24</v>
      </c>
      <c r="Z1" s="1" t="s">
        <v>25</v>
      </c>
      <c r="AA1" s="3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</row>
    <row r="2" spans="1:614" s="54" customFormat="1" x14ac:dyDescent="0.2">
      <c r="A2" s="58" t="b">
        <v>0</v>
      </c>
      <c r="B2" s="92" t="b">
        <v>0</v>
      </c>
      <c r="C2" s="92" t="b">
        <v>1</v>
      </c>
      <c r="D2" s="92" t="b">
        <v>0</v>
      </c>
      <c r="E2" s="92" t="b">
        <v>0</v>
      </c>
      <c r="F2" s="92" t="b">
        <v>0</v>
      </c>
      <c r="G2" s="59" t="s">
        <v>100</v>
      </c>
      <c r="H2" s="4" t="s">
        <v>101</v>
      </c>
      <c r="I2" s="4" t="s">
        <v>102</v>
      </c>
      <c r="J2" s="4" t="s">
        <v>103</v>
      </c>
      <c r="K2" s="4" t="s">
        <v>104</v>
      </c>
      <c r="L2" s="4" t="s">
        <v>105</v>
      </c>
      <c r="M2" s="4"/>
      <c r="N2" s="4" t="s">
        <v>106</v>
      </c>
      <c r="O2" s="4"/>
      <c r="P2" s="4"/>
      <c r="Q2" s="4" t="s">
        <v>107</v>
      </c>
      <c r="R2" s="4" t="s">
        <v>108</v>
      </c>
      <c r="S2" s="4" t="s">
        <v>108</v>
      </c>
      <c r="T2" s="4" t="s">
        <v>109</v>
      </c>
      <c r="U2" s="4" t="s">
        <v>110</v>
      </c>
      <c r="V2" s="4" t="s">
        <v>111</v>
      </c>
      <c r="W2" s="4" t="s">
        <v>112</v>
      </c>
      <c r="X2" s="4"/>
      <c r="Y2" s="4" t="s">
        <v>113</v>
      </c>
      <c r="Z2" s="4" t="s">
        <v>114</v>
      </c>
      <c r="AA2" s="4" t="s">
        <v>115</v>
      </c>
      <c r="AB2" s="4"/>
      <c r="AC2" s="4"/>
      <c r="AD2" s="4" t="s">
        <v>115</v>
      </c>
      <c r="AE2" s="4" t="s">
        <v>116</v>
      </c>
      <c r="AF2" s="4"/>
      <c r="AG2" s="4"/>
      <c r="AH2" s="4" t="s">
        <v>116</v>
      </c>
      <c r="AI2" s="4" t="s">
        <v>117</v>
      </c>
      <c r="AJ2" s="4" t="s">
        <v>118</v>
      </c>
      <c r="AK2" s="4"/>
      <c r="AL2" s="4" t="s">
        <v>119</v>
      </c>
      <c r="AM2" s="4"/>
      <c r="AN2" s="4"/>
      <c r="AO2" s="4"/>
      <c r="AP2" s="4"/>
      <c r="AQ2" s="4"/>
      <c r="AR2" s="4"/>
      <c r="AS2" s="4"/>
      <c r="AT2" s="4" t="s">
        <v>120</v>
      </c>
      <c r="AU2" s="5" t="str">
        <f>IF($AT2="","",IFERROR(INDEX(InstructorMap!$B:$B, MATCH($AT2, InstructorMap!$A:$A, 0)),""))</f>
        <v>jreeve@andrews.edu</v>
      </c>
      <c r="AV2" s="5" t="str">
        <f>IF($AT2="","",IFERROR(INDEX(InstructorMap!$C:$C, MATCH($AT2, InstructorMap!$A:$A, 0)),""))</f>
        <v>000049018</v>
      </c>
      <c r="AW2" s="4" t="s">
        <v>121</v>
      </c>
      <c r="AX2" s="4" t="s">
        <v>122</v>
      </c>
      <c r="AY2" s="4"/>
      <c r="AZ2" s="4"/>
      <c r="BA2" s="4" t="s">
        <v>123</v>
      </c>
      <c r="BB2" s="4"/>
      <c r="BC2" s="91"/>
      <c r="BD2" s="91"/>
      <c r="BE2" s="91"/>
      <c r="BF2" s="91"/>
      <c r="BG2" s="91"/>
      <c r="BH2" s="4" t="s">
        <v>103</v>
      </c>
      <c r="BI2" s="4" t="s">
        <v>124</v>
      </c>
      <c r="BJ2" s="4" t="s">
        <v>125</v>
      </c>
      <c r="BK2" s="4"/>
      <c r="BL2" s="4" t="s">
        <v>126</v>
      </c>
      <c r="BM2" s="4"/>
      <c r="BN2" s="4"/>
      <c r="BO2" s="4" t="s">
        <v>127</v>
      </c>
      <c r="BP2" s="4"/>
      <c r="BQ2" s="4"/>
      <c r="BR2" s="4"/>
      <c r="BS2" s="4"/>
      <c r="BT2" s="4" t="s">
        <v>128</v>
      </c>
      <c r="BU2" s="4" t="s">
        <v>129</v>
      </c>
      <c r="BV2" s="4" t="s">
        <v>129</v>
      </c>
      <c r="BW2" s="4" t="s">
        <v>130</v>
      </c>
      <c r="BX2" s="4" t="s">
        <v>131</v>
      </c>
      <c r="BY2" s="4"/>
      <c r="BZ2" s="4"/>
      <c r="CA2" s="4"/>
      <c r="CB2" s="4"/>
      <c r="CC2" s="4"/>
      <c r="CD2" s="4"/>
      <c r="CE2" s="4"/>
      <c r="CF2" s="4" t="s">
        <v>130</v>
      </c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 t="s">
        <v>132</v>
      </c>
      <c r="CT2" s="4" t="s">
        <v>133</v>
      </c>
      <c r="CU2" s="4" t="s">
        <v>134</v>
      </c>
      <c r="CV2" s="4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</row>
    <row r="3" spans="1:614" s="54" customFormat="1" x14ac:dyDescent="0.2">
      <c r="A3" s="26" t="b">
        <v>0</v>
      </c>
      <c r="B3" s="26" t="b">
        <v>0</v>
      </c>
      <c r="C3" s="35" t="b">
        <v>1</v>
      </c>
      <c r="D3" s="26" t="b">
        <v>0</v>
      </c>
      <c r="E3" s="26" t="b">
        <v>0</v>
      </c>
      <c r="F3" s="26" t="b">
        <v>0</v>
      </c>
      <c r="G3" s="63"/>
      <c r="H3" s="4" t="s">
        <v>135</v>
      </c>
      <c r="I3" s="4" t="s">
        <v>136</v>
      </c>
      <c r="J3" s="4" t="s">
        <v>103</v>
      </c>
      <c r="K3" s="4" t="s">
        <v>104</v>
      </c>
      <c r="L3" s="4" t="s">
        <v>137</v>
      </c>
      <c r="M3" s="4"/>
      <c r="N3" s="4" t="s">
        <v>138</v>
      </c>
      <c r="O3" s="4"/>
      <c r="P3" s="4"/>
      <c r="Q3" s="4" t="s">
        <v>107</v>
      </c>
      <c r="R3" s="4" t="s">
        <v>129</v>
      </c>
      <c r="S3" s="4"/>
      <c r="T3" s="4" t="s">
        <v>139</v>
      </c>
      <c r="U3" s="4" t="s">
        <v>140</v>
      </c>
      <c r="V3" s="4" t="s">
        <v>111</v>
      </c>
      <c r="W3" s="4" t="s">
        <v>112</v>
      </c>
      <c r="X3" s="4" t="s">
        <v>112</v>
      </c>
      <c r="Y3" s="4" t="s">
        <v>141</v>
      </c>
      <c r="Z3" s="4" t="s">
        <v>142</v>
      </c>
      <c r="AA3" s="4" t="s">
        <v>115</v>
      </c>
      <c r="AB3" s="4"/>
      <c r="AC3" s="4"/>
      <c r="AD3" s="4" t="s">
        <v>115</v>
      </c>
      <c r="AE3" s="4" t="s">
        <v>116</v>
      </c>
      <c r="AF3" s="4"/>
      <c r="AG3" s="4"/>
      <c r="AH3" s="4" t="s">
        <v>116</v>
      </c>
      <c r="AI3" s="4" t="s">
        <v>117</v>
      </c>
      <c r="AJ3" s="4" t="s">
        <v>118</v>
      </c>
      <c r="AK3" s="4"/>
      <c r="AL3" s="4" t="s">
        <v>119</v>
      </c>
      <c r="AM3" s="4"/>
      <c r="AN3" s="4"/>
      <c r="AO3" s="4"/>
      <c r="AP3" s="4"/>
      <c r="AQ3" s="4"/>
      <c r="AR3" s="4" t="s">
        <v>143</v>
      </c>
      <c r="AS3" s="4" t="s">
        <v>144</v>
      </c>
      <c r="AT3" s="4" t="s">
        <v>120</v>
      </c>
      <c r="AU3" s="5" t="str">
        <f>IF($AT3="","",IFERROR(INDEX(InstructorMap!$B:$B, MATCH($AT3, InstructorMap!$A:$A, 0)),""))</f>
        <v>jreeve@andrews.edu</v>
      </c>
      <c r="AV3" s="5" t="str">
        <f>IF($AT3="","",IFERROR(INDEX(InstructorMap!$C:$C, MATCH($AT3, InstructorMap!$A:$A, 0)),""))</f>
        <v>000049018</v>
      </c>
      <c r="AW3" s="4" t="s">
        <v>121</v>
      </c>
      <c r="AX3" s="4" t="s">
        <v>122</v>
      </c>
      <c r="AY3" s="4"/>
      <c r="AZ3" s="4"/>
      <c r="BA3" s="4" t="s">
        <v>123</v>
      </c>
      <c r="BB3" s="4"/>
      <c r="BC3" s="4"/>
      <c r="BD3" s="4"/>
      <c r="BE3" s="4"/>
      <c r="BF3" s="4"/>
      <c r="BG3" s="4"/>
      <c r="BH3" s="4" t="s">
        <v>103</v>
      </c>
      <c r="BI3" s="4" t="s">
        <v>124</v>
      </c>
      <c r="BJ3" s="4" t="s">
        <v>125</v>
      </c>
      <c r="BK3" s="4"/>
      <c r="BL3" s="4" t="s">
        <v>125</v>
      </c>
      <c r="BM3" s="4"/>
      <c r="BN3" s="4"/>
      <c r="BO3" s="4" t="s">
        <v>127</v>
      </c>
      <c r="BP3" s="4"/>
      <c r="BQ3" s="4"/>
      <c r="BR3" s="4"/>
      <c r="BS3" s="4"/>
      <c r="BT3" s="4" t="s">
        <v>128</v>
      </c>
      <c r="BU3" s="4" t="s">
        <v>129</v>
      </c>
      <c r="BV3" s="4" t="s">
        <v>145</v>
      </c>
      <c r="BW3" s="4" t="s">
        <v>130</v>
      </c>
      <c r="BX3" s="4" t="s">
        <v>131</v>
      </c>
      <c r="BY3" s="4"/>
      <c r="BZ3" s="4"/>
      <c r="CA3" s="4"/>
      <c r="CB3" s="4"/>
      <c r="CC3" s="4"/>
      <c r="CD3" s="4"/>
      <c r="CE3" s="4"/>
      <c r="CF3" s="4" t="s">
        <v>130</v>
      </c>
      <c r="CG3" s="4"/>
      <c r="CH3" s="4" t="s">
        <v>131</v>
      </c>
      <c r="CI3" s="4"/>
      <c r="CJ3" s="4"/>
      <c r="CK3" s="4"/>
      <c r="CL3" s="4"/>
      <c r="CM3" s="4"/>
      <c r="CN3" s="4"/>
      <c r="CO3" s="4"/>
      <c r="CP3" s="4"/>
      <c r="CQ3" s="4"/>
      <c r="CR3" s="4"/>
      <c r="CS3" s="4" t="s">
        <v>146</v>
      </c>
      <c r="CT3" s="4" t="s">
        <v>133</v>
      </c>
      <c r="CU3" s="4" t="s">
        <v>134</v>
      </c>
      <c r="CV3" s="4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</row>
    <row r="4" spans="1:614" x14ac:dyDescent="0.2">
      <c r="A4" s="33" t="b">
        <v>0</v>
      </c>
      <c r="B4" s="34" t="b">
        <v>0</v>
      </c>
      <c r="C4" s="33" t="b">
        <v>1</v>
      </c>
      <c r="D4" s="34" t="b">
        <v>0</v>
      </c>
      <c r="E4" s="34" t="b">
        <v>0</v>
      </c>
      <c r="F4" s="32" t="b">
        <v>0</v>
      </c>
      <c r="G4" s="60" t="s">
        <v>100</v>
      </c>
      <c r="H4" s="17"/>
      <c r="I4" s="56" t="s">
        <v>147</v>
      </c>
      <c r="J4" s="17" t="s">
        <v>103</v>
      </c>
      <c r="K4" s="17" t="s">
        <v>104</v>
      </c>
      <c r="L4" s="17" t="s">
        <v>148</v>
      </c>
      <c r="M4" s="17"/>
      <c r="N4" s="17" t="s">
        <v>106</v>
      </c>
      <c r="O4" s="17"/>
      <c r="P4" s="17"/>
      <c r="Q4" s="17"/>
      <c r="R4" s="17" t="s">
        <v>108</v>
      </c>
      <c r="S4" s="17"/>
      <c r="T4" s="17" t="s">
        <v>109</v>
      </c>
      <c r="U4" s="17" t="s">
        <v>149</v>
      </c>
      <c r="V4" s="17" t="s">
        <v>111</v>
      </c>
      <c r="W4" s="17" t="s">
        <v>112</v>
      </c>
      <c r="X4" s="17" t="s">
        <v>150</v>
      </c>
      <c r="Y4" s="17" t="s">
        <v>151</v>
      </c>
      <c r="Z4" s="17" t="s">
        <v>114</v>
      </c>
      <c r="AA4" s="17" t="s">
        <v>115</v>
      </c>
      <c r="AB4" s="17"/>
      <c r="AC4" s="17"/>
      <c r="AD4" s="17" t="s">
        <v>115</v>
      </c>
      <c r="AE4" s="17" t="s">
        <v>116</v>
      </c>
      <c r="AF4" s="17"/>
      <c r="AG4" s="17"/>
      <c r="AH4" s="17" t="s">
        <v>116</v>
      </c>
      <c r="AI4" s="56" t="s">
        <v>147</v>
      </c>
      <c r="AJ4" s="56" t="s">
        <v>147</v>
      </c>
      <c r="AK4" s="17"/>
      <c r="AL4" s="17"/>
      <c r="AM4" s="17"/>
      <c r="AN4" s="17"/>
      <c r="AO4" s="17"/>
      <c r="AP4" s="17"/>
      <c r="AQ4" s="17"/>
      <c r="AR4" s="17"/>
      <c r="AS4" s="17"/>
      <c r="AT4" s="17" t="s">
        <v>120</v>
      </c>
      <c r="AU4" s="57" t="str">
        <f>IF($AT4="","",IFERROR(INDEX(InstructorMap!$B:$B, MATCH($AT4, InstructorMap!$A:$A, 0)),""))</f>
        <v>jreeve@andrews.edu</v>
      </c>
      <c r="AV4" s="57" t="str">
        <f>IF($AT4="","",IFERROR(INDEX(InstructorMap!$C:$C, MATCH($AT4, InstructorMap!$A:$A, 0)),""))</f>
        <v>000049018</v>
      </c>
      <c r="AW4" s="17" t="s">
        <v>121</v>
      </c>
      <c r="AX4" s="17" t="s">
        <v>122</v>
      </c>
      <c r="AY4" s="17"/>
      <c r="AZ4" s="17"/>
      <c r="BA4" s="17" t="s">
        <v>123</v>
      </c>
      <c r="BB4" s="17"/>
      <c r="BC4" s="91"/>
      <c r="BD4" s="91"/>
      <c r="BE4" s="91"/>
      <c r="BF4" s="91"/>
      <c r="BG4" s="91"/>
      <c r="BH4" s="17" t="s">
        <v>103</v>
      </c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56" t="s">
        <v>147</v>
      </c>
      <c r="CT4" s="17" t="s">
        <v>133</v>
      </c>
      <c r="CU4" s="17"/>
      <c r="CV4" s="17"/>
    </row>
    <row r="5" spans="1:614" x14ac:dyDescent="0.2">
      <c r="A5" s="45" t="b">
        <v>0</v>
      </c>
      <c r="B5" s="45" t="b">
        <v>0</v>
      </c>
      <c r="C5" s="58" t="b">
        <v>1</v>
      </c>
      <c r="D5" s="45" t="b">
        <v>0</v>
      </c>
      <c r="E5" s="45" t="b">
        <v>0</v>
      </c>
      <c r="F5" s="45" t="b">
        <v>0</v>
      </c>
      <c r="G5" s="65" t="s">
        <v>152</v>
      </c>
      <c r="H5" s="24" t="s">
        <v>153</v>
      </c>
      <c r="I5" s="4" t="s">
        <v>154</v>
      </c>
      <c r="J5" s="4" t="s">
        <v>103</v>
      </c>
      <c r="K5" s="4" t="s">
        <v>155</v>
      </c>
      <c r="L5" s="4" t="s">
        <v>148</v>
      </c>
      <c r="M5" s="4"/>
      <c r="N5" s="4" t="s">
        <v>156</v>
      </c>
      <c r="O5" s="4"/>
      <c r="P5" s="4"/>
      <c r="Q5" s="4"/>
      <c r="R5" s="4" t="s">
        <v>108</v>
      </c>
      <c r="S5" s="4"/>
      <c r="T5" s="4" t="s">
        <v>109</v>
      </c>
      <c r="U5" s="4" t="s">
        <v>149</v>
      </c>
      <c r="V5" s="4" t="s">
        <v>111</v>
      </c>
      <c r="W5" s="4" t="s">
        <v>157</v>
      </c>
      <c r="X5" s="4" t="s">
        <v>158</v>
      </c>
      <c r="Y5" s="4" t="s">
        <v>113</v>
      </c>
      <c r="Z5" s="4" t="s">
        <v>114</v>
      </c>
      <c r="AA5" s="4" t="s">
        <v>115</v>
      </c>
      <c r="AB5" s="4"/>
      <c r="AC5" s="4"/>
      <c r="AD5" s="4" t="s">
        <v>115</v>
      </c>
      <c r="AE5" s="4" t="s">
        <v>116</v>
      </c>
      <c r="AF5" s="4"/>
      <c r="AG5" s="4"/>
      <c r="AH5" s="4" t="s">
        <v>116</v>
      </c>
      <c r="AI5" s="10" t="s">
        <v>147</v>
      </c>
      <c r="AJ5" s="10" t="s">
        <v>147</v>
      </c>
      <c r="AK5" s="4"/>
      <c r="AL5" s="4"/>
      <c r="AM5" s="4"/>
      <c r="AN5" s="4"/>
      <c r="AO5" s="4"/>
      <c r="AP5" s="4"/>
      <c r="AQ5" s="4"/>
      <c r="AR5" s="4"/>
      <c r="AS5" s="4"/>
      <c r="AT5" s="59" t="s">
        <v>159</v>
      </c>
      <c r="AU5" s="5" t="str">
        <f>IF($AT5="","",IFERROR(INDEX(InstructorMap!$B:$B, MATCH($AT5, InstructorMap!$A:$A, 0)),""))</f>
        <v>heber@andrews.edu</v>
      </c>
      <c r="AV5" s="5" t="str">
        <f>IF($AT5="","",IFERROR(INDEX(InstructorMap!$C:$C, MATCH($AT5, InstructorMap!$A:$A, 0)),""))</f>
        <v>000147941</v>
      </c>
      <c r="AW5" s="4" t="s">
        <v>121</v>
      </c>
      <c r="AX5" s="4" t="s">
        <v>160</v>
      </c>
      <c r="AY5" s="4" t="s">
        <v>161</v>
      </c>
      <c r="AZ5" s="4"/>
      <c r="BA5" s="4" t="s">
        <v>123</v>
      </c>
      <c r="BB5" s="4"/>
      <c r="BC5" s="91"/>
      <c r="BD5" s="91"/>
      <c r="BE5" s="91"/>
      <c r="BF5" s="91"/>
      <c r="BG5" s="91"/>
      <c r="BH5" s="4" t="s">
        <v>103</v>
      </c>
      <c r="BI5" s="4" t="s">
        <v>124</v>
      </c>
      <c r="BJ5" s="4" t="s">
        <v>125</v>
      </c>
      <c r="BK5" s="4"/>
      <c r="BL5" s="4" t="s">
        <v>126</v>
      </c>
      <c r="BM5" s="4"/>
      <c r="BN5" s="4"/>
      <c r="BO5" s="4" t="s">
        <v>127</v>
      </c>
      <c r="BP5" s="4"/>
      <c r="BQ5" s="4"/>
      <c r="BR5" s="4"/>
      <c r="BS5" s="4"/>
      <c r="BT5" s="4" t="s">
        <v>128</v>
      </c>
      <c r="BU5" s="4" t="s">
        <v>129</v>
      </c>
      <c r="BV5" s="4" t="s">
        <v>129</v>
      </c>
      <c r="BW5" s="4" t="s">
        <v>130</v>
      </c>
      <c r="BX5" s="4"/>
      <c r="BY5" s="4"/>
      <c r="BZ5" s="4"/>
      <c r="CA5" s="4"/>
      <c r="CB5" s="4"/>
      <c r="CC5" s="4"/>
      <c r="CD5" s="4"/>
      <c r="CE5" s="4"/>
      <c r="CF5" s="4" t="s">
        <v>130</v>
      </c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10" t="s">
        <v>147</v>
      </c>
      <c r="CT5" s="4" t="s">
        <v>133</v>
      </c>
      <c r="CU5" s="4" t="s">
        <v>134</v>
      </c>
      <c r="CV5" s="4"/>
    </row>
    <row r="6" spans="1:614" s="54" customFormat="1" x14ac:dyDescent="0.2">
      <c r="A6" s="45" t="b">
        <v>0</v>
      </c>
      <c r="B6" s="45" t="b">
        <v>0</v>
      </c>
      <c r="C6" s="58" t="b">
        <v>1</v>
      </c>
      <c r="D6" s="45" t="b">
        <v>0</v>
      </c>
      <c r="E6" s="45" t="b">
        <v>0</v>
      </c>
      <c r="F6" s="45" t="b">
        <v>0</v>
      </c>
      <c r="G6" s="60" t="s">
        <v>152</v>
      </c>
      <c r="H6" s="4" t="s">
        <v>162</v>
      </c>
      <c r="I6" s="4" t="s">
        <v>163</v>
      </c>
      <c r="J6" s="4" t="s">
        <v>103</v>
      </c>
      <c r="K6" s="4" t="s">
        <v>164</v>
      </c>
      <c r="L6" s="4" t="s">
        <v>148</v>
      </c>
      <c r="M6" s="4"/>
      <c r="N6" s="4" t="s">
        <v>165</v>
      </c>
      <c r="O6" s="4"/>
      <c r="P6" s="4"/>
      <c r="Q6" s="4"/>
      <c r="R6" s="4" t="s">
        <v>108</v>
      </c>
      <c r="S6" s="4"/>
      <c r="T6" s="4" t="s">
        <v>109</v>
      </c>
      <c r="U6" s="4" t="s">
        <v>149</v>
      </c>
      <c r="V6" s="4" t="s">
        <v>111</v>
      </c>
      <c r="W6" s="4" t="s">
        <v>157</v>
      </c>
      <c r="X6" s="4" t="s">
        <v>158</v>
      </c>
      <c r="Y6" s="4" t="s">
        <v>113</v>
      </c>
      <c r="Z6" s="4" t="s">
        <v>114</v>
      </c>
      <c r="AA6" s="4" t="s">
        <v>115</v>
      </c>
      <c r="AB6" s="4"/>
      <c r="AC6" s="4"/>
      <c r="AD6" s="4" t="s">
        <v>115</v>
      </c>
      <c r="AE6" s="4" t="s">
        <v>116</v>
      </c>
      <c r="AF6" s="4"/>
      <c r="AG6" s="4"/>
      <c r="AH6" s="4" t="s">
        <v>116</v>
      </c>
      <c r="AI6" s="10" t="s">
        <v>147</v>
      </c>
      <c r="AJ6" s="10" t="s">
        <v>147</v>
      </c>
      <c r="AK6" s="4"/>
      <c r="AL6" s="4"/>
      <c r="AM6" s="4"/>
      <c r="AN6" s="4"/>
      <c r="AO6" s="4"/>
      <c r="AP6" s="4"/>
      <c r="AQ6" s="4"/>
      <c r="AR6" s="4"/>
      <c r="AS6" s="4"/>
      <c r="AT6" s="59" t="s">
        <v>166</v>
      </c>
      <c r="AU6" s="5" t="str">
        <f>IF($AT6="","",IFERROR(INDEX(InstructorMap!$B:$B, MATCH($AT6, InstructorMap!$A:$A, 0)),""))</f>
        <v>steger@andrews.edu</v>
      </c>
      <c r="AV6" s="5" t="str">
        <f>IF($AT6="","",IFERROR(INDEX(InstructorMap!$C:$C, MATCH($AT6, InstructorMap!$A:$A, 0)),""))</f>
        <v>000064286</v>
      </c>
      <c r="AW6" s="4"/>
      <c r="AX6" s="4" t="s">
        <v>160</v>
      </c>
      <c r="AY6" s="4" t="s">
        <v>161</v>
      </c>
      <c r="AZ6" s="4"/>
      <c r="BA6" s="4" t="s">
        <v>123</v>
      </c>
      <c r="BB6" s="4"/>
      <c r="BC6" s="91"/>
      <c r="BD6" s="91"/>
      <c r="BE6" s="91"/>
      <c r="BF6" s="91"/>
      <c r="BG6" s="91"/>
      <c r="BH6" s="4" t="s">
        <v>103</v>
      </c>
      <c r="BI6" s="4" t="s">
        <v>124</v>
      </c>
      <c r="BJ6" s="4" t="s">
        <v>125</v>
      </c>
      <c r="BK6" s="4"/>
      <c r="BL6" s="4" t="s">
        <v>126</v>
      </c>
      <c r="BM6" s="4"/>
      <c r="BN6" s="4"/>
      <c r="BO6" s="4" t="s">
        <v>127</v>
      </c>
      <c r="BP6" s="4"/>
      <c r="BQ6" s="4" t="s">
        <v>167</v>
      </c>
      <c r="BR6" s="4"/>
      <c r="BS6" s="4"/>
      <c r="BT6" s="4" t="s">
        <v>128</v>
      </c>
      <c r="BU6" s="4" t="s">
        <v>129</v>
      </c>
      <c r="BV6" s="4" t="s">
        <v>129</v>
      </c>
      <c r="BW6" s="4"/>
      <c r="BX6" s="4"/>
      <c r="BY6" s="4"/>
      <c r="BZ6" s="4"/>
      <c r="CA6" s="4"/>
      <c r="CB6" s="4"/>
      <c r="CC6" s="4"/>
      <c r="CD6" s="4"/>
      <c r="CE6" s="4"/>
      <c r="CF6" s="4" t="s">
        <v>130</v>
      </c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10" t="s">
        <v>147</v>
      </c>
      <c r="CT6" s="4" t="s">
        <v>133</v>
      </c>
      <c r="CU6" s="4" t="s">
        <v>134</v>
      </c>
      <c r="CV6" s="4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/>
      <c r="WG6"/>
      <c r="WH6"/>
      <c r="WI6"/>
      <c r="WJ6"/>
      <c r="WK6"/>
      <c r="WL6"/>
      <c r="WM6"/>
      <c r="WN6"/>
      <c r="WO6"/>
      <c r="WP6"/>
    </row>
    <row r="7" spans="1:614" x14ac:dyDescent="0.2">
      <c r="A7" s="26" t="b">
        <v>0</v>
      </c>
      <c r="B7" s="26" t="b">
        <v>0</v>
      </c>
      <c r="C7" s="35" t="b">
        <v>1</v>
      </c>
      <c r="D7" s="26" t="b">
        <v>0</v>
      </c>
      <c r="E7" s="26" t="b">
        <v>0</v>
      </c>
      <c r="F7" s="26" t="b">
        <v>0</v>
      </c>
      <c r="G7" s="63"/>
      <c r="H7" s="4" t="s">
        <v>168</v>
      </c>
      <c r="I7" s="4" t="s">
        <v>169</v>
      </c>
      <c r="J7" s="4" t="s">
        <v>103</v>
      </c>
      <c r="K7" s="4" t="s">
        <v>170</v>
      </c>
      <c r="L7" s="4" t="s">
        <v>137</v>
      </c>
      <c r="M7" s="4"/>
      <c r="N7" s="4" t="s">
        <v>171</v>
      </c>
      <c r="O7" s="4"/>
      <c r="P7" s="4"/>
      <c r="Q7" s="4" t="s">
        <v>172</v>
      </c>
      <c r="R7" s="4" t="s">
        <v>129</v>
      </c>
      <c r="S7" s="4"/>
      <c r="T7" s="4" t="s">
        <v>139</v>
      </c>
      <c r="U7" s="4" t="s">
        <v>140</v>
      </c>
      <c r="V7" s="4" t="s">
        <v>111</v>
      </c>
      <c r="W7" s="4" t="s">
        <v>173</v>
      </c>
      <c r="X7" s="4" t="s">
        <v>173</v>
      </c>
      <c r="Y7" s="4" t="s">
        <v>174</v>
      </c>
      <c r="Z7" s="4" t="s">
        <v>142</v>
      </c>
      <c r="AA7" s="4" t="s">
        <v>115</v>
      </c>
      <c r="AB7" s="4"/>
      <c r="AC7" s="4"/>
      <c r="AD7" s="4" t="s">
        <v>115</v>
      </c>
      <c r="AE7" s="4" t="s">
        <v>116</v>
      </c>
      <c r="AF7" s="4"/>
      <c r="AG7" s="4"/>
      <c r="AH7" s="4" t="s">
        <v>116</v>
      </c>
      <c r="AI7" s="4" t="s">
        <v>175</v>
      </c>
      <c r="AJ7" s="4" t="s">
        <v>176</v>
      </c>
      <c r="AK7" s="4"/>
      <c r="AL7" s="4" t="s">
        <v>119</v>
      </c>
      <c r="AM7" s="4"/>
      <c r="AN7" s="4" t="s">
        <v>177</v>
      </c>
      <c r="AO7" s="4"/>
      <c r="AP7" s="4"/>
      <c r="AQ7" s="4"/>
      <c r="AR7" s="4" t="s">
        <v>178</v>
      </c>
      <c r="AS7" s="4" t="s">
        <v>144</v>
      </c>
      <c r="AT7" s="4" t="s">
        <v>179</v>
      </c>
      <c r="AU7" s="5" t="str">
        <f>IF($AT7="","",IFERROR(INDEX(InstructorMap!$B:$B, MATCH($AT7, InstructorMap!$A:$A, 0)),""))</f>
        <v>angelika@andrews.edu</v>
      </c>
      <c r="AV7" s="5" t="str">
        <f>IF($AT7="","",IFERROR(INDEX(InstructorMap!$C:$C, MATCH($AT7, InstructorMap!$A:$A, 0)),""))</f>
        <v>000143159</v>
      </c>
      <c r="AW7" s="4"/>
      <c r="AX7" s="4" t="s">
        <v>160</v>
      </c>
      <c r="AY7" s="4" t="s">
        <v>180</v>
      </c>
      <c r="AZ7" s="4"/>
      <c r="BA7" s="4" t="s">
        <v>123</v>
      </c>
      <c r="BB7" s="4"/>
      <c r="BC7" s="4"/>
      <c r="BD7" s="4"/>
      <c r="BE7" s="4"/>
      <c r="BF7" s="4"/>
      <c r="BG7" s="4"/>
      <c r="BH7" s="4" t="s">
        <v>103</v>
      </c>
      <c r="BI7" s="4" t="s">
        <v>124</v>
      </c>
      <c r="BJ7" s="4" t="s">
        <v>125</v>
      </c>
      <c r="BK7" s="4"/>
      <c r="BL7" s="4" t="s">
        <v>125</v>
      </c>
      <c r="BM7" s="4"/>
      <c r="BN7" s="4"/>
      <c r="BO7" s="4" t="s">
        <v>127</v>
      </c>
      <c r="BP7" s="4"/>
      <c r="BQ7" s="4" t="s">
        <v>181</v>
      </c>
      <c r="BR7" s="4"/>
      <c r="BS7" s="4"/>
      <c r="BT7" s="4" t="s">
        <v>128</v>
      </c>
      <c r="BU7" s="4" t="s">
        <v>129</v>
      </c>
      <c r="BV7" s="4" t="s">
        <v>129</v>
      </c>
      <c r="BW7" s="4"/>
      <c r="BX7" s="4"/>
      <c r="BY7" s="4"/>
      <c r="BZ7" s="4"/>
      <c r="CA7" s="4"/>
      <c r="CB7" s="4"/>
      <c r="CC7" s="4"/>
      <c r="CD7" s="4"/>
      <c r="CE7" s="4"/>
      <c r="CF7" s="4" t="s">
        <v>130</v>
      </c>
      <c r="CG7" s="4"/>
      <c r="CH7" s="4" t="s">
        <v>131</v>
      </c>
      <c r="CI7" s="4"/>
      <c r="CJ7" s="4"/>
      <c r="CK7" s="4"/>
      <c r="CL7" s="4"/>
      <c r="CM7" s="4"/>
      <c r="CN7" s="4"/>
      <c r="CO7" s="4"/>
      <c r="CP7" s="4"/>
      <c r="CQ7" s="4"/>
      <c r="CR7" s="4"/>
      <c r="CS7" s="4" t="s">
        <v>146</v>
      </c>
      <c r="CT7" s="4" t="s">
        <v>133</v>
      </c>
      <c r="CU7" s="4" t="s">
        <v>134</v>
      </c>
      <c r="CV7" s="4"/>
    </row>
    <row r="8" spans="1:614" x14ac:dyDescent="0.2">
      <c r="A8" s="26" t="b">
        <v>0</v>
      </c>
      <c r="B8" s="26" t="b">
        <v>0</v>
      </c>
      <c r="C8" s="26" t="b">
        <v>1</v>
      </c>
      <c r="D8" s="26" t="b">
        <v>0</v>
      </c>
      <c r="E8" s="26" t="b">
        <v>0</v>
      </c>
      <c r="F8" s="26" t="b">
        <v>0</v>
      </c>
      <c r="G8" s="63"/>
      <c r="H8" s="4" t="s">
        <v>182</v>
      </c>
      <c r="I8" s="4" t="s">
        <v>169</v>
      </c>
      <c r="J8" s="4" t="s">
        <v>103</v>
      </c>
      <c r="K8" s="4" t="s">
        <v>170</v>
      </c>
      <c r="L8" s="4" t="s">
        <v>137</v>
      </c>
      <c r="M8" s="4"/>
      <c r="N8" s="4" t="s">
        <v>171</v>
      </c>
      <c r="O8" s="4"/>
      <c r="P8" s="4"/>
      <c r="Q8" s="4" t="s">
        <v>172</v>
      </c>
      <c r="R8" s="4" t="s">
        <v>129</v>
      </c>
      <c r="S8" s="4"/>
      <c r="T8" s="4" t="s">
        <v>139</v>
      </c>
      <c r="U8" s="4" t="s">
        <v>140</v>
      </c>
      <c r="V8" s="4" t="s">
        <v>111</v>
      </c>
      <c r="W8" s="4" t="s">
        <v>173</v>
      </c>
      <c r="X8" s="4" t="s">
        <v>173</v>
      </c>
      <c r="Y8" s="4" t="s">
        <v>174</v>
      </c>
      <c r="Z8" s="4" t="s">
        <v>142</v>
      </c>
      <c r="AA8" s="4" t="s">
        <v>115</v>
      </c>
      <c r="AB8" s="4"/>
      <c r="AC8" s="4"/>
      <c r="AD8" s="4" t="s">
        <v>115</v>
      </c>
      <c r="AE8" s="4" t="s">
        <v>116</v>
      </c>
      <c r="AF8" s="4"/>
      <c r="AG8" s="4"/>
      <c r="AH8" s="4" t="s">
        <v>116</v>
      </c>
      <c r="AI8" s="4" t="s">
        <v>175</v>
      </c>
      <c r="AJ8" s="4" t="s">
        <v>176</v>
      </c>
      <c r="AK8" s="4"/>
      <c r="AL8" s="4" t="s">
        <v>119</v>
      </c>
      <c r="AM8" s="4"/>
      <c r="AN8" s="4" t="s">
        <v>177</v>
      </c>
      <c r="AO8" s="4"/>
      <c r="AP8" s="4"/>
      <c r="AQ8" s="4"/>
      <c r="AR8" s="4" t="s">
        <v>178</v>
      </c>
      <c r="AS8" s="4" t="s">
        <v>144</v>
      </c>
      <c r="AT8" s="4" t="s">
        <v>179</v>
      </c>
      <c r="AU8" s="5" t="str">
        <f>IF($AT8="","",IFERROR(INDEX(InstructorMap!$B:$B, MATCH($AT8, InstructorMap!$A:$A, 0)),""))</f>
        <v>angelika@andrews.edu</v>
      </c>
      <c r="AV8" s="5" t="str">
        <f>IF($AT8="","",IFERROR(INDEX(InstructorMap!$C:$C, MATCH($AT8, InstructorMap!$A:$A, 0)),""))</f>
        <v>000143159</v>
      </c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 t="s">
        <v>103</v>
      </c>
      <c r="BI8" s="4" t="s">
        <v>124</v>
      </c>
      <c r="BJ8" s="4" t="s">
        <v>125</v>
      </c>
      <c r="BK8" s="4"/>
      <c r="BL8" s="4" t="s">
        <v>125</v>
      </c>
      <c r="BM8" s="4"/>
      <c r="BN8" s="4"/>
      <c r="BO8" s="4" t="s">
        <v>127</v>
      </c>
      <c r="BP8" s="4"/>
      <c r="BQ8" s="4" t="s">
        <v>181</v>
      </c>
      <c r="BR8" s="4"/>
      <c r="BS8" s="4"/>
      <c r="BT8" s="4" t="s">
        <v>128</v>
      </c>
      <c r="BU8" s="4" t="s">
        <v>129</v>
      </c>
      <c r="BV8" s="4" t="s">
        <v>129</v>
      </c>
      <c r="BW8" s="4"/>
      <c r="BX8" s="4"/>
      <c r="BY8" s="4"/>
      <c r="BZ8" s="4"/>
      <c r="CA8" s="4"/>
      <c r="CB8" s="4"/>
      <c r="CC8" s="4"/>
      <c r="CD8" s="4"/>
      <c r="CE8" s="4"/>
      <c r="CF8" s="4" t="s">
        <v>130</v>
      </c>
      <c r="CG8" s="4"/>
      <c r="CH8" s="4" t="s">
        <v>131</v>
      </c>
      <c r="CI8" s="4"/>
      <c r="CJ8" s="4"/>
      <c r="CK8" s="4"/>
      <c r="CL8" s="4"/>
      <c r="CM8" s="4"/>
      <c r="CN8" s="4"/>
      <c r="CO8" s="4"/>
      <c r="CP8" s="4"/>
      <c r="CQ8" s="4"/>
      <c r="CR8" s="4"/>
      <c r="CS8" s="4" t="s">
        <v>146</v>
      </c>
      <c r="CT8" s="4" t="s">
        <v>133</v>
      </c>
      <c r="CU8" s="4" t="s">
        <v>134</v>
      </c>
      <c r="CV8" s="4"/>
    </row>
    <row r="9" spans="1:614" x14ac:dyDescent="0.2">
      <c r="A9" s="45" t="b">
        <v>0</v>
      </c>
      <c r="B9" s="45" t="b">
        <v>0</v>
      </c>
      <c r="C9" s="45" t="b">
        <v>1</v>
      </c>
      <c r="D9" s="45" t="b">
        <v>0</v>
      </c>
      <c r="E9" s="45" t="b">
        <v>0</v>
      </c>
      <c r="F9" s="45" t="b">
        <v>0</v>
      </c>
      <c r="G9" s="60" t="s">
        <v>100</v>
      </c>
      <c r="H9" s="4" t="s">
        <v>183</v>
      </c>
      <c r="I9" s="4" t="s">
        <v>184</v>
      </c>
      <c r="J9" s="4" t="s">
        <v>103</v>
      </c>
      <c r="K9" s="4" t="s">
        <v>170</v>
      </c>
      <c r="L9" s="4" t="s">
        <v>105</v>
      </c>
      <c r="M9" s="4"/>
      <c r="N9" s="4" t="s">
        <v>171</v>
      </c>
      <c r="O9" s="4"/>
      <c r="P9" s="4"/>
      <c r="Q9" s="4" t="s">
        <v>172</v>
      </c>
      <c r="R9" s="4" t="s">
        <v>108</v>
      </c>
      <c r="S9" s="4"/>
      <c r="T9" s="4" t="s">
        <v>109</v>
      </c>
      <c r="U9" s="4" t="s">
        <v>110</v>
      </c>
      <c r="V9" s="4" t="s">
        <v>111</v>
      </c>
      <c r="W9" s="4" t="s">
        <v>173</v>
      </c>
      <c r="X9" s="4" t="s">
        <v>173</v>
      </c>
      <c r="Y9" s="4" t="s">
        <v>174</v>
      </c>
      <c r="Z9" s="4" t="s">
        <v>114</v>
      </c>
      <c r="AA9" s="4" t="s">
        <v>115</v>
      </c>
      <c r="AB9" s="4"/>
      <c r="AC9" s="4"/>
      <c r="AD9" s="4" t="s">
        <v>115</v>
      </c>
      <c r="AE9" s="4" t="s">
        <v>116</v>
      </c>
      <c r="AF9" s="4"/>
      <c r="AG9" s="4"/>
      <c r="AH9" s="4" t="s">
        <v>116</v>
      </c>
      <c r="AI9" s="4" t="s">
        <v>175</v>
      </c>
      <c r="AJ9" s="4" t="s">
        <v>176</v>
      </c>
      <c r="AK9" s="4"/>
      <c r="AL9" s="4" t="s">
        <v>119</v>
      </c>
      <c r="AM9" s="4"/>
      <c r="AN9" s="4" t="s">
        <v>177</v>
      </c>
      <c r="AO9" s="4"/>
      <c r="AP9" s="4"/>
      <c r="AQ9" s="4"/>
      <c r="AR9" s="4"/>
      <c r="AS9" s="4"/>
      <c r="AT9" s="4" t="s">
        <v>179</v>
      </c>
      <c r="AU9" s="5" t="str">
        <f>IF($AT9="","",IFERROR(INDEX(InstructorMap!$B:$B, MATCH($AT9, InstructorMap!$A:$A, 0)),""))</f>
        <v>angelika@andrews.edu</v>
      </c>
      <c r="AV9" s="5" t="str">
        <f>IF($AT9="","",IFERROR(INDEX(InstructorMap!$C:$C, MATCH($AT9, InstructorMap!$A:$A, 0)),""))</f>
        <v>000143159</v>
      </c>
      <c r="AW9" s="4"/>
      <c r="AX9" s="4"/>
      <c r="AY9" s="4"/>
      <c r="AZ9" s="4"/>
      <c r="BA9" s="4"/>
      <c r="BB9" s="4"/>
      <c r="BC9" s="91"/>
      <c r="BD9" s="91"/>
      <c r="BE9" s="91"/>
      <c r="BF9" s="91"/>
      <c r="BG9" s="91"/>
      <c r="BH9" s="4" t="s">
        <v>103</v>
      </c>
      <c r="BI9" s="4" t="s">
        <v>124</v>
      </c>
      <c r="BJ9" s="4" t="s">
        <v>125</v>
      </c>
      <c r="BK9" s="4"/>
      <c r="BL9" s="4" t="s">
        <v>126</v>
      </c>
      <c r="BM9" s="4"/>
      <c r="BN9" s="4"/>
      <c r="BO9" s="4" t="s">
        <v>127</v>
      </c>
      <c r="BP9" s="4"/>
      <c r="BQ9" s="4" t="s">
        <v>181</v>
      </c>
      <c r="BR9" s="4"/>
      <c r="BS9" s="4"/>
      <c r="BT9" s="4" t="s">
        <v>128</v>
      </c>
      <c r="BU9" s="4" t="s">
        <v>129</v>
      </c>
      <c r="BV9" s="4" t="s">
        <v>129</v>
      </c>
      <c r="BW9" s="4"/>
      <c r="BX9" s="4"/>
      <c r="BY9" s="4"/>
      <c r="BZ9" s="4"/>
      <c r="CA9" s="4"/>
      <c r="CB9" s="4"/>
      <c r="CC9" s="4"/>
      <c r="CD9" s="4"/>
      <c r="CE9" s="4"/>
      <c r="CF9" s="4" t="s">
        <v>130</v>
      </c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 t="s">
        <v>146</v>
      </c>
      <c r="CT9" s="4" t="s">
        <v>133</v>
      </c>
      <c r="CU9" s="4" t="s">
        <v>134</v>
      </c>
      <c r="CV9" s="4"/>
    </row>
    <row r="10" spans="1:614" x14ac:dyDescent="0.2">
      <c r="A10" s="45" t="b">
        <v>0</v>
      </c>
      <c r="B10" s="45" t="b">
        <v>0</v>
      </c>
      <c r="C10" s="45" t="b">
        <v>1</v>
      </c>
      <c r="D10" s="45" t="b">
        <v>0</v>
      </c>
      <c r="E10" s="45" t="b">
        <v>0</v>
      </c>
      <c r="F10" s="45" t="b">
        <v>0</v>
      </c>
      <c r="G10" s="60" t="s">
        <v>100</v>
      </c>
      <c r="H10" s="4" t="s">
        <v>185</v>
      </c>
      <c r="I10" s="4" t="s">
        <v>184</v>
      </c>
      <c r="J10" s="4" t="s">
        <v>103</v>
      </c>
      <c r="K10" s="4" t="s">
        <v>170</v>
      </c>
      <c r="L10" s="4" t="s">
        <v>105</v>
      </c>
      <c r="M10" s="4"/>
      <c r="N10" s="4" t="s">
        <v>171</v>
      </c>
      <c r="O10" s="4"/>
      <c r="P10" s="4"/>
      <c r="Q10" s="4" t="s">
        <v>172</v>
      </c>
      <c r="R10" s="4" t="s">
        <v>108</v>
      </c>
      <c r="S10" s="4" t="s">
        <v>108</v>
      </c>
      <c r="T10" s="4" t="s">
        <v>109</v>
      </c>
      <c r="U10" s="4" t="s">
        <v>110</v>
      </c>
      <c r="V10" s="4" t="s">
        <v>111</v>
      </c>
      <c r="W10" s="4" t="s">
        <v>173</v>
      </c>
      <c r="X10" s="4" t="s">
        <v>173</v>
      </c>
      <c r="Y10" s="4" t="s">
        <v>174</v>
      </c>
      <c r="Z10" s="4" t="s">
        <v>114</v>
      </c>
      <c r="AA10" s="4" t="s">
        <v>115</v>
      </c>
      <c r="AB10" s="4"/>
      <c r="AC10" s="4"/>
      <c r="AD10" s="4" t="s">
        <v>115</v>
      </c>
      <c r="AE10" s="4" t="s">
        <v>116</v>
      </c>
      <c r="AF10" s="4"/>
      <c r="AG10" s="4"/>
      <c r="AH10" s="4" t="s">
        <v>116</v>
      </c>
      <c r="AI10" s="4" t="s">
        <v>175</v>
      </c>
      <c r="AJ10" s="4" t="s">
        <v>176</v>
      </c>
      <c r="AK10" s="4"/>
      <c r="AL10" s="4" t="s">
        <v>119</v>
      </c>
      <c r="AM10" s="4"/>
      <c r="AN10" s="4" t="s">
        <v>177</v>
      </c>
      <c r="AO10" s="4"/>
      <c r="AP10" s="4"/>
      <c r="AQ10" s="4"/>
      <c r="AR10" s="4"/>
      <c r="AS10" s="4"/>
      <c r="AT10" s="4" t="s">
        <v>179</v>
      </c>
      <c r="AU10" s="5" t="str">
        <f>IF($AT10="","",IFERROR(INDEX(InstructorMap!$B:$B, MATCH($AT10, InstructorMap!$A:$A, 0)),""))</f>
        <v>angelika@andrews.edu</v>
      </c>
      <c r="AV10" s="5" t="str">
        <f>IF($AT10="","",IFERROR(INDEX(InstructorMap!$C:$C, MATCH($AT10, InstructorMap!$A:$A, 0)),""))</f>
        <v>000143159</v>
      </c>
      <c r="AW10" s="4"/>
      <c r="AX10" s="4"/>
      <c r="AY10" s="4"/>
      <c r="AZ10" s="4"/>
      <c r="BA10" s="4"/>
      <c r="BB10" s="4"/>
      <c r="BC10" s="91"/>
      <c r="BD10" s="91"/>
      <c r="BE10" s="91"/>
      <c r="BF10" s="91"/>
      <c r="BG10" s="91"/>
      <c r="BH10" s="4" t="s">
        <v>103</v>
      </c>
      <c r="BI10" s="4" t="s">
        <v>124</v>
      </c>
      <c r="BJ10" s="4" t="s">
        <v>125</v>
      </c>
      <c r="BK10" s="4"/>
      <c r="BL10" s="4" t="s">
        <v>126</v>
      </c>
      <c r="BM10" s="4"/>
      <c r="BN10" s="4"/>
      <c r="BO10" s="4" t="s">
        <v>127</v>
      </c>
      <c r="BP10" s="4"/>
      <c r="BQ10" s="4" t="s">
        <v>181</v>
      </c>
      <c r="BR10" s="4"/>
      <c r="BS10" s="4"/>
      <c r="BT10" s="4" t="s">
        <v>128</v>
      </c>
      <c r="BU10" s="4" t="s">
        <v>129</v>
      </c>
      <c r="BV10" s="4" t="s">
        <v>129</v>
      </c>
      <c r="BW10" s="4"/>
      <c r="BX10" s="4"/>
      <c r="BY10" s="4"/>
      <c r="BZ10" s="4"/>
      <c r="CA10" s="4"/>
      <c r="CB10" s="4"/>
      <c r="CC10" s="4"/>
      <c r="CD10" s="4"/>
      <c r="CE10" s="4"/>
      <c r="CF10" s="4" t="s">
        <v>130</v>
      </c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 t="s">
        <v>146</v>
      </c>
      <c r="CT10" s="4" t="s">
        <v>133</v>
      </c>
      <c r="CU10" s="4" t="s">
        <v>134</v>
      </c>
      <c r="CV10" s="4"/>
    </row>
    <row r="11" spans="1:614" s="48" customFormat="1" x14ac:dyDescent="0.2">
      <c r="A11" s="45" t="b">
        <v>0</v>
      </c>
      <c r="B11" s="45" t="b">
        <v>0</v>
      </c>
      <c r="C11" s="45" t="b">
        <v>1</v>
      </c>
      <c r="D11" s="45" t="b">
        <v>0</v>
      </c>
      <c r="E11" s="45" t="b">
        <v>0</v>
      </c>
      <c r="F11" s="45" t="b">
        <v>0</v>
      </c>
      <c r="G11" s="65" t="s">
        <v>186</v>
      </c>
      <c r="H11" s="4" t="s">
        <v>187</v>
      </c>
      <c r="I11" s="4" t="s">
        <v>188</v>
      </c>
      <c r="J11" s="4" t="s">
        <v>103</v>
      </c>
      <c r="K11" s="4" t="s">
        <v>189</v>
      </c>
      <c r="L11" s="4" t="s">
        <v>137</v>
      </c>
      <c r="M11" s="4"/>
      <c r="N11" s="4" t="s">
        <v>190</v>
      </c>
      <c r="O11" s="4"/>
      <c r="P11" s="4" t="s">
        <v>191</v>
      </c>
      <c r="Q11" s="4" t="s">
        <v>192</v>
      </c>
      <c r="R11" s="4" t="s">
        <v>129</v>
      </c>
      <c r="S11" s="4"/>
      <c r="T11" s="4" t="s">
        <v>139</v>
      </c>
      <c r="U11" s="4" t="s">
        <v>140</v>
      </c>
      <c r="V11" s="4" t="s">
        <v>111</v>
      </c>
      <c r="W11" s="4" t="s">
        <v>112</v>
      </c>
      <c r="X11" s="4" t="s">
        <v>150</v>
      </c>
      <c r="Y11" s="4" t="s">
        <v>193</v>
      </c>
      <c r="Z11" s="4" t="s">
        <v>142</v>
      </c>
      <c r="AA11" s="4" t="s">
        <v>115</v>
      </c>
      <c r="AB11" s="4"/>
      <c r="AC11" s="4"/>
      <c r="AD11" s="4" t="s">
        <v>115</v>
      </c>
      <c r="AE11" s="4" t="s">
        <v>116</v>
      </c>
      <c r="AF11" s="4"/>
      <c r="AG11" s="4"/>
      <c r="AH11" s="4" t="s">
        <v>116</v>
      </c>
      <c r="AI11" s="4" t="s">
        <v>117</v>
      </c>
      <c r="AJ11" s="4" t="s">
        <v>194</v>
      </c>
      <c r="AK11" s="4"/>
      <c r="AL11" s="4"/>
      <c r="AM11" s="4"/>
      <c r="AN11" s="4" t="s">
        <v>177</v>
      </c>
      <c r="AO11" s="4"/>
      <c r="AP11" s="4"/>
      <c r="AQ11" s="4"/>
      <c r="AR11" s="4" t="s">
        <v>195</v>
      </c>
      <c r="AS11" s="4" t="s">
        <v>144</v>
      </c>
      <c r="AT11" s="59" t="s">
        <v>196</v>
      </c>
      <c r="AU11" s="5" t="str">
        <f>IF($AT11="","",IFERROR(INDEX(InstructorMap!$B:$B, MATCH($AT11, InstructorMap!$A:$A, 0)),""))</f>
        <v/>
      </c>
      <c r="AV11" s="5" t="str">
        <f>IF($AT11="","",IFERROR(INDEX(InstructorMap!$C:$C, MATCH($AT11, InstructorMap!$A:$A, 0)),""))</f>
        <v/>
      </c>
      <c r="AW11" s="4"/>
      <c r="AX11" s="4" t="s">
        <v>122</v>
      </c>
      <c r="AY11" s="4"/>
      <c r="AZ11" s="4"/>
      <c r="BA11" s="4" t="s">
        <v>123</v>
      </c>
      <c r="BB11" s="4"/>
      <c r="BC11" s="4"/>
      <c r="BD11" s="4"/>
      <c r="BE11" s="4"/>
      <c r="BF11" s="4"/>
      <c r="BG11" s="4"/>
      <c r="BH11" s="4" t="s">
        <v>103</v>
      </c>
      <c r="BI11" s="4" t="s">
        <v>124</v>
      </c>
      <c r="BJ11" s="4" t="s">
        <v>125</v>
      </c>
      <c r="BK11" s="4"/>
      <c r="BL11" s="4" t="s">
        <v>125</v>
      </c>
      <c r="BM11" s="4" t="s">
        <v>197</v>
      </c>
      <c r="BN11" s="4"/>
      <c r="BO11" s="4" t="s">
        <v>127</v>
      </c>
      <c r="BP11" s="4"/>
      <c r="BQ11" s="4" t="s">
        <v>198</v>
      </c>
      <c r="BR11" s="4"/>
      <c r="BS11" s="4"/>
      <c r="BT11" s="4" t="s">
        <v>128</v>
      </c>
      <c r="BU11" s="4" t="s">
        <v>129</v>
      </c>
      <c r="BV11" s="4" t="s">
        <v>145</v>
      </c>
      <c r="BW11" s="4" t="s">
        <v>130</v>
      </c>
      <c r="BX11" s="4" t="s">
        <v>131</v>
      </c>
      <c r="BY11" s="4"/>
      <c r="BZ11" s="4"/>
      <c r="CA11" s="4"/>
      <c r="CB11" s="4"/>
      <c r="CC11" s="4"/>
      <c r="CD11" s="4"/>
      <c r="CE11" s="4"/>
      <c r="CF11" s="4" t="s">
        <v>130</v>
      </c>
      <c r="CG11" s="4"/>
      <c r="CH11" s="4" t="s">
        <v>131</v>
      </c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 t="s">
        <v>146</v>
      </c>
      <c r="CT11" s="4" t="s">
        <v>133</v>
      </c>
      <c r="CU11" s="4" t="s">
        <v>134</v>
      </c>
      <c r="CV11" s="4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/>
      <c r="TC11"/>
      <c r="TD11"/>
      <c r="TE11"/>
      <c r="TF11"/>
      <c r="TG11"/>
      <c r="TH11"/>
      <c r="TI11"/>
      <c r="TJ11"/>
      <c r="TK11"/>
      <c r="TL11"/>
      <c r="TM11"/>
      <c r="TN11"/>
      <c r="TO11"/>
      <c r="TP11"/>
      <c r="TQ11"/>
      <c r="TR11"/>
      <c r="TS11"/>
      <c r="TT11"/>
      <c r="TU11"/>
      <c r="TV11"/>
      <c r="TW11"/>
      <c r="TX11"/>
      <c r="TY11"/>
      <c r="TZ11"/>
      <c r="UA11"/>
      <c r="UB11"/>
      <c r="UC11"/>
      <c r="UD11"/>
      <c r="UE11"/>
      <c r="UF11"/>
      <c r="UG11"/>
      <c r="UH11"/>
      <c r="UI11"/>
      <c r="UJ11"/>
      <c r="UK11"/>
      <c r="UL11"/>
      <c r="UM11"/>
      <c r="UN11"/>
      <c r="UO11"/>
      <c r="UP11"/>
      <c r="UQ11"/>
      <c r="UR11"/>
      <c r="US11"/>
      <c r="UT11"/>
      <c r="UU11"/>
      <c r="UV11"/>
      <c r="UW11"/>
      <c r="UX11"/>
      <c r="UY11"/>
      <c r="UZ11"/>
      <c r="VA11"/>
      <c r="VB11"/>
      <c r="VC11"/>
      <c r="VD11"/>
      <c r="VE11"/>
      <c r="VF11"/>
      <c r="VG11"/>
      <c r="VH11"/>
      <c r="VI11"/>
      <c r="VJ11"/>
      <c r="VK11"/>
      <c r="VL11"/>
      <c r="VM11"/>
      <c r="VN11"/>
      <c r="VO11"/>
      <c r="VP11"/>
      <c r="VQ11"/>
      <c r="VR11"/>
      <c r="VS11"/>
      <c r="VT11"/>
      <c r="VU11"/>
      <c r="VV11"/>
      <c r="VW11"/>
      <c r="VX11"/>
      <c r="VY11"/>
      <c r="VZ11"/>
      <c r="WA11"/>
      <c r="WB11"/>
      <c r="WC11"/>
      <c r="WD11"/>
      <c r="WE11"/>
      <c r="WF11"/>
      <c r="WG11"/>
      <c r="WH11"/>
      <c r="WI11"/>
      <c r="WJ11"/>
      <c r="WK11"/>
      <c r="WL11"/>
      <c r="WM11"/>
      <c r="WN11"/>
      <c r="WO11"/>
      <c r="WP11"/>
    </row>
    <row r="12" spans="1:614" s="48" customFormat="1" x14ac:dyDescent="0.2">
      <c r="A12" s="33" t="b">
        <v>0</v>
      </c>
      <c r="B12" s="34" t="b">
        <v>0</v>
      </c>
      <c r="C12" s="33" t="b">
        <v>1</v>
      </c>
      <c r="D12" s="34" t="b">
        <v>0</v>
      </c>
      <c r="E12" s="34" t="b">
        <v>0</v>
      </c>
      <c r="F12" s="32" t="b">
        <v>0</v>
      </c>
      <c r="G12" s="55"/>
      <c r="H12" s="17"/>
      <c r="I12" s="56" t="s">
        <v>199</v>
      </c>
      <c r="J12" s="17" t="s">
        <v>103</v>
      </c>
      <c r="K12" s="17" t="s">
        <v>200</v>
      </c>
      <c r="L12" s="17" t="s">
        <v>137</v>
      </c>
      <c r="M12" s="17"/>
      <c r="N12" s="17" t="s">
        <v>201</v>
      </c>
      <c r="O12" s="17"/>
      <c r="P12" s="17" t="s">
        <v>202</v>
      </c>
      <c r="Q12" s="17"/>
      <c r="R12" s="17" t="s">
        <v>129</v>
      </c>
      <c r="S12" s="17"/>
      <c r="T12" s="17" t="s">
        <v>139</v>
      </c>
      <c r="U12" s="17" t="s">
        <v>140</v>
      </c>
      <c r="V12" s="17" t="s">
        <v>111</v>
      </c>
      <c r="W12" s="17" t="s">
        <v>173</v>
      </c>
      <c r="X12" s="17" t="s">
        <v>173</v>
      </c>
      <c r="Y12" s="17" t="s">
        <v>203</v>
      </c>
      <c r="Z12" s="17" t="s">
        <v>142</v>
      </c>
      <c r="AA12" s="17" t="s">
        <v>115</v>
      </c>
      <c r="AB12" s="17"/>
      <c r="AC12" s="17"/>
      <c r="AD12" s="17" t="s">
        <v>115</v>
      </c>
      <c r="AE12" s="17" t="s">
        <v>116</v>
      </c>
      <c r="AF12" s="17"/>
      <c r="AG12" s="17"/>
      <c r="AH12" s="17" t="s">
        <v>116</v>
      </c>
      <c r="AI12" s="17" t="s">
        <v>117</v>
      </c>
      <c r="AJ12" s="17" t="s">
        <v>118</v>
      </c>
      <c r="AK12" s="17"/>
      <c r="AL12" s="17"/>
      <c r="AM12" s="17"/>
      <c r="AN12" s="17" t="s">
        <v>177</v>
      </c>
      <c r="AO12" s="17"/>
      <c r="AP12" s="17"/>
      <c r="AQ12" s="17"/>
      <c r="AR12" s="17" t="s">
        <v>178</v>
      </c>
      <c r="AS12" s="17" t="s">
        <v>144</v>
      </c>
      <c r="AT12" s="17" t="s">
        <v>204</v>
      </c>
      <c r="AU12" s="57" t="str">
        <f>IF($AT12="","",IFERROR(INDEX(InstructorMap!$B:$B, MATCH($AT12, InstructorMap!$A:$A, 0)),""))</f>
        <v>gersoncr@andrews.edu</v>
      </c>
      <c r="AV12" s="57" t="str">
        <f>IF($AT12="","",IFERROR(INDEX(InstructorMap!$C:$C, MATCH($AT12, InstructorMap!$A:$A, 0)),""))</f>
        <v>000093682</v>
      </c>
      <c r="AW12" s="17" t="s">
        <v>121</v>
      </c>
      <c r="AX12" s="17" t="s">
        <v>122</v>
      </c>
      <c r="AY12" s="17"/>
      <c r="AZ12" s="17"/>
      <c r="BA12" s="17" t="s">
        <v>123</v>
      </c>
      <c r="BB12" s="17"/>
      <c r="BC12" s="17"/>
      <c r="BD12" s="17"/>
      <c r="BE12" s="17"/>
      <c r="BF12" s="17"/>
      <c r="BG12" s="17"/>
      <c r="BH12" s="17" t="s">
        <v>103</v>
      </c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 t="s">
        <v>146</v>
      </c>
      <c r="CT12" s="17" t="s">
        <v>133</v>
      </c>
      <c r="CU12" s="17"/>
      <c r="CV12" s="17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  <c r="TP12"/>
      <c r="TQ12"/>
      <c r="TR12"/>
      <c r="TS12"/>
      <c r="TT12"/>
      <c r="TU12"/>
      <c r="TV12"/>
      <c r="TW12"/>
      <c r="TX12"/>
      <c r="TY12"/>
      <c r="TZ12"/>
      <c r="UA12"/>
      <c r="UB12"/>
      <c r="UC12"/>
      <c r="UD12"/>
      <c r="UE12"/>
      <c r="UF12"/>
      <c r="UG12"/>
      <c r="UH12"/>
      <c r="UI12"/>
      <c r="UJ12"/>
      <c r="UK12"/>
      <c r="UL12"/>
      <c r="UM12"/>
      <c r="UN12"/>
      <c r="UO12"/>
      <c r="UP12"/>
      <c r="UQ12"/>
      <c r="UR12"/>
      <c r="US12"/>
      <c r="UT12"/>
      <c r="UU12"/>
      <c r="UV12"/>
      <c r="UW12"/>
      <c r="UX12"/>
      <c r="UY12"/>
      <c r="UZ12"/>
      <c r="VA12"/>
      <c r="VB12"/>
      <c r="VC12"/>
      <c r="VD12"/>
      <c r="VE12"/>
      <c r="VF12"/>
      <c r="VG12"/>
      <c r="VH12"/>
      <c r="VI12"/>
      <c r="VJ12"/>
      <c r="VK12"/>
      <c r="VL12"/>
      <c r="VM12"/>
      <c r="VN12"/>
      <c r="VO12"/>
      <c r="VP12"/>
      <c r="VQ12"/>
      <c r="VR12"/>
      <c r="VS12"/>
      <c r="VT12"/>
      <c r="VU12"/>
      <c r="VV12"/>
      <c r="VW12"/>
      <c r="VX12"/>
      <c r="VY12"/>
      <c r="VZ12"/>
      <c r="WA12"/>
      <c r="WB12"/>
      <c r="WC12"/>
      <c r="WD12"/>
      <c r="WE12"/>
      <c r="WF12"/>
      <c r="WG12"/>
      <c r="WH12"/>
      <c r="WI12"/>
      <c r="WJ12"/>
      <c r="WK12"/>
      <c r="WL12"/>
      <c r="WM12"/>
      <c r="WN12"/>
      <c r="WO12"/>
      <c r="WP12"/>
    </row>
    <row r="13" spans="1:614" x14ac:dyDescent="0.2">
      <c r="A13" s="26" t="b">
        <v>0</v>
      </c>
      <c r="B13" s="26" t="b">
        <v>0</v>
      </c>
      <c r="C13" s="26" t="b">
        <v>1</v>
      </c>
      <c r="D13" s="26" t="b">
        <v>0</v>
      </c>
      <c r="E13" s="26" t="b">
        <v>0</v>
      </c>
      <c r="F13" s="26" t="b">
        <v>0</v>
      </c>
      <c r="G13" s="64"/>
      <c r="H13" s="4" t="s">
        <v>205</v>
      </c>
      <c r="I13" s="4" t="s">
        <v>206</v>
      </c>
      <c r="J13" s="4" t="s">
        <v>103</v>
      </c>
      <c r="K13" s="4" t="s">
        <v>207</v>
      </c>
      <c r="L13" s="4" t="s">
        <v>137</v>
      </c>
      <c r="M13" s="4"/>
      <c r="N13" s="4" t="s">
        <v>208</v>
      </c>
      <c r="O13" s="4"/>
      <c r="P13" s="4" t="s">
        <v>209</v>
      </c>
      <c r="Q13" s="4" t="s">
        <v>210</v>
      </c>
      <c r="R13" s="4" t="s">
        <v>129</v>
      </c>
      <c r="S13" s="4"/>
      <c r="T13" s="4" t="s">
        <v>139</v>
      </c>
      <c r="U13" s="4" t="s">
        <v>140</v>
      </c>
      <c r="V13" s="4" t="s">
        <v>111</v>
      </c>
      <c r="W13" s="4" t="s">
        <v>112</v>
      </c>
      <c r="X13" s="4" t="s">
        <v>150</v>
      </c>
      <c r="Y13" s="4" t="s">
        <v>113</v>
      </c>
      <c r="Z13" s="4" t="s">
        <v>142</v>
      </c>
      <c r="AA13" s="4" t="s">
        <v>115</v>
      </c>
      <c r="AB13" s="4"/>
      <c r="AC13" s="4"/>
      <c r="AD13" s="4" t="s">
        <v>115</v>
      </c>
      <c r="AE13" s="4" t="s">
        <v>116</v>
      </c>
      <c r="AF13" s="4"/>
      <c r="AG13" s="4"/>
      <c r="AH13" s="4" t="s">
        <v>116</v>
      </c>
      <c r="AI13" s="4" t="s">
        <v>117</v>
      </c>
      <c r="AJ13" s="4" t="s">
        <v>118</v>
      </c>
      <c r="AK13" s="4"/>
      <c r="AL13" s="4"/>
      <c r="AM13" s="4" t="s">
        <v>211</v>
      </c>
      <c r="AN13" s="4"/>
      <c r="AO13" s="4"/>
      <c r="AP13" s="4"/>
      <c r="AQ13" s="4"/>
      <c r="AR13" s="4" t="s">
        <v>212</v>
      </c>
      <c r="AS13" s="4" t="s">
        <v>144</v>
      </c>
      <c r="AT13" s="4" t="s">
        <v>213</v>
      </c>
      <c r="AU13" s="5" t="str">
        <f>IF($AT13="","",IFERROR(INDEX(InstructorMap!$B:$B, MATCH($AT13, InstructorMap!$A:$A, 0)),""))</f>
        <v>toreggio@andrews.edu</v>
      </c>
      <c r="AV13" s="5" t="str">
        <f>IF($AT13="","",IFERROR(INDEX(InstructorMap!$C:$C, MATCH($AT13, InstructorMap!$A:$A, 0)),""))</f>
        <v>000035762</v>
      </c>
      <c r="AW13" s="4" t="s">
        <v>121</v>
      </c>
      <c r="AX13" s="4" t="s">
        <v>122</v>
      </c>
      <c r="AY13" s="4"/>
      <c r="AZ13" s="4"/>
      <c r="BA13" s="4" t="s">
        <v>123</v>
      </c>
      <c r="BB13" s="4"/>
      <c r="BC13" s="4"/>
      <c r="BD13" s="4"/>
      <c r="BE13" s="4"/>
      <c r="BF13" s="4"/>
      <c r="BG13" s="4"/>
      <c r="BH13" s="4" t="s">
        <v>103</v>
      </c>
      <c r="BI13" s="4" t="s">
        <v>124</v>
      </c>
      <c r="BJ13" s="4" t="s">
        <v>125</v>
      </c>
      <c r="BK13" s="4"/>
      <c r="BL13" s="4" t="s">
        <v>125</v>
      </c>
      <c r="BM13" s="4"/>
      <c r="BN13" s="4"/>
      <c r="BO13" s="4" t="s">
        <v>127</v>
      </c>
      <c r="BP13" s="4"/>
      <c r="BQ13" s="4" t="s">
        <v>214</v>
      </c>
      <c r="BR13" s="4"/>
      <c r="BS13" s="4"/>
      <c r="BT13" s="4" t="s">
        <v>128</v>
      </c>
      <c r="BU13" s="4" t="s">
        <v>129</v>
      </c>
      <c r="BV13" s="4" t="s">
        <v>129</v>
      </c>
      <c r="BW13" s="4" t="s">
        <v>130</v>
      </c>
      <c r="BX13" s="4" t="s">
        <v>131</v>
      </c>
      <c r="BY13" s="4"/>
      <c r="BZ13" s="4"/>
      <c r="CA13" s="4"/>
      <c r="CB13" s="4"/>
      <c r="CC13" s="4"/>
      <c r="CD13" s="4"/>
      <c r="CE13" s="4"/>
      <c r="CF13" s="4" t="s">
        <v>130</v>
      </c>
      <c r="CG13" s="4"/>
      <c r="CH13" s="4" t="s">
        <v>131</v>
      </c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 t="s">
        <v>146</v>
      </c>
      <c r="CT13" s="4" t="s">
        <v>133</v>
      </c>
      <c r="CU13" s="4" t="s">
        <v>134</v>
      </c>
      <c r="CV13" s="4"/>
    </row>
    <row r="14" spans="1:614" s="54" customFormat="1" x14ac:dyDescent="0.2">
      <c r="A14" s="35" t="b">
        <v>0</v>
      </c>
      <c r="B14" s="52" t="b">
        <v>0</v>
      </c>
      <c r="C14" s="35" t="b">
        <v>1</v>
      </c>
      <c r="D14" s="52" t="b">
        <v>0</v>
      </c>
      <c r="E14" s="52" t="b">
        <v>0</v>
      </c>
      <c r="F14" s="26" t="b">
        <v>0</v>
      </c>
      <c r="G14" s="53"/>
      <c r="H14" s="4"/>
      <c r="I14" s="4" t="s">
        <v>215</v>
      </c>
      <c r="J14" s="4" t="s">
        <v>103</v>
      </c>
      <c r="K14" s="4" t="s">
        <v>207</v>
      </c>
      <c r="L14" s="4" t="s">
        <v>216</v>
      </c>
      <c r="M14" s="4"/>
      <c r="N14" s="4" t="s">
        <v>208</v>
      </c>
      <c r="O14" s="4"/>
      <c r="P14" s="4" t="s">
        <v>209</v>
      </c>
      <c r="Q14" s="4"/>
      <c r="R14" s="4" t="s">
        <v>129</v>
      </c>
      <c r="S14" s="4"/>
      <c r="T14" s="4" t="s">
        <v>139</v>
      </c>
      <c r="U14" s="4" t="s">
        <v>140</v>
      </c>
      <c r="V14" s="4" t="s">
        <v>111</v>
      </c>
      <c r="W14" s="4" t="s">
        <v>112</v>
      </c>
      <c r="X14" s="4" t="s">
        <v>173</v>
      </c>
      <c r="Y14" s="4" t="s">
        <v>217</v>
      </c>
      <c r="Z14" s="4" t="s">
        <v>142</v>
      </c>
      <c r="AA14" s="4" t="s">
        <v>115</v>
      </c>
      <c r="AB14" s="4"/>
      <c r="AC14" s="4"/>
      <c r="AD14" s="4" t="s">
        <v>115</v>
      </c>
      <c r="AE14" s="4" t="s">
        <v>116</v>
      </c>
      <c r="AF14" s="4"/>
      <c r="AG14" s="4"/>
      <c r="AH14" s="4" t="s">
        <v>116</v>
      </c>
      <c r="AI14" s="4" t="s">
        <v>117</v>
      </c>
      <c r="AJ14" s="4" t="s">
        <v>118</v>
      </c>
      <c r="AK14" s="4"/>
      <c r="AL14" s="4"/>
      <c r="AM14" s="4" t="s">
        <v>211</v>
      </c>
      <c r="AN14" s="4"/>
      <c r="AO14" s="4"/>
      <c r="AP14" s="4"/>
      <c r="AQ14" s="4"/>
      <c r="AR14" s="4" t="s">
        <v>212</v>
      </c>
      <c r="AS14" s="4" t="s">
        <v>144</v>
      </c>
      <c r="AT14" s="4" t="s">
        <v>213</v>
      </c>
      <c r="AU14" s="5" t="str">
        <f>IF($AT14="","",IFERROR(INDEX(InstructorMap!$B:$B, MATCH($AT14, InstructorMap!$A:$A, 0)),""))</f>
        <v>toreggio@andrews.edu</v>
      </c>
      <c r="AV14" s="5" t="str">
        <f>IF($AT14="","",IFERROR(INDEX(InstructorMap!$C:$C, MATCH($AT14, InstructorMap!$A:$A, 0)),""))</f>
        <v>000035762</v>
      </c>
      <c r="AW14" s="4" t="s">
        <v>121</v>
      </c>
      <c r="AX14" s="4" t="s">
        <v>122</v>
      </c>
      <c r="AY14" s="4"/>
      <c r="AZ14" s="4"/>
      <c r="BA14" s="4" t="s">
        <v>123</v>
      </c>
      <c r="BB14" s="4"/>
      <c r="BC14" s="4"/>
      <c r="BD14" s="4"/>
      <c r="BE14" s="4"/>
      <c r="BF14" s="4"/>
      <c r="BG14" s="4"/>
      <c r="BH14" s="4" t="s">
        <v>103</v>
      </c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 t="s">
        <v>146</v>
      </c>
      <c r="CT14" s="4" t="s">
        <v>133</v>
      </c>
      <c r="CU14" s="4"/>
      <c r="CV14" s="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</row>
    <row r="15" spans="1:614" x14ac:dyDescent="0.2">
      <c r="A15" s="33" t="b">
        <v>0</v>
      </c>
      <c r="B15" s="34" t="b">
        <v>0</v>
      </c>
      <c r="C15" s="33" t="b">
        <v>1</v>
      </c>
      <c r="D15" s="34" t="b">
        <v>0</v>
      </c>
      <c r="E15" s="34" t="b">
        <v>0</v>
      </c>
      <c r="F15" s="32" t="b">
        <v>0</v>
      </c>
      <c r="G15" s="55"/>
      <c r="H15" s="17"/>
      <c r="I15" s="56" t="s">
        <v>199</v>
      </c>
      <c r="J15" s="17" t="s">
        <v>103</v>
      </c>
      <c r="K15" s="17" t="s">
        <v>218</v>
      </c>
      <c r="L15" s="17" t="s">
        <v>216</v>
      </c>
      <c r="M15" s="17"/>
      <c r="N15" s="17" t="s">
        <v>219</v>
      </c>
      <c r="O15" s="17"/>
      <c r="P15" s="17" t="s">
        <v>220</v>
      </c>
      <c r="Q15" s="17"/>
      <c r="R15" s="17" t="s">
        <v>129</v>
      </c>
      <c r="S15" s="17"/>
      <c r="T15" s="17" t="s">
        <v>139</v>
      </c>
      <c r="U15" s="17" t="s">
        <v>140</v>
      </c>
      <c r="V15" s="17" t="s">
        <v>111</v>
      </c>
      <c r="W15" s="17" t="s">
        <v>112</v>
      </c>
      <c r="X15" s="17" t="s">
        <v>173</v>
      </c>
      <c r="Y15" s="17" t="s">
        <v>151</v>
      </c>
      <c r="Z15" s="17" t="s">
        <v>142</v>
      </c>
      <c r="AA15" s="17" t="s">
        <v>115</v>
      </c>
      <c r="AB15" s="17"/>
      <c r="AC15" s="17"/>
      <c r="AD15" s="17" t="s">
        <v>115</v>
      </c>
      <c r="AE15" s="17" t="s">
        <v>116</v>
      </c>
      <c r="AF15" s="17"/>
      <c r="AG15" s="17"/>
      <c r="AH15" s="17" t="s">
        <v>116</v>
      </c>
      <c r="AI15" s="17" t="s">
        <v>117</v>
      </c>
      <c r="AJ15" s="17" t="s">
        <v>118</v>
      </c>
      <c r="AK15" s="17"/>
      <c r="AL15" s="17"/>
      <c r="AM15" s="17"/>
      <c r="AN15" s="17"/>
      <c r="AO15" s="17" t="s">
        <v>221</v>
      </c>
      <c r="AP15" s="17"/>
      <c r="AQ15" s="17"/>
      <c r="AR15" s="17" t="s">
        <v>143</v>
      </c>
      <c r="AS15" s="17" t="s">
        <v>144</v>
      </c>
      <c r="AT15" s="61" t="s">
        <v>196</v>
      </c>
      <c r="AU15" s="57" t="str">
        <f>IF($AT15="","",IFERROR(INDEX(InstructorMap!$B:$B, MATCH($AT15, InstructorMap!$A:$A, 0)),""))</f>
        <v/>
      </c>
      <c r="AV15" s="57" t="str">
        <f>IF($AT15="","",IFERROR(INDEX(InstructorMap!$C:$C, MATCH($AT15, InstructorMap!$A:$A, 0)),""))</f>
        <v/>
      </c>
      <c r="AW15" s="17"/>
      <c r="AX15" s="17" t="s">
        <v>122</v>
      </c>
      <c r="AY15" s="17"/>
      <c r="AZ15" s="17"/>
      <c r="BA15" s="17" t="s">
        <v>123</v>
      </c>
      <c r="BB15" s="17"/>
      <c r="BC15" s="17"/>
      <c r="BD15" s="17"/>
      <c r="BE15" s="17"/>
      <c r="BF15" s="17"/>
      <c r="BG15" s="17"/>
      <c r="BH15" s="17" t="s">
        <v>103</v>
      </c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 t="s">
        <v>146</v>
      </c>
      <c r="CT15" s="17" t="s">
        <v>133</v>
      </c>
      <c r="CU15" s="17"/>
      <c r="CV15" s="17"/>
    </row>
    <row r="16" spans="1:614" x14ac:dyDescent="0.2">
      <c r="A16" s="62" t="b">
        <v>0</v>
      </c>
      <c r="B16" s="62" t="b">
        <v>0</v>
      </c>
      <c r="C16" s="62" t="b">
        <v>1</v>
      </c>
      <c r="D16" s="62" t="b">
        <v>0</v>
      </c>
      <c r="E16" s="62" t="b">
        <v>0</v>
      </c>
      <c r="F16" s="62" t="b">
        <v>0</v>
      </c>
      <c r="G16" s="60" t="s">
        <v>186</v>
      </c>
      <c r="H16" s="4" t="s">
        <v>222</v>
      </c>
      <c r="I16" s="4" t="s">
        <v>223</v>
      </c>
      <c r="J16" s="4" t="s">
        <v>103</v>
      </c>
      <c r="K16" s="4" t="s">
        <v>218</v>
      </c>
      <c r="L16" s="4" t="s">
        <v>137</v>
      </c>
      <c r="M16" s="4"/>
      <c r="N16" s="4" t="s">
        <v>219</v>
      </c>
      <c r="O16" s="4"/>
      <c r="P16" s="4" t="s">
        <v>220</v>
      </c>
      <c r="Q16" s="4" t="s">
        <v>224</v>
      </c>
      <c r="R16" s="4" t="s">
        <v>129</v>
      </c>
      <c r="S16" s="4"/>
      <c r="T16" s="4" t="s">
        <v>139</v>
      </c>
      <c r="U16" s="4" t="s">
        <v>140</v>
      </c>
      <c r="V16" s="4" t="s">
        <v>111</v>
      </c>
      <c r="W16" s="4" t="s">
        <v>112</v>
      </c>
      <c r="X16" s="4" t="s">
        <v>150</v>
      </c>
      <c r="Y16" s="4" t="s">
        <v>132</v>
      </c>
      <c r="Z16" s="4" t="s">
        <v>142</v>
      </c>
      <c r="AA16" s="4" t="s">
        <v>115</v>
      </c>
      <c r="AB16" s="4"/>
      <c r="AC16" s="4"/>
      <c r="AD16" s="4" t="s">
        <v>115</v>
      </c>
      <c r="AE16" s="4" t="s">
        <v>116</v>
      </c>
      <c r="AF16" s="4"/>
      <c r="AG16" s="4"/>
      <c r="AH16" s="4" t="s">
        <v>116</v>
      </c>
      <c r="AI16" s="4" t="s">
        <v>117</v>
      </c>
      <c r="AJ16" s="4" t="s">
        <v>118</v>
      </c>
      <c r="AK16" s="4"/>
      <c r="AL16" s="4"/>
      <c r="AM16" s="4"/>
      <c r="AN16" s="4"/>
      <c r="AO16" s="4" t="s">
        <v>221</v>
      </c>
      <c r="AP16" s="4"/>
      <c r="AQ16" s="4"/>
      <c r="AR16" s="4" t="s">
        <v>143</v>
      </c>
      <c r="AS16" s="4" t="s">
        <v>144</v>
      </c>
      <c r="AT16" s="60" t="s">
        <v>196</v>
      </c>
      <c r="AU16" s="5" t="str">
        <f>IF($AT16="","",IFERROR(INDEX(InstructorMap!$B:$B, MATCH($AT16, InstructorMap!$A:$A, 0)),""))</f>
        <v/>
      </c>
      <c r="AV16" s="5" t="str">
        <f>IF($AT16="","",IFERROR(INDEX(InstructorMap!$C:$C, MATCH($AT16, InstructorMap!$A:$A, 0)),""))</f>
        <v/>
      </c>
      <c r="AW16" s="4"/>
      <c r="AX16" s="4" t="s">
        <v>122</v>
      </c>
      <c r="AY16" s="4"/>
      <c r="AZ16" s="4"/>
      <c r="BA16" s="4" t="s">
        <v>123</v>
      </c>
      <c r="BB16" s="4"/>
      <c r="BC16" s="4"/>
      <c r="BD16" s="4"/>
      <c r="BE16" s="4"/>
      <c r="BF16" s="4"/>
      <c r="BG16" s="4"/>
      <c r="BH16" s="4" t="s">
        <v>103</v>
      </c>
      <c r="BI16" s="4" t="s">
        <v>124</v>
      </c>
      <c r="BJ16" s="4" t="s">
        <v>125</v>
      </c>
      <c r="BK16" s="4"/>
      <c r="BL16" s="4" t="s">
        <v>125</v>
      </c>
      <c r="BM16" s="4" t="s">
        <v>225</v>
      </c>
      <c r="BN16" s="4"/>
      <c r="BO16" s="4" t="s">
        <v>127</v>
      </c>
      <c r="BP16" s="4"/>
      <c r="BQ16" s="4" t="s">
        <v>226</v>
      </c>
      <c r="BR16" s="4"/>
      <c r="BS16" s="4"/>
      <c r="BT16" s="4" t="s">
        <v>128</v>
      </c>
      <c r="BU16" s="4" t="s">
        <v>129</v>
      </c>
      <c r="BV16" s="4" t="s">
        <v>145</v>
      </c>
      <c r="BW16" s="4" t="s">
        <v>130</v>
      </c>
      <c r="BX16" s="4" t="s">
        <v>131</v>
      </c>
      <c r="BY16" s="4"/>
      <c r="BZ16" s="4"/>
      <c r="CA16" s="4"/>
      <c r="CB16" s="4"/>
      <c r="CC16" s="4"/>
      <c r="CD16" s="4"/>
      <c r="CE16" s="4"/>
      <c r="CF16" s="4" t="s">
        <v>130</v>
      </c>
      <c r="CG16" s="4"/>
      <c r="CH16" s="4" t="s">
        <v>131</v>
      </c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 t="s">
        <v>146</v>
      </c>
      <c r="CT16" s="4" t="s">
        <v>133</v>
      </c>
      <c r="CU16" s="4" t="s">
        <v>134</v>
      </c>
      <c r="CV16" s="4"/>
    </row>
    <row r="17" spans="1:614" s="54" customFormat="1" x14ac:dyDescent="0.2">
      <c r="A17" s="33" t="b">
        <v>0</v>
      </c>
      <c r="B17" s="34" t="b">
        <v>0</v>
      </c>
      <c r="C17" s="33" t="b">
        <v>1</v>
      </c>
      <c r="D17" s="34" t="b">
        <v>0</v>
      </c>
      <c r="E17" s="34" t="b">
        <v>0</v>
      </c>
      <c r="F17" s="32" t="b">
        <v>0</v>
      </c>
      <c r="G17" s="55"/>
      <c r="H17" s="17"/>
      <c r="I17" s="56" t="s">
        <v>199</v>
      </c>
      <c r="J17" s="17" t="s">
        <v>103</v>
      </c>
      <c r="K17" s="17" t="s">
        <v>200</v>
      </c>
      <c r="L17" s="17" t="s">
        <v>137</v>
      </c>
      <c r="M17" s="17"/>
      <c r="N17" s="17" t="s">
        <v>227</v>
      </c>
      <c r="O17" s="17"/>
      <c r="P17" s="17" t="s">
        <v>228</v>
      </c>
      <c r="Q17" s="17"/>
      <c r="R17" s="17" t="s">
        <v>129</v>
      </c>
      <c r="S17" s="17"/>
      <c r="T17" s="17" t="s">
        <v>139</v>
      </c>
      <c r="U17" s="17" t="s">
        <v>140</v>
      </c>
      <c r="V17" s="17" t="s">
        <v>111</v>
      </c>
      <c r="W17" s="17" t="s">
        <v>173</v>
      </c>
      <c r="X17" s="17" t="s">
        <v>173</v>
      </c>
      <c r="Y17" s="17" t="s">
        <v>203</v>
      </c>
      <c r="Z17" s="17" t="s">
        <v>142</v>
      </c>
      <c r="AA17" s="17" t="s">
        <v>115</v>
      </c>
      <c r="AB17" s="17"/>
      <c r="AC17" s="17"/>
      <c r="AD17" s="17" t="s">
        <v>115</v>
      </c>
      <c r="AE17" s="17" t="s">
        <v>116</v>
      </c>
      <c r="AF17" s="17"/>
      <c r="AG17" s="17"/>
      <c r="AH17" s="17" t="s">
        <v>116</v>
      </c>
      <c r="AI17" s="17" t="s">
        <v>117</v>
      </c>
      <c r="AJ17" s="17" t="s">
        <v>118</v>
      </c>
      <c r="AK17" s="17"/>
      <c r="AL17" s="17"/>
      <c r="AM17" s="17"/>
      <c r="AN17" s="17" t="s">
        <v>177</v>
      </c>
      <c r="AO17" s="17"/>
      <c r="AP17" s="17"/>
      <c r="AQ17" s="17"/>
      <c r="AR17" s="17" t="s">
        <v>178</v>
      </c>
      <c r="AS17" s="17" t="s">
        <v>144</v>
      </c>
      <c r="AT17" s="17" t="s">
        <v>204</v>
      </c>
      <c r="AU17" s="57" t="str">
        <f>IF($AT17="","",IFERROR(INDEX(InstructorMap!$B:$B, MATCH($AT17, InstructorMap!$A:$A, 0)),""))</f>
        <v>gersoncr@andrews.edu</v>
      </c>
      <c r="AV17" s="57" t="str">
        <f>IF($AT17="","",IFERROR(INDEX(InstructorMap!$C:$C, MATCH($AT17, InstructorMap!$A:$A, 0)),""))</f>
        <v>000093682</v>
      </c>
      <c r="AW17" s="17" t="s">
        <v>121</v>
      </c>
      <c r="AX17" s="17" t="s">
        <v>122</v>
      </c>
      <c r="AY17" s="17"/>
      <c r="AZ17" s="17"/>
      <c r="BA17" s="17" t="s">
        <v>123</v>
      </c>
      <c r="BB17" s="17"/>
      <c r="BC17" s="17"/>
      <c r="BD17" s="17"/>
      <c r="BE17" s="17"/>
      <c r="BF17" s="17"/>
      <c r="BG17" s="17"/>
      <c r="BH17" s="17" t="s">
        <v>103</v>
      </c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 t="s">
        <v>146</v>
      </c>
      <c r="CT17" s="17" t="s">
        <v>133</v>
      </c>
      <c r="CU17" s="17"/>
      <c r="CV17" s="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  <c r="TP17"/>
      <c r="TQ17"/>
      <c r="TR17"/>
      <c r="TS17"/>
      <c r="TT17"/>
      <c r="TU17"/>
      <c r="TV17"/>
      <c r="TW17"/>
      <c r="TX17"/>
      <c r="TY17"/>
      <c r="TZ17"/>
      <c r="UA17"/>
      <c r="UB17"/>
      <c r="UC17"/>
      <c r="UD17"/>
      <c r="UE17"/>
      <c r="UF17"/>
      <c r="UG17"/>
      <c r="UH17"/>
      <c r="UI17"/>
      <c r="UJ17"/>
      <c r="UK17"/>
      <c r="UL17"/>
      <c r="UM17"/>
      <c r="UN17"/>
      <c r="UO17"/>
      <c r="UP17"/>
      <c r="UQ17"/>
      <c r="UR17"/>
      <c r="US17"/>
      <c r="UT17"/>
      <c r="UU17"/>
      <c r="UV17"/>
      <c r="UW17"/>
      <c r="UX17"/>
      <c r="UY17"/>
      <c r="UZ17"/>
      <c r="VA17"/>
      <c r="VB17"/>
      <c r="VC17"/>
      <c r="VD17"/>
      <c r="VE17"/>
      <c r="VF17"/>
      <c r="VG17"/>
      <c r="VH17"/>
      <c r="VI17"/>
      <c r="VJ17"/>
      <c r="VK17"/>
      <c r="VL17"/>
      <c r="VM17"/>
      <c r="VN17"/>
      <c r="VO17"/>
      <c r="VP17"/>
      <c r="VQ17"/>
      <c r="VR17"/>
      <c r="VS17"/>
      <c r="VT17"/>
      <c r="VU17"/>
      <c r="VV17"/>
      <c r="VW17"/>
      <c r="VX17"/>
      <c r="VY17"/>
      <c r="VZ17"/>
      <c r="WA17"/>
      <c r="WB17"/>
      <c r="WC17"/>
      <c r="WD17"/>
      <c r="WE17"/>
      <c r="WF17"/>
      <c r="WG17"/>
      <c r="WH17"/>
      <c r="WI17"/>
      <c r="WJ17"/>
      <c r="WK17"/>
      <c r="WL17"/>
      <c r="WM17"/>
      <c r="WN17"/>
      <c r="WO17"/>
      <c r="WP17"/>
    </row>
    <row r="18" spans="1:614" x14ac:dyDescent="0.2">
      <c r="A18" s="33" t="b">
        <v>0</v>
      </c>
      <c r="B18" s="34" t="b">
        <v>0</v>
      </c>
      <c r="C18" s="33" t="b">
        <v>1</v>
      </c>
      <c r="D18" s="34" t="b">
        <v>0</v>
      </c>
      <c r="E18" s="34" t="b">
        <v>0</v>
      </c>
      <c r="F18" s="32" t="b">
        <v>0</v>
      </c>
      <c r="G18" s="55"/>
      <c r="H18" s="17"/>
      <c r="I18" s="56" t="s">
        <v>199</v>
      </c>
      <c r="J18" s="17" t="s">
        <v>103</v>
      </c>
      <c r="K18" s="17" t="s">
        <v>229</v>
      </c>
      <c r="L18" s="17" t="s">
        <v>216</v>
      </c>
      <c r="M18" s="17"/>
      <c r="N18" s="17" t="s">
        <v>230</v>
      </c>
      <c r="O18" s="17"/>
      <c r="P18" s="17" t="s">
        <v>231</v>
      </c>
      <c r="Q18" s="17"/>
      <c r="R18" s="17" t="s">
        <v>129</v>
      </c>
      <c r="S18" s="17"/>
      <c r="T18" s="17" t="s">
        <v>139</v>
      </c>
      <c r="U18" s="17" t="s">
        <v>140</v>
      </c>
      <c r="V18" s="17" t="s">
        <v>111</v>
      </c>
      <c r="W18" s="17" t="s">
        <v>112</v>
      </c>
      <c r="X18" s="17" t="s">
        <v>150</v>
      </c>
      <c r="Y18" s="17" t="s">
        <v>113</v>
      </c>
      <c r="Z18" s="17" t="s">
        <v>142</v>
      </c>
      <c r="AA18" s="17" t="s">
        <v>115</v>
      </c>
      <c r="AB18" s="17"/>
      <c r="AC18" s="17"/>
      <c r="AD18" s="17" t="s">
        <v>115</v>
      </c>
      <c r="AE18" s="17" t="s">
        <v>116</v>
      </c>
      <c r="AF18" s="17"/>
      <c r="AG18" s="17"/>
      <c r="AH18" s="17" t="s">
        <v>116</v>
      </c>
      <c r="AI18" s="17" t="s">
        <v>175</v>
      </c>
      <c r="AJ18" s="17" t="s">
        <v>176</v>
      </c>
      <c r="AK18" s="17"/>
      <c r="AL18" s="17"/>
      <c r="AM18" s="17"/>
      <c r="AN18" s="17" t="s">
        <v>177</v>
      </c>
      <c r="AO18" s="17"/>
      <c r="AP18" s="17"/>
      <c r="AQ18" s="17"/>
      <c r="AR18" s="17" t="s">
        <v>232</v>
      </c>
      <c r="AS18" s="17" t="s">
        <v>144</v>
      </c>
      <c r="AT18" s="17" t="s">
        <v>233</v>
      </c>
      <c r="AU18" s="57" t="str">
        <f>IF($AT18="","",IFERROR(INDEX(InstructorMap!$B:$B, MATCH($AT18, InstructorMap!$A:$A, 0)),""))</f>
        <v>wdavid@andrews.edu</v>
      </c>
      <c r="AV18" s="57" t="str">
        <f>IF($AT18="","",IFERROR(INDEX(InstructorMap!$C:$C, MATCH($AT18, InstructorMap!$A:$A, 0)),""))</f>
        <v>000124996</v>
      </c>
      <c r="AW18" s="17" t="s">
        <v>121</v>
      </c>
      <c r="AX18" s="17" t="s">
        <v>122</v>
      </c>
      <c r="AY18" s="17"/>
      <c r="AZ18" s="17"/>
      <c r="BA18" s="17" t="s">
        <v>123</v>
      </c>
      <c r="BB18" s="17"/>
      <c r="BC18" s="17"/>
      <c r="BD18" s="17"/>
      <c r="BE18" s="17"/>
      <c r="BF18" s="17"/>
      <c r="BG18" s="17"/>
      <c r="BH18" s="17" t="s">
        <v>103</v>
      </c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 t="s">
        <v>146</v>
      </c>
      <c r="CT18" s="17" t="s">
        <v>133</v>
      </c>
      <c r="CU18" s="17"/>
      <c r="CV18" s="17"/>
    </row>
    <row r="19" spans="1:614" s="54" customFormat="1" x14ac:dyDescent="0.2">
      <c r="A19" s="33" t="b">
        <v>0</v>
      </c>
      <c r="B19" s="34" t="b">
        <v>0</v>
      </c>
      <c r="C19" s="33" t="b">
        <v>1</v>
      </c>
      <c r="D19" s="34" t="b">
        <v>0</v>
      </c>
      <c r="E19" s="34" t="b">
        <v>0</v>
      </c>
      <c r="F19" s="32" t="b">
        <v>0</v>
      </c>
      <c r="G19" s="55"/>
      <c r="H19" s="17"/>
      <c r="I19" s="56" t="s">
        <v>199</v>
      </c>
      <c r="J19" s="17" t="s">
        <v>103</v>
      </c>
      <c r="K19" s="17" t="s">
        <v>229</v>
      </c>
      <c r="L19" s="17" t="s">
        <v>234</v>
      </c>
      <c r="M19" s="17"/>
      <c r="N19" s="17" t="s">
        <v>230</v>
      </c>
      <c r="O19" s="17"/>
      <c r="P19" s="17" t="s">
        <v>231</v>
      </c>
      <c r="Q19" s="17"/>
      <c r="R19" s="17" t="s">
        <v>129</v>
      </c>
      <c r="S19" s="17"/>
      <c r="T19" s="17" t="s">
        <v>139</v>
      </c>
      <c r="U19" s="17" t="s">
        <v>140</v>
      </c>
      <c r="V19" s="17" t="s">
        <v>111</v>
      </c>
      <c r="W19" s="17" t="s">
        <v>112</v>
      </c>
      <c r="X19" s="17" t="s">
        <v>173</v>
      </c>
      <c r="Y19" s="17" t="s">
        <v>113</v>
      </c>
      <c r="Z19" s="17" t="s">
        <v>142</v>
      </c>
      <c r="AA19" s="17" t="s">
        <v>115</v>
      </c>
      <c r="AB19" s="17"/>
      <c r="AC19" s="17"/>
      <c r="AD19" s="17" t="s">
        <v>115</v>
      </c>
      <c r="AE19" s="17" t="s">
        <v>116</v>
      </c>
      <c r="AF19" s="17"/>
      <c r="AG19" s="17"/>
      <c r="AH19" s="17" t="s">
        <v>116</v>
      </c>
      <c r="AI19" s="17" t="s">
        <v>175</v>
      </c>
      <c r="AJ19" s="17" t="s">
        <v>176</v>
      </c>
      <c r="AK19" s="17"/>
      <c r="AL19" s="17"/>
      <c r="AM19" s="17"/>
      <c r="AN19" s="17" t="s">
        <v>177</v>
      </c>
      <c r="AO19" s="17"/>
      <c r="AP19" s="17"/>
      <c r="AQ19" s="17"/>
      <c r="AR19" s="17" t="s">
        <v>232</v>
      </c>
      <c r="AS19" s="17" t="s">
        <v>144</v>
      </c>
      <c r="AT19" s="17" t="s">
        <v>233</v>
      </c>
      <c r="AU19" s="57" t="str">
        <f>IF($AT19="","",IFERROR(INDEX(InstructorMap!$B:$B, MATCH($AT19, InstructorMap!$A:$A, 0)),""))</f>
        <v>wdavid@andrews.edu</v>
      </c>
      <c r="AV19" s="57" t="str">
        <f>IF($AT19="","",IFERROR(INDEX(InstructorMap!$C:$C, MATCH($AT19, InstructorMap!$A:$A, 0)),""))</f>
        <v>000124996</v>
      </c>
      <c r="AW19" s="17" t="s">
        <v>121</v>
      </c>
      <c r="AX19" s="17" t="s">
        <v>122</v>
      </c>
      <c r="AY19" s="17"/>
      <c r="AZ19" s="17"/>
      <c r="BA19" s="17" t="s">
        <v>123</v>
      </c>
      <c r="BB19" s="17"/>
      <c r="BC19" s="17"/>
      <c r="BD19" s="17"/>
      <c r="BE19" s="17"/>
      <c r="BF19" s="17"/>
      <c r="BG19" s="17"/>
      <c r="BH19" s="17" t="s">
        <v>103</v>
      </c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 t="s">
        <v>146</v>
      </c>
      <c r="CT19" s="17" t="s">
        <v>133</v>
      </c>
      <c r="CU19" s="17"/>
      <c r="CV19" s="17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  <c r="TR19"/>
      <c r="TS19"/>
      <c r="TT19"/>
      <c r="TU19"/>
      <c r="TV19"/>
      <c r="TW19"/>
      <c r="TX19"/>
      <c r="TY19"/>
      <c r="TZ19"/>
      <c r="UA19"/>
      <c r="UB19"/>
      <c r="UC19"/>
      <c r="UD19"/>
      <c r="UE19"/>
      <c r="UF19"/>
      <c r="UG19"/>
      <c r="UH19"/>
      <c r="UI19"/>
      <c r="UJ19"/>
      <c r="UK19"/>
      <c r="UL19"/>
      <c r="UM19"/>
      <c r="UN19"/>
      <c r="UO19"/>
      <c r="UP19"/>
      <c r="UQ19"/>
      <c r="UR19"/>
      <c r="US19"/>
      <c r="UT19"/>
      <c r="UU19"/>
      <c r="UV19"/>
      <c r="UW19"/>
      <c r="UX19"/>
      <c r="UY19"/>
      <c r="UZ19"/>
      <c r="VA19"/>
      <c r="VB19"/>
      <c r="VC19"/>
      <c r="VD19"/>
      <c r="VE19"/>
      <c r="VF19"/>
      <c r="VG19"/>
      <c r="VH19"/>
      <c r="VI19"/>
      <c r="VJ19"/>
      <c r="VK19"/>
      <c r="VL19"/>
      <c r="VM19"/>
      <c r="VN19"/>
      <c r="VO19"/>
      <c r="VP19"/>
      <c r="VQ19"/>
      <c r="VR19"/>
      <c r="VS19"/>
      <c r="VT19"/>
      <c r="VU19"/>
      <c r="VV19"/>
      <c r="VW19"/>
      <c r="VX19"/>
      <c r="VY19"/>
      <c r="VZ19"/>
      <c r="WA19"/>
      <c r="WB19"/>
      <c r="WC19"/>
      <c r="WD19"/>
      <c r="WE19"/>
      <c r="WF19"/>
      <c r="WG19"/>
      <c r="WH19"/>
      <c r="WI19"/>
      <c r="WJ19"/>
      <c r="WK19"/>
      <c r="WL19"/>
      <c r="WM19"/>
      <c r="WN19"/>
      <c r="WO19"/>
      <c r="WP19"/>
    </row>
    <row r="20" spans="1:614" s="54" customFormat="1" x14ac:dyDescent="0.2">
      <c r="A20" s="33" t="b">
        <v>0</v>
      </c>
      <c r="B20" s="34" t="b">
        <v>0</v>
      </c>
      <c r="C20" s="33" t="b">
        <v>1</v>
      </c>
      <c r="D20" s="34" t="b">
        <v>0</v>
      </c>
      <c r="E20" s="34" t="b">
        <v>0</v>
      </c>
      <c r="F20" s="32" t="b">
        <v>0</v>
      </c>
      <c r="G20" s="60" t="s">
        <v>100</v>
      </c>
      <c r="H20" s="17"/>
      <c r="I20" s="56" t="s">
        <v>199</v>
      </c>
      <c r="J20" s="17" t="s">
        <v>103</v>
      </c>
      <c r="K20" s="17" t="s">
        <v>229</v>
      </c>
      <c r="L20" s="17" t="s">
        <v>105</v>
      </c>
      <c r="M20" s="17"/>
      <c r="N20" s="17" t="s">
        <v>235</v>
      </c>
      <c r="O20" s="17"/>
      <c r="P20" s="17" t="s">
        <v>236</v>
      </c>
      <c r="Q20" s="17"/>
      <c r="R20" s="17" t="s">
        <v>108</v>
      </c>
      <c r="S20" s="17" t="s">
        <v>108</v>
      </c>
      <c r="T20" s="17" t="s">
        <v>109</v>
      </c>
      <c r="U20" s="17" t="s">
        <v>110</v>
      </c>
      <c r="V20" s="17" t="s">
        <v>111</v>
      </c>
      <c r="W20" s="17" t="s">
        <v>173</v>
      </c>
      <c r="X20" s="17" t="s">
        <v>173</v>
      </c>
      <c r="Y20" s="17" t="s">
        <v>203</v>
      </c>
      <c r="Z20" s="17" t="s">
        <v>114</v>
      </c>
      <c r="AA20" s="17" t="s">
        <v>115</v>
      </c>
      <c r="AB20" s="17"/>
      <c r="AC20" s="17"/>
      <c r="AD20" s="17"/>
      <c r="AE20" s="17"/>
      <c r="AF20" s="17"/>
      <c r="AG20" s="17"/>
      <c r="AH20" s="17" t="s">
        <v>116</v>
      </c>
      <c r="AI20" s="17" t="s">
        <v>175</v>
      </c>
      <c r="AJ20" s="17" t="s">
        <v>237</v>
      </c>
      <c r="AK20" s="17"/>
      <c r="AL20" s="17" t="s">
        <v>119</v>
      </c>
      <c r="AM20" s="17"/>
      <c r="AN20" s="17"/>
      <c r="AO20" s="17"/>
      <c r="AP20" s="17"/>
      <c r="AQ20" s="17"/>
      <c r="AR20" s="17"/>
      <c r="AS20" s="17"/>
      <c r="AT20" s="17" t="s">
        <v>196</v>
      </c>
      <c r="AU20" s="57"/>
      <c r="AV20" s="57"/>
      <c r="AW20" s="17"/>
      <c r="AX20" s="17"/>
      <c r="AY20" s="17"/>
      <c r="AZ20" s="17"/>
      <c r="BA20" s="17"/>
      <c r="BB20" s="17"/>
      <c r="BC20" s="91"/>
      <c r="BD20" s="91"/>
      <c r="BE20" s="91"/>
      <c r="BF20" s="91"/>
      <c r="BG20" s="91"/>
      <c r="BH20" s="17" t="s">
        <v>103</v>
      </c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/>
      <c r="TE20"/>
      <c r="TF20"/>
      <c r="TG20"/>
      <c r="TH20"/>
      <c r="TI20"/>
      <c r="TJ20"/>
      <c r="TK20"/>
      <c r="TL20"/>
      <c r="TM20"/>
      <c r="TN20"/>
      <c r="TO20"/>
      <c r="TP20"/>
      <c r="TQ20"/>
      <c r="TR20"/>
      <c r="TS20"/>
      <c r="TT20"/>
      <c r="TU20"/>
      <c r="TV20"/>
      <c r="TW20"/>
      <c r="TX20"/>
      <c r="TY20"/>
      <c r="TZ20"/>
      <c r="UA20"/>
      <c r="UB20"/>
      <c r="UC20"/>
      <c r="UD20"/>
      <c r="UE20"/>
      <c r="UF20"/>
      <c r="UG20"/>
      <c r="UH20"/>
      <c r="UI20"/>
      <c r="UJ20"/>
      <c r="UK20"/>
      <c r="UL20"/>
      <c r="UM20"/>
      <c r="UN20"/>
      <c r="UO20"/>
      <c r="UP20"/>
      <c r="UQ20"/>
      <c r="UR20"/>
      <c r="US20"/>
      <c r="UT20"/>
      <c r="UU20"/>
      <c r="UV20"/>
      <c r="UW20"/>
      <c r="UX20"/>
      <c r="UY20"/>
      <c r="UZ20"/>
      <c r="VA20"/>
      <c r="VB20"/>
      <c r="VC20"/>
      <c r="VD20"/>
      <c r="VE20"/>
      <c r="VF20"/>
      <c r="VG20"/>
      <c r="VH20"/>
      <c r="VI20"/>
      <c r="VJ20"/>
      <c r="VK20"/>
      <c r="VL20"/>
      <c r="VM20"/>
      <c r="VN20"/>
      <c r="VO20"/>
      <c r="VP20"/>
      <c r="VQ20"/>
      <c r="VR20"/>
      <c r="VS20"/>
      <c r="VT20"/>
      <c r="VU20"/>
      <c r="VV20"/>
      <c r="VW20"/>
      <c r="VX20"/>
      <c r="VY20"/>
      <c r="VZ20"/>
      <c r="WA20"/>
      <c r="WB20"/>
      <c r="WC20"/>
      <c r="WD20"/>
      <c r="WE20"/>
      <c r="WF20"/>
      <c r="WG20"/>
      <c r="WH20"/>
      <c r="WI20"/>
      <c r="WJ20"/>
      <c r="WK20"/>
      <c r="WL20"/>
      <c r="WM20"/>
      <c r="WN20"/>
      <c r="WO20"/>
      <c r="WP20"/>
    </row>
    <row r="21" spans="1:614" s="54" customFormat="1" x14ac:dyDescent="0.2">
      <c r="A21" s="33" t="b">
        <v>0</v>
      </c>
      <c r="B21" s="34" t="b">
        <v>0</v>
      </c>
      <c r="C21" s="33" t="b">
        <v>1</v>
      </c>
      <c r="D21" s="34" t="b">
        <v>0</v>
      </c>
      <c r="E21" s="34" t="b">
        <v>0</v>
      </c>
      <c r="F21" s="32" t="b">
        <v>0</v>
      </c>
      <c r="G21" s="61"/>
      <c r="H21" s="17"/>
      <c r="I21" s="56" t="s">
        <v>199</v>
      </c>
      <c r="J21" s="17" t="s">
        <v>103</v>
      </c>
      <c r="K21" s="17" t="s">
        <v>238</v>
      </c>
      <c r="L21" s="17" t="s">
        <v>105</v>
      </c>
      <c r="M21" s="17"/>
      <c r="N21" s="17" t="s">
        <v>235</v>
      </c>
      <c r="O21" s="17"/>
      <c r="P21" s="17" t="s">
        <v>236</v>
      </c>
      <c r="Q21" s="17"/>
      <c r="R21" s="17" t="s">
        <v>108</v>
      </c>
      <c r="S21" s="17" t="s">
        <v>108</v>
      </c>
      <c r="T21" s="17" t="s">
        <v>109</v>
      </c>
      <c r="U21" s="17" t="s">
        <v>110</v>
      </c>
      <c r="V21" s="17" t="s">
        <v>239</v>
      </c>
      <c r="W21" s="17" t="s">
        <v>173</v>
      </c>
      <c r="X21" s="17" t="s">
        <v>173</v>
      </c>
      <c r="Y21" s="17" t="s">
        <v>113</v>
      </c>
      <c r="Z21" s="17" t="s">
        <v>114</v>
      </c>
      <c r="AA21" s="17" t="s">
        <v>115</v>
      </c>
      <c r="AB21" s="17"/>
      <c r="AC21" s="17"/>
      <c r="AD21" s="17"/>
      <c r="AE21" s="17"/>
      <c r="AF21" s="17"/>
      <c r="AG21" s="17"/>
      <c r="AH21" s="17" t="s">
        <v>116</v>
      </c>
      <c r="AI21" s="17" t="s">
        <v>175</v>
      </c>
      <c r="AJ21" s="17" t="s">
        <v>237</v>
      </c>
      <c r="AK21" s="17"/>
      <c r="AL21" s="17" t="s">
        <v>119</v>
      </c>
      <c r="AM21" s="17"/>
      <c r="AN21" s="17"/>
      <c r="AO21" s="17"/>
      <c r="AP21" s="17"/>
      <c r="AQ21" s="17"/>
      <c r="AR21" s="17"/>
      <c r="AS21" s="17"/>
      <c r="AT21" s="17" t="s">
        <v>196</v>
      </c>
      <c r="AU21" s="57"/>
      <c r="AV21" s="57"/>
      <c r="AW21" s="17"/>
      <c r="AX21" s="17"/>
      <c r="AY21" s="17"/>
      <c r="AZ21" s="17"/>
      <c r="BA21" s="17"/>
      <c r="BB21" s="17"/>
      <c r="BC21" s="90"/>
      <c r="BD21" s="90"/>
      <c r="BE21" s="90"/>
      <c r="BF21" s="90"/>
      <c r="BG21" s="90"/>
      <c r="BH21" s="17" t="s">
        <v>103</v>
      </c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  <c r="TP21"/>
      <c r="TQ21"/>
      <c r="TR21"/>
      <c r="TS21"/>
      <c r="TT21"/>
      <c r="TU21"/>
      <c r="TV21"/>
      <c r="TW21"/>
      <c r="TX21"/>
      <c r="TY21"/>
      <c r="TZ21"/>
      <c r="UA21"/>
      <c r="UB21"/>
      <c r="UC21"/>
      <c r="UD21"/>
      <c r="UE21"/>
      <c r="UF21"/>
      <c r="UG21"/>
      <c r="UH21"/>
      <c r="UI21"/>
      <c r="UJ21"/>
      <c r="UK21"/>
      <c r="UL21"/>
      <c r="UM21"/>
      <c r="UN21"/>
      <c r="UO21"/>
      <c r="UP21"/>
      <c r="UQ21"/>
      <c r="UR21"/>
      <c r="US21"/>
      <c r="UT21"/>
      <c r="UU21"/>
      <c r="UV21"/>
      <c r="UW21"/>
      <c r="UX21"/>
      <c r="UY21"/>
      <c r="UZ21"/>
      <c r="VA21"/>
      <c r="VB21"/>
      <c r="VC21"/>
      <c r="VD21"/>
      <c r="VE21"/>
      <c r="VF21"/>
      <c r="VG21"/>
      <c r="VH21"/>
      <c r="VI21"/>
      <c r="VJ21"/>
      <c r="VK21"/>
      <c r="VL21"/>
      <c r="VM21"/>
      <c r="VN21"/>
      <c r="VO21"/>
      <c r="VP21"/>
      <c r="VQ21"/>
      <c r="VR21"/>
      <c r="VS21"/>
      <c r="VT21"/>
      <c r="VU21"/>
      <c r="VV21"/>
      <c r="VW21"/>
      <c r="VX21"/>
      <c r="VY21"/>
      <c r="VZ21"/>
      <c r="WA21"/>
      <c r="WB21"/>
      <c r="WC21"/>
      <c r="WD21"/>
      <c r="WE21"/>
      <c r="WF21"/>
      <c r="WG21"/>
      <c r="WH21"/>
      <c r="WI21"/>
      <c r="WJ21"/>
      <c r="WK21"/>
      <c r="WL21"/>
      <c r="WM21"/>
      <c r="WN21"/>
      <c r="WO21"/>
      <c r="WP21"/>
    </row>
    <row r="22" spans="1:614" s="54" customFormat="1" x14ac:dyDescent="0.2">
      <c r="A22" s="66" t="b">
        <v>0</v>
      </c>
      <c r="B22" s="67" t="b">
        <v>0</v>
      </c>
      <c r="C22" s="67" t="b">
        <v>1</v>
      </c>
      <c r="D22" s="67" t="b">
        <v>0</v>
      </c>
      <c r="E22" s="67" t="b">
        <v>0</v>
      </c>
      <c r="F22" s="66" t="b">
        <v>0</v>
      </c>
      <c r="G22" s="60" t="s">
        <v>240</v>
      </c>
      <c r="H22" s="6" t="s">
        <v>241</v>
      </c>
      <c r="I22" s="6" t="s">
        <v>242</v>
      </c>
      <c r="J22" s="6" t="s">
        <v>103</v>
      </c>
      <c r="K22" s="6" t="s">
        <v>243</v>
      </c>
      <c r="L22" s="6" t="s">
        <v>244</v>
      </c>
      <c r="M22" s="6"/>
      <c r="N22" s="6" t="s">
        <v>245</v>
      </c>
      <c r="O22" s="59"/>
      <c r="P22" s="6"/>
      <c r="Q22" s="6"/>
      <c r="R22" s="6" t="s">
        <v>129</v>
      </c>
      <c r="S22" s="6"/>
      <c r="T22" s="6" t="s">
        <v>246</v>
      </c>
      <c r="U22" s="6"/>
      <c r="V22" s="6" t="s">
        <v>111</v>
      </c>
      <c r="W22" s="6" t="s">
        <v>247</v>
      </c>
      <c r="X22" s="86" t="s">
        <v>247</v>
      </c>
      <c r="Y22" s="6" t="s">
        <v>148</v>
      </c>
      <c r="Z22" s="6" t="s">
        <v>142</v>
      </c>
      <c r="AA22" s="6" t="s">
        <v>115</v>
      </c>
      <c r="AB22" s="6"/>
      <c r="AC22" s="6"/>
      <c r="AD22" s="6" t="s">
        <v>115</v>
      </c>
      <c r="AE22" s="6" t="s">
        <v>116</v>
      </c>
      <c r="AF22" s="6"/>
      <c r="AG22" s="6"/>
      <c r="AH22" s="6" t="s">
        <v>116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 t="s">
        <v>248</v>
      </c>
      <c r="AU22" s="7" t="str">
        <f>IF($AT22="","",IFERROR(INDEX(InstructorMap!$B:$B, MATCH($AT22, InstructorMap!$A:$A, 0)),""))</f>
        <v>abnerh@andrews.edu</v>
      </c>
      <c r="AV22" s="7" t="str">
        <f>IF($AT22="","",IFERROR(INDEX(InstructorMap!$C:$C, MATCH($AT22, InstructorMap!$A:$A, 0)),""))</f>
        <v>000149024</v>
      </c>
      <c r="AW22" s="6" t="s">
        <v>121</v>
      </c>
      <c r="AX22" s="6"/>
      <c r="AY22" s="6"/>
      <c r="AZ22" s="6"/>
      <c r="BA22" s="6" t="s">
        <v>123</v>
      </c>
      <c r="BB22" s="6"/>
      <c r="BC22" s="6"/>
      <c r="BD22" s="6"/>
      <c r="BE22" s="6"/>
      <c r="BF22" s="6"/>
      <c r="BG22" s="6"/>
      <c r="BH22" s="6" t="s">
        <v>103</v>
      </c>
      <c r="BI22" s="6" t="s">
        <v>124</v>
      </c>
      <c r="BJ22" s="6" t="s">
        <v>125</v>
      </c>
      <c r="BK22" s="6" t="s">
        <v>150</v>
      </c>
      <c r="BL22" s="6" t="s">
        <v>249</v>
      </c>
      <c r="BM22" s="6"/>
      <c r="BN22" s="6"/>
      <c r="BO22" s="6" t="s">
        <v>127</v>
      </c>
      <c r="BP22" s="6"/>
      <c r="BQ22" s="6"/>
      <c r="BR22" s="6"/>
      <c r="BS22" s="6"/>
      <c r="BT22" s="6" t="s">
        <v>128</v>
      </c>
      <c r="BU22" s="6" t="s">
        <v>129</v>
      </c>
      <c r="BV22" s="6" t="s">
        <v>129</v>
      </c>
      <c r="BW22" s="6" t="s">
        <v>130</v>
      </c>
      <c r="BX22" s="6"/>
      <c r="BY22" s="6"/>
      <c r="BZ22" s="6"/>
      <c r="CA22" s="6"/>
      <c r="CB22" s="6"/>
      <c r="CC22" s="6"/>
      <c r="CD22" s="6"/>
      <c r="CE22" s="6"/>
      <c r="CF22" s="6" t="s">
        <v>130</v>
      </c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 t="s">
        <v>249</v>
      </c>
      <c r="CS22" s="6" t="s">
        <v>132</v>
      </c>
      <c r="CT22" s="6" t="s">
        <v>133</v>
      </c>
      <c r="CU22" s="6" t="s">
        <v>134</v>
      </c>
      <c r="CV22" s="6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/>
      <c r="TC22"/>
      <c r="TD22"/>
      <c r="TE22"/>
      <c r="TF22"/>
      <c r="TG22"/>
      <c r="TH22"/>
      <c r="TI22"/>
      <c r="TJ22"/>
      <c r="TK22"/>
      <c r="TL22"/>
      <c r="TM22"/>
      <c r="TN22"/>
      <c r="TO22"/>
      <c r="TP22"/>
      <c r="TQ22"/>
      <c r="TR22"/>
      <c r="TS22"/>
      <c r="TT22"/>
      <c r="TU22"/>
      <c r="TV22"/>
      <c r="TW22"/>
      <c r="TX22"/>
      <c r="TY22"/>
      <c r="TZ22"/>
      <c r="UA22"/>
      <c r="UB22"/>
      <c r="UC22"/>
      <c r="UD22"/>
      <c r="UE22"/>
      <c r="UF22"/>
      <c r="UG22"/>
      <c r="UH22"/>
      <c r="UI22"/>
      <c r="UJ22"/>
      <c r="UK22"/>
      <c r="UL22"/>
      <c r="UM22"/>
      <c r="UN22"/>
      <c r="UO22"/>
      <c r="UP22"/>
      <c r="UQ22"/>
      <c r="UR22"/>
      <c r="US22"/>
      <c r="UT22"/>
      <c r="UU22"/>
      <c r="UV22"/>
      <c r="UW22"/>
      <c r="UX22"/>
      <c r="UY22"/>
      <c r="UZ22"/>
      <c r="VA22"/>
      <c r="VB22"/>
      <c r="VC22"/>
      <c r="VD22"/>
      <c r="VE22"/>
      <c r="VF22"/>
      <c r="VG22"/>
      <c r="VH22"/>
      <c r="VI22"/>
      <c r="VJ22"/>
      <c r="VK22"/>
      <c r="VL22"/>
      <c r="VM22"/>
      <c r="VN22"/>
      <c r="VO22"/>
      <c r="VP22"/>
      <c r="VQ22"/>
      <c r="VR22"/>
      <c r="VS22"/>
      <c r="VT22"/>
      <c r="VU22"/>
      <c r="VV22"/>
      <c r="VW22"/>
      <c r="VX22"/>
      <c r="VY22"/>
      <c r="VZ22"/>
      <c r="WA22"/>
      <c r="WB22"/>
      <c r="WC22"/>
      <c r="WD22"/>
      <c r="WE22"/>
      <c r="WF22"/>
      <c r="WG22"/>
      <c r="WH22"/>
      <c r="WI22"/>
      <c r="WJ22"/>
      <c r="WK22"/>
      <c r="WL22"/>
      <c r="WM22"/>
      <c r="WN22"/>
      <c r="WO22"/>
      <c r="WP22"/>
    </row>
    <row r="23" spans="1:614" x14ac:dyDescent="0.2">
      <c r="A23" s="66" t="b">
        <v>0</v>
      </c>
      <c r="B23" s="67" t="b">
        <v>0</v>
      </c>
      <c r="C23" s="67" t="b">
        <v>1</v>
      </c>
      <c r="D23" s="67" t="b">
        <v>0</v>
      </c>
      <c r="E23" s="67" t="b">
        <v>0</v>
      </c>
      <c r="F23" s="66" t="b">
        <v>0</v>
      </c>
      <c r="G23" s="60" t="s">
        <v>240</v>
      </c>
      <c r="H23" s="6" t="s">
        <v>250</v>
      </c>
      <c r="I23" s="6" t="s">
        <v>251</v>
      </c>
      <c r="J23" s="6" t="s">
        <v>103</v>
      </c>
      <c r="K23" s="6" t="s">
        <v>243</v>
      </c>
      <c r="L23" s="6" t="s">
        <v>252</v>
      </c>
      <c r="M23" s="6"/>
      <c r="N23" s="6" t="s">
        <v>245</v>
      </c>
      <c r="O23" s="59"/>
      <c r="P23" s="6"/>
      <c r="Q23" s="6"/>
      <c r="R23" s="6" t="s">
        <v>129</v>
      </c>
      <c r="S23" s="6"/>
      <c r="T23" s="6" t="s">
        <v>246</v>
      </c>
      <c r="U23" s="6"/>
      <c r="V23" s="6" t="s">
        <v>111</v>
      </c>
      <c r="W23" s="6" t="s">
        <v>247</v>
      </c>
      <c r="X23" s="86" t="s">
        <v>247</v>
      </c>
      <c r="Y23" s="6" t="s">
        <v>148</v>
      </c>
      <c r="Z23" s="6" t="s">
        <v>142</v>
      </c>
      <c r="AA23" s="6" t="s">
        <v>115</v>
      </c>
      <c r="AB23" s="6"/>
      <c r="AC23" s="6"/>
      <c r="AD23" s="6" t="s">
        <v>115</v>
      </c>
      <c r="AE23" s="6" t="s">
        <v>116</v>
      </c>
      <c r="AF23" s="6"/>
      <c r="AG23" s="6"/>
      <c r="AH23" s="6" t="s">
        <v>116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 t="s">
        <v>213</v>
      </c>
      <c r="AU23" s="7" t="str">
        <f>IF($AT23="","",IFERROR(INDEX(InstructorMap!$B:$B, MATCH($AT23, InstructorMap!$A:$A, 0)),""))</f>
        <v>toreggio@andrews.edu</v>
      </c>
      <c r="AV23" s="7" t="str">
        <f>IF($AT23="","",IFERROR(INDEX(InstructorMap!$C:$C, MATCH($AT23, InstructorMap!$A:$A, 0)),""))</f>
        <v>000035762</v>
      </c>
      <c r="AW23" s="6" t="s">
        <v>121</v>
      </c>
      <c r="AX23" s="6"/>
      <c r="AY23" s="6"/>
      <c r="AZ23" s="6"/>
      <c r="BA23" s="6" t="s">
        <v>123</v>
      </c>
      <c r="BB23" s="6"/>
      <c r="BC23" s="6"/>
      <c r="BD23" s="6"/>
      <c r="BE23" s="6"/>
      <c r="BF23" s="6"/>
      <c r="BG23" s="6"/>
      <c r="BH23" s="6" t="s">
        <v>103</v>
      </c>
      <c r="BI23" s="6" t="s">
        <v>124</v>
      </c>
      <c r="BJ23" s="6" t="s">
        <v>125</v>
      </c>
      <c r="BK23" s="6"/>
      <c r="BL23" s="6" t="s">
        <v>249</v>
      </c>
      <c r="BM23" s="6"/>
      <c r="BN23" s="6"/>
      <c r="BO23" s="6" t="s">
        <v>127</v>
      </c>
      <c r="BP23" s="6"/>
      <c r="BQ23" s="6"/>
      <c r="BR23" s="6"/>
      <c r="BS23" s="6"/>
      <c r="BT23" s="6" t="s">
        <v>128</v>
      </c>
      <c r="BU23" s="6" t="s">
        <v>129</v>
      </c>
      <c r="BV23" s="6" t="s">
        <v>129</v>
      </c>
      <c r="BW23" s="6" t="s">
        <v>130</v>
      </c>
      <c r="BX23" s="6"/>
      <c r="BY23" s="6"/>
      <c r="BZ23" s="6"/>
      <c r="CA23" s="6"/>
      <c r="CB23" s="6"/>
      <c r="CC23" s="6"/>
      <c r="CD23" s="6"/>
      <c r="CE23" s="6"/>
      <c r="CF23" s="6" t="s">
        <v>130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 t="s">
        <v>249</v>
      </c>
      <c r="CS23" s="6" t="s">
        <v>132</v>
      </c>
      <c r="CT23" s="6" t="s">
        <v>133</v>
      </c>
      <c r="CU23" s="6" t="s">
        <v>134</v>
      </c>
      <c r="CV23" s="6"/>
    </row>
    <row r="24" spans="1:614" x14ac:dyDescent="0.2">
      <c r="A24" s="66" t="b">
        <v>0</v>
      </c>
      <c r="B24" s="67" t="b">
        <v>0</v>
      </c>
      <c r="C24" s="67" t="b">
        <v>1</v>
      </c>
      <c r="D24" s="67" t="b">
        <v>0</v>
      </c>
      <c r="E24" s="67" t="b">
        <v>0</v>
      </c>
      <c r="F24" s="66" t="b">
        <v>0</v>
      </c>
      <c r="G24" s="60" t="s">
        <v>240</v>
      </c>
      <c r="H24" s="6" t="s">
        <v>253</v>
      </c>
      <c r="I24" s="6" t="s">
        <v>254</v>
      </c>
      <c r="J24" s="6" t="s">
        <v>103</v>
      </c>
      <c r="K24" s="6" t="s">
        <v>243</v>
      </c>
      <c r="L24" s="6" t="s">
        <v>255</v>
      </c>
      <c r="M24" s="6"/>
      <c r="N24" s="6" t="s">
        <v>245</v>
      </c>
      <c r="O24" s="59"/>
      <c r="P24" s="6"/>
      <c r="Q24" s="6"/>
      <c r="R24" s="6" t="s">
        <v>129</v>
      </c>
      <c r="S24" s="6"/>
      <c r="T24" s="6" t="s">
        <v>246</v>
      </c>
      <c r="U24" s="6"/>
      <c r="V24" s="6" t="s">
        <v>111</v>
      </c>
      <c r="W24" s="6" t="s">
        <v>247</v>
      </c>
      <c r="X24" s="86" t="s">
        <v>247</v>
      </c>
      <c r="Y24" s="6" t="s">
        <v>148</v>
      </c>
      <c r="Z24" s="6" t="s">
        <v>142</v>
      </c>
      <c r="AA24" s="6" t="s">
        <v>115</v>
      </c>
      <c r="AB24" s="6"/>
      <c r="AC24" s="6"/>
      <c r="AD24" s="6" t="s">
        <v>115</v>
      </c>
      <c r="AE24" s="6" t="s">
        <v>116</v>
      </c>
      <c r="AF24" s="6"/>
      <c r="AG24" s="6"/>
      <c r="AH24" s="6" t="s">
        <v>116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 t="s">
        <v>120</v>
      </c>
      <c r="AU24" s="7" t="str">
        <f>IF($AT24="","",IFERROR(INDEX(InstructorMap!$B:$B, MATCH($AT24, InstructorMap!$A:$A, 0)),""))</f>
        <v>jreeve@andrews.edu</v>
      </c>
      <c r="AV24" s="7" t="str">
        <f>IF($AT24="","",IFERROR(INDEX(InstructorMap!$C:$C, MATCH($AT24, InstructorMap!$A:$A, 0)),""))</f>
        <v>000049018</v>
      </c>
      <c r="AW24" s="6" t="s">
        <v>121</v>
      </c>
      <c r="AX24" s="6"/>
      <c r="AY24" s="6"/>
      <c r="AZ24" s="6"/>
      <c r="BA24" s="6" t="s">
        <v>123</v>
      </c>
      <c r="BB24" s="6"/>
      <c r="BC24" s="6"/>
      <c r="BD24" s="6"/>
      <c r="BE24" s="6"/>
      <c r="BF24" s="6"/>
      <c r="BG24" s="6"/>
      <c r="BH24" s="6" t="s">
        <v>103</v>
      </c>
      <c r="BI24" s="6" t="s">
        <v>124</v>
      </c>
      <c r="BJ24" s="6" t="s">
        <v>125</v>
      </c>
      <c r="BK24" s="6"/>
      <c r="BL24" s="6" t="s">
        <v>249</v>
      </c>
      <c r="BM24" s="6"/>
      <c r="BN24" s="6"/>
      <c r="BO24" s="6" t="s">
        <v>127</v>
      </c>
      <c r="BP24" s="6"/>
      <c r="BQ24" s="6"/>
      <c r="BR24" s="6"/>
      <c r="BS24" s="6"/>
      <c r="BT24" s="6" t="s">
        <v>128</v>
      </c>
      <c r="BU24" s="6" t="s">
        <v>129</v>
      </c>
      <c r="BV24" s="6" t="s">
        <v>129</v>
      </c>
      <c r="BW24" s="6" t="s">
        <v>130</v>
      </c>
      <c r="BX24" s="6"/>
      <c r="BY24" s="6"/>
      <c r="BZ24" s="6"/>
      <c r="CA24" s="6"/>
      <c r="CB24" s="6"/>
      <c r="CC24" s="6"/>
      <c r="CD24" s="6"/>
      <c r="CE24" s="6"/>
      <c r="CF24" s="6" t="s">
        <v>130</v>
      </c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 t="s">
        <v>249</v>
      </c>
      <c r="CS24" s="6" t="s">
        <v>132</v>
      </c>
      <c r="CT24" s="6" t="s">
        <v>133</v>
      </c>
      <c r="CU24" s="6" t="s">
        <v>134</v>
      </c>
      <c r="CV24" s="6"/>
    </row>
    <row r="25" spans="1:614" x14ac:dyDescent="0.2">
      <c r="A25" s="66" t="b">
        <v>0</v>
      </c>
      <c r="B25" s="67" t="b">
        <v>0</v>
      </c>
      <c r="C25" s="67" t="b">
        <v>1</v>
      </c>
      <c r="D25" s="67" t="b">
        <v>0</v>
      </c>
      <c r="E25" s="67" t="b">
        <v>0</v>
      </c>
      <c r="F25" s="66" t="b">
        <v>0</v>
      </c>
      <c r="G25" s="60" t="s">
        <v>240</v>
      </c>
      <c r="H25" s="6" t="s">
        <v>256</v>
      </c>
      <c r="I25" s="6" t="s">
        <v>257</v>
      </c>
      <c r="J25" s="6" t="s">
        <v>103</v>
      </c>
      <c r="K25" s="6" t="s">
        <v>243</v>
      </c>
      <c r="L25" s="6" t="s">
        <v>258</v>
      </c>
      <c r="M25" s="6"/>
      <c r="N25" s="63" t="s">
        <v>245</v>
      </c>
      <c r="O25" s="59"/>
      <c r="P25" s="6"/>
      <c r="Q25" s="6"/>
      <c r="R25" s="6" t="s">
        <v>129</v>
      </c>
      <c r="S25" s="6"/>
      <c r="T25" s="6" t="s">
        <v>246</v>
      </c>
      <c r="U25" s="6"/>
      <c r="V25" s="6" t="s">
        <v>111</v>
      </c>
      <c r="W25" s="6" t="s">
        <v>247</v>
      </c>
      <c r="X25" s="86" t="s">
        <v>247</v>
      </c>
      <c r="Y25" s="6" t="s">
        <v>148</v>
      </c>
      <c r="Z25" s="6" t="s">
        <v>142</v>
      </c>
      <c r="AA25" s="6" t="s">
        <v>115</v>
      </c>
      <c r="AB25" s="6"/>
      <c r="AC25" s="6"/>
      <c r="AD25" s="6" t="s">
        <v>115</v>
      </c>
      <c r="AE25" s="6" t="s">
        <v>116</v>
      </c>
      <c r="AF25" s="6"/>
      <c r="AG25" s="6"/>
      <c r="AH25" s="6" t="s">
        <v>116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 t="s">
        <v>259</v>
      </c>
      <c r="AU25" s="7" t="str">
        <f>IF($AT25="","",IFERROR(INDEX(InstructorMap!$B:$B, MATCH($AT25, InstructorMap!$A:$A, 0)),""))</f>
        <v>denis@andrews.edu</v>
      </c>
      <c r="AV25" s="7" t="str">
        <f>IF($AT25="","",IFERROR(INDEX(InstructorMap!$C:$C, MATCH($AT25, InstructorMap!$A:$A, 0)),""))</f>
        <v>000134382</v>
      </c>
      <c r="AW25" s="6" t="s">
        <v>121</v>
      </c>
      <c r="AX25" s="6"/>
      <c r="AY25" s="6"/>
      <c r="AZ25" s="6"/>
      <c r="BA25" s="6" t="s">
        <v>123</v>
      </c>
      <c r="BB25" s="6"/>
      <c r="BC25" s="6"/>
      <c r="BD25" s="6"/>
      <c r="BE25" s="6"/>
      <c r="BF25" s="6"/>
      <c r="BG25" s="6"/>
      <c r="BH25" s="6" t="s">
        <v>103</v>
      </c>
      <c r="BI25" s="6" t="s">
        <v>124</v>
      </c>
      <c r="BJ25" s="6" t="s">
        <v>125</v>
      </c>
      <c r="BK25" s="6"/>
      <c r="BL25" s="6" t="s">
        <v>249</v>
      </c>
      <c r="BM25" s="6"/>
      <c r="BN25" s="6"/>
      <c r="BO25" s="6" t="s">
        <v>127</v>
      </c>
      <c r="BP25" s="6"/>
      <c r="BQ25" s="6"/>
      <c r="BR25" s="6"/>
      <c r="BS25" s="6"/>
      <c r="BT25" s="6" t="s">
        <v>128</v>
      </c>
      <c r="BU25" s="6" t="s">
        <v>129</v>
      </c>
      <c r="BV25" s="6" t="s">
        <v>129</v>
      </c>
      <c r="BW25" s="6" t="s">
        <v>130</v>
      </c>
      <c r="BX25" s="6"/>
      <c r="BY25" s="6"/>
      <c r="BZ25" s="6"/>
      <c r="CA25" s="6"/>
      <c r="CB25" s="6"/>
      <c r="CC25" s="6"/>
      <c r="CD25" s="6"/>
      <c r="CE25" s="6"/>
      <c r="CF25" s="6" t="s">
        <v>130</v>
      </c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 t="s">
        <v>249</v>
      </c>
      <c r="CS25" s="6" t="s">
        <v>132</v>
      </c>
      <c r="CT25" s="6" t="s">
        <v>133</v>
      </c>
      <c r="CU25" s="6" t="s">
        <v>134</v>
      </c>
      <c r="CV25" s="6"/>
    </row>
    <row r="26" spans="1:614" x14ac:dyDescent="0.2">
      <c r="A26" s="45" t="b">
        <v>0</v>
      </c>
      <c r="B26" s="45" t="b">
        <v>0</v>
      </c>
      <c r="C26" s="45" t="b">
        <v>1</v>
      </c>
      <c r="D26" s="45" t="b">
        <v>0</v>
      </c>
      <c r="E26" s="45" t="b">
        <v>0</v>
      </c>
      <c r="F26" s="45" t="b">
        <v>0</v>
      </c>
      <c r="G26" s="65" t="s">
        <v>260</v>
      </c>
      <c r="H26" s="4" t="s">
        <v>261</v>
      </c>
      <c r="I26" s="4" t="s">
        <v>262</v>
      </c>
      <c r="J26" s="4" t="s">
        <v>103</v>
      </c>
      <c r="K26" s="4" t="s">
        <v>263</v>
      </c>
      <c r="L26" s="4" t="s">
        <v>137</v>
      </c>
      <c r="M26" s="4"/>
      <c r="N26" s="63" t="s">
        <v>264</v>
      </c>
      <c r="O26" s="59" t="s">
        <v>208</v>
      </c>
      <c r="P26" s="4" t="s">
        <v>209</v>
      </c>
      <c r="Q26" s="4" t="s">
        <v>210</v>
      </c>
      <c r="R26" s="4" t="s">
        <v>129</v>
      </c>
      <c r="S26" s="4"/>
      <c r="T26" s="4" t="s">
        <v>139</v>
      </c>
      <c r="U26" s="4" t="s">
        <v>140</v>
      </c>
      <c r="V26" s="4" t="s">
        <v>239</v>
      </c>
      <c r="W26" s="4" t="s">
        <v>247</v>
      </c>
      <c r="X26" s="4" t="s">
        <v>247</v>
      </c>
      <c r="Y26" s="4" t="s">
        <v>203</v>
      </c>
      <c r="Z26" s="4" t="s">
        <v>142</v>
      </c>
      <c r="AA26" s="4" t="s">
        <v>115</v>
      </c>
      <c r="AB26" s="4"/>
      <c r="AC26" s="4"/>
      <c r="AD26" s="4" t="s">
        <v>115</v>
      </c>
      <c r="AE26" s="4" t="s">
        <v>116</v>
      </c>
      <c r="AF26" s="4"/>
      <c r="AG26" s="4"/>
      <c r="AH26" s="4" t="s">
        <v>116</v>
      </c>
      <c r="AI26" s="4" t="s">
        <v>117</v>
      </c>
      <c r="AJ26" s="4" t="s">
        <v>118</v>
      </c>
      <c r="AK26" s="4"/>
      <c r="AL26" s="4"/>
      <c r="AM26" s="4" t="s">
        <v>211</v>
      </c>
      <c r="AN26" s="4"/>
      <c r="AO26" s="4"/>
      <c r="AP26" s="4"/>
      <c r="AQ26" s="4"/>
      <c r="AR26" s="4" t="s">
        <v>212</v>
      </c>
      <c r="AS26" s="4" t="s">
        <v>144</v>
      </c>
      <c r="AT26" s="4" t="s">
        <v>213</v>
      </c>
      <c r="AU26" s="5" t="str">
        <f>IF($AT26="","",IFERROR(INDEX(InstructorMap!$B:$B, MATCH($AT26, InstructorMap!$A:$A, 0)),""))</f>
        <v>toreggio@andrews.edu</v>
      </c>
      <c r="AV26" s="5" t="str">
        <f>IF($AT26="","",IFERROR(INDEX(InstructorMap!$C:$C, MATCH($AT26, InstructorMap!$A:$A, 0)),""))</f>
        <v>000035762</v>
      </c>
      <c r="AW26" s="4" t="s">
        <v>121</v>
      </c>
      <c r="AX26" s="4" t="s">
        <v>122</v>
      </c>
      <c r="AY26" s="4"/>
      <c r="AZ26" s="4"/>
      <c r="BA26" s="4" t="s">
        <v>123</v>
      </c>
      <c r="BB26" s="4"/>
      <c r="BC26" s="4"/>
      <c r="BD26" s="4"/>
      <c r="BE26" s="4"/>
      <c r="BF26" s="4"/>
      <c r="BG26" s="4"/>
      <c r="BH26" s="4" t="s">
        <v>103</v>
      </c>
      <c r="BI26" s="4" t="s">
        <v>124</v>
      </c>
      <c r="BJ26" s="4" t="s">
        <v>125</v>
      </c>
      <c r="BK26" s="4"/>
      <c r="BL26" s="4" t="s">
        <v>125</v>
      </c>
      <c r="BM26" s="4"/>
      <c r="BN26" s="4"/>
      <c r="BO26" s="4" t="s">
        <v>127</v>
      </c>
      <c r="BP26" s="4"/>
      <c r="BQ26" s="4"/>
      <c r="BR26" s="4"/>
      <c r="BS26" s="4"/>
      <c r="BT26" s="4" t="s">
        <v>128</v>
      </c>
      <c r="BU26" s="4" t="s">
        <v>129</v>
      </c>
      <c r="BV26" s="4" t="s">
        <v>129</v>
      </c>
      <c r="BW26" s="4" t="s">
        <v>130</v>
      </c>
      <c r="BX26" s="4" t="s">
        <v>131</v>
      </c>
      <c r="BY26" s="4"/>
      <c r="BZ26" s="4"/>
      <c r="CA26" s="4"/>
      <c r="CB26" s="4"/>
      <c r="CC26" s="4"/>
      <c r="CD26" s="4"/>
      <c r="CE26" s="4"/>
      <c r="CF26" s="4" t="s">
        <v>130</v>
      </c>
      <c r="CG26" s="4"/>
      <c r="CH26" s="4" t="s">
        <v>131</v>
      </c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 t="s">
        <v>146</v>
      </c>
      <c r="CT26" s="4" t="s">
        <v>133</v>
      </c>
      <c r="CU26" s="4" t="s">
        <v>134</v>
      </c>
      <c r="CV26" s="4"/>
    </row>
    <row r="27" spans="1:614" s="48" customFormat="1" x14ac:dyDescent="0.2">
      <c r="A27" s="45" t="b">
        <v>0</v>
      </c>
      <c r="B27" s="45" t="b">
        <v>0</v>
      </c>
      <c r="C27" s="45" t="b">
        <v>1</v>
      </c>
      <c r="D27" s="45" t="b">
        <v>0</v>
      </c>
      <c r="E27" s="45" t="b">
        <v>0</v>
      </c>
      <c r="F27" s="45" t="b">
        <v>0</v>
      </c>
      <c r="G27" s="65" t="s">
        <v>260</v>
      </c>
      <c r="H27" s="4" t="s">
        <v>265</v>
      </c>
      <c r="I27" s="4" t="s">
        <v>266</v>
      </c>
      <c r="J27" s="4" t="s">
        <v>103</v>
      </c>
      <c r="K27" s="4" t="s">
        <v>267</v>
      </c>
      <c r="L27" s="4" t="s">
        <v>137</v>
      </c>
      <c r="M27" s="4"/>
      <c r="N27" s="63" t="s">
        <v>190</v>
      </c>
      <c r="O27" s="59" t="s">
        <v>190</v>
      </c>
      <c r="P27" s="4" t="s">
        <v>191</v>
      </c>
      <c r="Q27" s="4" t="s">
        <v>192</v>
      </c>
      <c r="R27" s="4" t="s">
        <v>129</v>
      </c>
      <c r="S27" s="4"/>
      <c r="T27" s="4" t="s">
        <v>139</v>
      </c>
      <c r="U27" s="4" t="s">
        <v>140</v>
      </c>
      <c r="V27" s="4" t="s">
        <v>239</v>
      </c>
      <c r="W27" s="4" t="s">
        <v>247</v>
      </c>
      <c r="X27" s="87" t="s">
        <v>247</v>
      </c>
      <c r="Y27" s="4" t="s">
        <v>203</v>
      </c>
      <c r="Z27" s="4" t="s">
        <v>142</v>
      </c>
      <c r="AA27" s="4" t="s">
        <v>115</v>
      </c>
      <c r="AB27" s="4"/>
      <c r="AC27" s="4"/>
      <c r="AD27" s="4" t="s">
        <v>115</v>
      </c>
      <c r="AE27" s="4" t="s">
        <v>116</v>
      </c>
      <c r="AF27" s="4"/>
      <c r="AG27" s="4"/>
      <c r="AH27" s="4" t="s">
        <v>116</v>
      </c>
      <c r="AI27" s="4" t="s">
        <v>117</v>
      </c>
      <c r="AJ27" s="4" t="s">
        <v>194</v>
      </c>
      <c r="AK27" s="4"/>
      <c r="AL27" s="4"/>
      <c r="AM27" s="4"/>
      <c r="AN27" s="4" t="s">
        <v>177</v>
      </c>
      <c r="AO27" s="4"/>
      <c r="AP27" s="4"/>
      <c r="AQ27" s="4"/>
      <c r="AR27" s="4" t="s">
        <v>195</v>
      </c>
      <c r="AS27" s="4" t="s">
        <v>144</v>
      </c>
      <c r="AT27" s="4" t="s">
        <v>204</v>
      </c>
      <c r="AU27" s="5" t="str">
        <f>IF($AT27="","",IFERROR(INDEX(InstructorMap!$B:$B, MATCH($AT27, InstructorMap!$A:$A, 0)),""))</f>
        <v>gersoncr@andrews.edu</v>
      </c>
      <c r="AV27" s="5" t="str">
        <f>IF($AT27="","",IFERROR(INDEX(InstructorMap!$C:$C, MATCH($AT27, InstructorMap!$A:$A, 0)),""))</f>
        <v>000093682</v>
      </c>
      <c r="AW27" s="4" t="s">
        <v>121</v>
      </c>
      <c r="AX27" s="4" t="s">
        <v>122</v>
      </c>
      <c r="AY27" s="4"/>
      <c r="AZ27" s="4"/>
      <c r="BA27" s="4" t="s">
        <v>123</v>
      </c>
      <c r="BB27" s="4"/>
      <c r="BC27" s="4"/>
      <c r="BD27" s="4"/>
      <c r="BE27" s="4"/>
      <c r="BF27" s="4"/>
      <c r="BG27" s="4"/>
      <c r="BH27" s="4" t="s">
        <v>103</v>
      </c>
      <c r="BI27" s="4" t="s">
        <v>124</v>
      </c>
      <c r="BJ27" s="4" t="s">
        <v>125</v>
      </c>
      <c r="BK27" s="4"/>
      <c r="BL27" s="4" t="s">
        <v>125</v>
      </c>
      <c r="BM27" s="4"/>
      <c r="BN27" s="4"/>
      <c r="BO27" s="4" t="s">
        <v>127</v>
      </c>
      <c r="BP27" s="4"/>
      <c r="BQ27" s="4"/>
      <c r="BR27" s="4"/>
      <c r="BS27" s="4"/>
      <c r="BT27" s="4" t="s">
        <v>128</v>
      </c>
      <c r="BU27" s="4" t="s">
        <v>129</v>
      </c>
      <c r="BV27" s="4" t="s">
        <v>129</v>
      </c>
      <c r="BW27" s="4" t="s">
        <v>130</v>
      </c>
      <c r="BX27" s="4" t="s">
        <v>131</v>
      </c>
      <c r="BY27" s="4"/>
      <c r="BZ27" s="4"/>
      <c r="CA27" s="4"/>
      <c r="CB27" s="4"/>
      <c r="CC27" s="4"/>
      <c r="CD27" s="4"/>
      <c r="CE27" s="4"/>
      <c r="CF27" s="4" t="s">
        <v>130</v>
      </c>
      <c r="CG27" s="4"/>
      <c r="CH27" s="4" t="s">
        <v>131</v>
      </c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 t="s">
        <v>146</v>
      </c>
      <c r="CT27" s="4" t="s">
        <v>133</v>
      </c>
      <c r="CU27" s="4" t="s">
        <v>134</v>
      </c>
      <c r="CV27" s="4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  <c r="PV27"/>
      <c r="PW27"/>
      <c r="PX27"/>
      <c r="PY27"/>
      <c r="PZ27"/>
      <c r="QA27"/>
      <c r="QB27"/>
      <c r="QC27"/>
      <c r="QD27"/>
      <c r="QE27"/>
      <c r="QF27"/>
      <c r="QG27"/>
      <c r="QH27"/>
      <c r="QI27"/>
      <c r="QJ27"/>
      <c r="QK27"/>
      <c r="QL27"/>
      <c r="QM27"/>
      <c r="QN27"/>
      <c r="QO27"/>
      <c r="QP27"/>
      <c r="QQ27"/>
      <c r="QR27"/>
      <c r="QS27"/>
      <c r="QT27"/>
      <c r="QU27"/>
      <c r="QV27"/>
      <c r="QW27"/>
      <c r="QX27"/>
      <c r="QY27"/>
      <c r="QZ27"/>
      <c r="RA27"/>
      <c r="RB27"/>
      <c r="RC27"/>
      <c r="RD27"/>
      <c r="RE27"/>
      <c r="RF27"/>
      <c r="RG27"/>
      <c r="RH27"/>
      <c r="RI27"/>
      <c r="RJ27"/>
      <c r="RK27"/>
      <c r="RL27"/>
      <c r="RM27"/>
      <c r="RN27"/>
      <c r="RO27"/>
      <c r="RP27"/>
      <c r="RQ27"/>
      <c r="RR27"/>
      <c r="RS27"/>
      <c r="RT27"/>
      <c r="RU27"/>
      <c r="RV27"/>
      <c r="RW27"/>
      <c r="RX27"/>
      <c r="RY27"/>
      <c r="RZ27"/>
      <c r="SA27"/>
      <c r="SB27"/>
      <c r="SC27"/>
      <c r="SD27"/>
      <c r="SE27"/>
      <c r="SF27"/>
      <c r="SG27"/>
      <c r="SH27"/>
      <c r="SI27"/>
      <c r="SJ27"/>
      <c r="SK27"/>
      <c r="SL27"/>
      <c r="SM27"/>
      <c r="SN27"/>
      <c r="SO27"/>
      <c r="SP27"/>
      <c r="SQ27"/>
      <c r="SR27"/>
      <c r="SS27"/>
      <c r="ST27"/>
      <c r="SU27"/>
      <c r="SV27"/>
      <c r="SW27"/>
      <c r="SX27"/>
      <c r="SY27"/>
      <c r="SZ27"/>
      <c r="TA27"/>
      <c r="TB27"/>
      <c r="TC27"/>
      <c r="TD27"/>
      <c r="TE27"/>
      <c r="TF27"/>
      <c r="TG27"/>
      <c r="TH27"/>
      <c r="TI27"/>
      <c r="TJ27"/>
      <c r="TK27"/>
      <c r="TL27"/>
      <c r="TM27"/>
      <c r="TN27"/>
      <c r="TO27"/>
      <c r="TP27"/>
      <c r="TQ27"/>
      <c r="TR27"/>
      <c r="TS27"/>
      <c r="TT27"/>
      <c r="TU27"/>
      <c r="TV27"/>
      <c r="TW27"/>
      <c r="TX27"/>
      <c r="TY27"/>
      <c r="TZ27"/>
      <c r="UA27"/>
      <c r="UB27"/>
      <c r="UC27"/>
      <c r="UD27"/>
      <c r="UE27"/>
      <c r="UF27"/>
      <c r="UG27"/>
      <c r="UH27"/>
      <c r="UI27"/>
      <c r="UJ27"/>
      <c r="UK27"/>
      <c r="UL27"/>
      <c r="UM27"/>
      <c r="UN27"/>
      <c r="UO27"/>
      <c r="UP27"/>
      <c r="UQ27"/>
      <c r="UR27"/>
      <c r="US27"/>
      <c r="UT27"/>
      <c r="UU27"/>
      <c r="UV27"/>
      <c r="UW27"/>
      <c r="UX27"/>
      <c r="UY27"/>
      <c r="UZ27"/>
      <c r="VA27"/>
      <c r="VB27"/>
      <c r="VC27"/>
      <c r="VD27"/>
      <c r="VE27"/>
      <c r="VF27"/>
      <c r="VG27"/>
      <c r="VH27"/>
      <c r="VI27"/>
      <c r="VJ27"/>
      <c r="VK27"/>
      <c r="VL27"/>
      <c r="VM27"/>
      <c r="VN27"/>
      <c r="VO27"/>
      <c r="VP27"/>
      <c r="VQ27"/>
      <c r="VR27"/>
      <c r="VS27"/>
      <c r="VT27"/>
      <c r="VU27"/>
      <c r="VV27"/>
      <c r="VW27"/>
      <c r="VX27"/>
      <c r="VY27"/>
      <c r="VZ27"/>
      <c r="WA27"/>
      <c r="WB27"/>
      <c r="WC27"/>
      <c r="WD27"/>
      <c r="WE27"/>
      <c r="WF27"/>
      <c r="WG27"/>
      <c r="WH27"/>
      <c r="WI27"/>
      <c r="WJ27"/>
      <c r="WK27"/>
      <c r="WL27"/>
      <c r="WM27"/>
      <c r="WN27"/>
      <c r="WO27"/>
      <c r="WP27"/>
    </row>
    <row r="28" spans="1:614" s="48" customFormat="1" x14ac:dyDescent="0.2">
      <c r="A28" s="45" t="b">
        <v>0</v>
      </c>
      <c r="B28" s="45" t="b">
        <v>0</v>
      </c>
      <c r="C28" s="45" t="b">
        <v>1</v>
      </c>
      <c r="D28" s="45" t="b">
        <v>0</v>
      </c>
      <c r="E28" s="45" t="b">
        <v>0</v>
      </c>
      <c r="F28" s="45" t="b">
        <v>0</v>
      </c>
      <c r="G28" s="65" t="s">
        <v>260</v>
      </c>
      <c r="H28" s="4" t="s">
        <v>268</v>
      </c>
      <c r="I28" s="4" t="s">
        <v>269</v>
      </c>
      <c r="J28" s="4" t="s">
        <v>103</v>
      </c>
      <c r="K28" s="4" t="s">
        <v>267</v>
      </c>
      <c r="L28" s="4" t="s">
        <v>216</v>
      </c>
      <c r="M28" s="4"/>
      <c r="N28" s="59" t="s">
        <v>270</v>
      </c>
      <c r="O28" s="59" t="s">
        <v>219</v>
      </c>
      <c r="P28" s="4" t="s">
        <v>220</v>
      </c>
      <c r="Q28" s="4" t="s">
        <v>224</v>
      </c>
      <c r="R28" s="4" t="s">
        <v>129</v>
      </c>
      <c r="S28" s="4"/>
      <c r="T28" s="4" t="s">
        <v>139</v>
      </c>
      <c r="U28" s="4" t="s">
        <v>140</v>
      </c>
      <c r="V28" s="4" t="s">
        <v>239</v>
      </c>
      <c r="W28" s="4" t="s">
        <v>247</v>
      </c>
      <c r="X28" s="4" t="s">
        <v>247</v>
      </c>
      <c r="Y28" s="4" t="s">
        <v>203</v>
      </c>
      <c r="Z28" s="4" t="s">
        <v>142</v>
      </c>
      <c r="AA28" s="4" t="s">
        <v>115</v>
      </c>
      <c r="AB28" s="4"/>
      <c r="AC28" s="4"/>
      <c r="AD28" s="4" t="s">
        <v>115</v>
      </c>
      <c r="AE28" s="4" t="s">
        <v>116</v>
      </c>
      <c r="AF28" s="4"/>
      <c r="AG28" s="4"/>
      <c r="AH28" s="4" t="s">
        <v>116</v>
      </c>
      <c r="AI28" s="4" t="s">
        <v>117</v>
      </c>
      <c r="AJ28" s="4" t="s">
        <v>118</v>
      </c>
      <c r="AK28" s="4"/>
      <c r="AL28" s="4"/>
      <c r="AM28" s="4"/>
      <c r="AN28" s="4"/>
      <c r="AO28" s="4" t="s">
        <v>221</v>
      </c>
      <c r="AP28" s="4"/>
      <c r="AQ28" s="4"/>
      <c r="AR28" s="4" t="s">
        <v>143</v>
      </c>
      <c r="AS28" s="4" t="s">
        <v>144</v>
      </c>
      <c r="AT28" s="4" t="s">
        <v>204</v>
      </c>
      <c r="AU28" s="5" t="str">
        <f>IF($AT28="","",IFERROR(INDEX(InstructorMap!$B:$B, MATCH($AT28, InstructorMap!$A:$A, 0)),""))</f>
        <v>gersoncr@andrews.edu</v>
      </c>
      <c r="AV28" s="5" t="str">
        <f>IF($AT28="","",IFERROR(INDEX(InstructorMap!$C:$C, MATCH($AT28, InstructorMap!$A:$A, 0)),""))</f>
        <v>000093682</v>
      </c>
      <c r="AW28" s="4" t="s">
        <v>121</v>
      </c>
      <c r="AX28" s="4" t="s">
        <v>122</v>
      </c>
      <c r="AY28" s="4"/>
      <c r="AZ28" s="4"/>
      <c r="BA28" s="4" t="s">
        <v>123</v>
      </c>
      <c r="BB28" s="4"/>
      <c r="BC28" s="4"/>
      <c r="BD28" s="4"/>
      <c r="BE28" s="4"/>
      <c r="BF28" s="4"/>
      <c r="BG28" s="4"/>
      <c r="BH28" s="4" t="s">
        <v>103</v>
      </c>
      <c r="BI28" s="4" t="s">
        <v>124</v>
      </c>
      <c r="BJ28" s="4" t="s">
        <v>125</v>
      </c>
      <c r="BK28" s="4"/>
      <c r="BL28" s="4" t="s">
        <v>125</v>
      </c>
      <c r="BM28" s="4"/>
      <c r="BN28" s="4"/>
      <c r="BO28" s="4" t="s">
        <v>127</v>
      </c>
      <c r="BP28" s="4"/>
      <c r="BQ28" s="4"/>
      <c r="BR28" s="4"/>
      <c r="BS28" s="4"/>
      <c r="BT28" s="4" t="s">
        <v>128</v>
      </c>
      <c r="BU28" s="4" t="s">
        <v>129</v>
      </c>
      <c r="BV28" s="4" t="s">
        <v>129</v>
      </c>
      <c r="BW28" s="4" t="s">
        <v>130</v>
      </c>
      <c r="BX28" s="4" t="s">
        <v>131</v>
      </c>
      <c r="BY28" s="4"/>
      <c r="BZ28" s="4"/>
      <c r="CA28" s="4"/>
      <c r="CB28" s="4"/>
      <c r="CC28" s="4"/>
      <c r="CD28" s="4"/>
      <c r="CE28" s="4"/>
      <c r="CF28" s="4" t="s">
        <v>130</v>
      </c>
      <c r="CG28" s="4"/>
      <c r="CH28" s="4" t="s">
        <v>131</v>
      </c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 t="s">
        <v>146</v>
      </c>
      <c r="CT28" s="4" t="s">
        <v>133</v>
      </c>
      <c r="CU28" s="4" t="s">
        <v>134</v>
      </c>
      <c r="CV28" s="4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/>
      <c r="QT28"/>
      <c r="QU28"/>
      <c r="QV28"/>
      <c r="QW28"/>
      <c r="QX28"/>
      <c r="QY28"/>
      <c r="QZ28"/>
      <c r="RA28"/>
      <c r="RB28"/>
      <c r="RC28"/>
      <c r="RD28"/>
      <c r="RE28"/>
      <c r="RF28"/>
      <c r="RG28"/>
      <c r="RH28"/>
      <c r="RI28"/>
      <c r="RJ28"/>
      <c r="RK28"/>
      <c r="RL28"/>
      <c r="RM28"/>
      <c r="RN28"/>
      <c r="RO28"/>
      <c r="RP28"/>
      <c r="RQ28"/>
      <c r="RR28"/>
      <c r="RS28"/>
      <c r="RT28"/>
      <c r="RU28"/>
      <c r="RV28"/>
      <c r="RW28"/>
      <c r="RX28"/>
      <c r="RY28"/>
      <c r="RZ28"/>
      <c r="SA28"/>
      <c r="SB28"/>
      <c r="SC28"/>
      <c r="SD28"/>
      <c r="SE28"/>
      <c r="SF28"/>
      <c r="SG28"/>
      <c r="SH28"/>
      <c r="SI28"/>
      <c r="SJ28"/>
      <c r="SK28"/>
      <c r="SL28"/>
      <c r="SM28"/>
      <c r="SN28"/>
      <c r="SO28"/>
      <c r="SP28"/>
      <c r="SQ28"/>
      <c r="SR28"/>
      <c r="SS28"/>
      <c r="ST28"/>
      <c r="SU28"/>
      <c r="SV28"/>
      <c r="SW28"/>
      <c r="SX28"/>
      <c r="SY28"/>
      <c r="SZ28"/>
      <c r="TA28"/>
      <c r="TB28"/>
      <c r="TC28"/>
      <c r="TD28"/>
      <c r="TE28"/>
      <c r="TF28"/>
      <c r="TG28"/>
      <c r="TH28"/>
      <c r="TI28"/>
      <c r="TJ28"/>
      <c r="TK28"/>
      <c r="TL28"/>
      <c r="TM28"/>
      <c r="TN28"/>
      <c r="TO28"/>
      <c r="TP28"/>
      <c r="TQ28"/>
      <c r="TR28"/>
      <c r="TS28"/>
      <c r="TT28"/>
      <c r="TU28"/>
      <c r="TV28"/>
      <c r="TW28"/>
      <c r="TX28"/>
      <c r="TY28"/>
      <c r="TZ28"/>
      <c r="UA28"/>
      <c r="UB28"/>
      <c r="UC28"/>
      <c r="UD28"/>
      <c r="UE28"/>
      <c r="UF28"/>
      <c r="UG28"/>
      <c r="UH28"/>
      <c r="UI28"/>
      <c r="UJ28"/>
      <c r="UK28"/>
      <c r="UL28"/>
      <c r="UM28"/>
      <c r="UN28"/>
      <c r="UO28"/>
      <c r="UP28"/>
      <c r="UQ28"/>
      <c r="UR28"/>
      <c r="US28"/>
      <c r="UT28"/>
      <c r="UU28"/>
      <c r="UV28"/>
      <c r="UW28"/>
      <c r="UX28"/>
      <c r="UY28"/>
      <c r="UZ28"/>
      <c r="VA28"/>
      <c r="VB28"/>
      <c r="VC28"/>
      <c r="VD28"/>
      <c r="VE28"/>
      <c r="VF28"/>
      <c r="VG28"/>
      <c r="VH28"/>
      <c r="VI28"/>
      <c r="VJ28"/>
      <c r="VK28"/>
      <c r="VL28"/>
      <c r="VM28"/>
      <c r="VN28"/>
      <c r="VO28"/>
      <c r="VP28"/>
      <c r="VQ28"/>
      <c r="VR28"/>
      <c r="VS28"/>
      <c r="VT28"/>
      <c r="VU28"/>
      <c r="VV28"/>
      <c r="VW28"/>
      <c r="VX28"/>
      <c r="VY28"/>
      <c r="VZ28"/>
      <c r="WA28"/>
      <c r="WB28"/>
      <c r="WC28"/>
      <c r="WD28"/>
      <c r="WE28"/>
      <c r="WF28"/>
      <c r="WG28"/>
      <c r="WH28"/>
      <c r="WI28"/>
      <c r="WJ28"/>
      <c r="WK28"/>
      <c r="WL28"/>
      <c r="WM28"/>
      <c r="WN28"/>
      <c r="WO28"/>
      <c r="WP28"/>
    </row>
    <row r="29" spans="1:614" s="51" customFormat="1" x14ac:dyDescent="0.2">
      <c r="A29" s="77" t="b">
        <v>0</v>
      </c>
      <c r="B29" s="78" t="b">
        <v>0</v>
      </c>
      <c r="C29" s="78" t="b">
        <v>1</v>
      </c>
      <c r="D29" s="78" t="b">
        <v>0</v>
      </c>
      <c r="E29" s="78" t="b">
        <v>0</v>
      </c>
      <c r="F29" s="77" t="b">
        <v>0</v>
      </c>
      <c r="G29" s="49" t="s">
        <v>271</v>
      </c>
      <c r="H29" s="49" t="s">
        <v>272</v>
      </c>
      <c r="I29" s="49" t="s">
        <v>273</v>
      </c>
      <c r="J29" s="49" t="s">
        <v>103</v>
      </c>
      <c r="K29" s="49" t="s">
        <v>267</v>
      </c>
      <c r="L29" s="49" t="s">
        <v>234</v>
      </c>
      <c r="M29" s="49"/>
      <c r="N29" s="49" t="s">
        <v>274</v>
      </c>
      <c r="O29" s="49" t="s">
        <v>275</v>
      </c>
      <c r="P29" s="49"/>
      <c r="Q29" s="49" t="s">
        <v>276</v>
      </c>
      <c r="R29" s="49" t="s">
        <v>129</v>
      </c>
      <c r="S29" s="49"/>
      <c r="T29" s="49"/>
      <c r="U29" s="49"/>
      <c r="V29" s="49"/>
      <c r="W29" s="49" t="s">
        <v>247</v>
      </c>
      <c r="X29" s="49"/>
      <c r="Y29" s="49" t="s">
        <v>203</v>
      </c>
      <c r="Z29" s="49" t="s">
        <v>142</v>
      </c>
      <c r="AA29" s="49" t="s">
        <v>115</v>
      </c>
      <c r="AB29" s="49"/>
      <c r="AC29" s="49"/>
      <c r="AD29" s="49" t="s">
        <v>115</v>
      </c>
      <c r="AE29" s="49" t="s">
        <v>116</v>
      </c>
      <c r="AF29" s="49"/>
      <c r="AG29" s="49"/>
      <c r="AH29" s="49" t="s">
        <v>116</v>
      </c>
      <c r="AI29" s="49" t="s">
        <v>277</v>
      </c>
      <c r="AJ29" s="49" t="s">
        <v>278</v>
      </c>
      <c r="AK29" s="49"/>
      <c r="AL29" s="49"/>
      <c r="AM29" s="49"/>
      <c r="AN29" s="49"/>
      <c r="AO29" s="49" t="s">
        <v>221</v>
      </c>
      <c r="AP29" s="49"/>
      <c r="AQ29" s="49"/>
      <c r="AR29" s="49"/>
      <c r="AS29" s="49" t="s">
        <v>144</v>
      </c>
      <c r="AT29" s="49" t="s">
        <v>279</v>
      </c>
      <c r="AU29" s="50" t="str">
        <f>IF($AT29="","",IFERROR(INDEX(InstructorMap!$B:$B, MATCH($AT29, InstructorMap!$A:$A, 0)),""))</f>
        <v>davidson@andrews.edu</v>
      </c>
      <c r="AV29" s="50" t="str">
        <f>IF($AT29="","",IFERROR(INDEX(InstructorMap!$C:$C, MATCH($AT29, InstructorMap!$A:$A, 0)),""))</f>
        <v>000012107</v>
      </c>
      <c r="AW29" s="49" t="s">
        <v>121</v>
      </c>
      <c r="AX29" s="49"/>
      <c r="AY29" s="49"/>
      <c r="AZ29" s="49"/>
      <c r="BA29" s="49"/>
      <c r="BB29" s="49"/>
      <c r="BC29" s="49"/>
      <c r="BD29" s="49"/>
      <c r="BE29" s="49"/>
      <c r="BF29" s="49"/>
      <c r="BG29" s="49"/>
      <c r="BH29" s="49" t="s">
        <v>103</v>
      </c>
      <c r="BI29" s="49" t="s">
        <v>124</v>
      </c>
      <c r="BJ29" s="49" t="s">
        <v>125</v>
      </c>
      <c r="BK29" s="49"/>
      <c r="BL29" s="49" t="s">
        <v>125</v>
      </c>
      <c r="BM29" s="49"/>
      <c r="BN29" s="49"/>
      <c r="BO29" s="49" t="s">
        <v>127</v>
      </c>
      <c r="BP29" s="49"/>
      <c r="BQ29" s="49"/>
      <c r="BR29" s="49"/>
      <c r="BS29" s="49"/>
      <c r="BT29" s="49" t="s">
        <v>128</v>
      </c>
      <c r="BU29" s="49" t="s">
        <v>129</v>
      </c>
      <c r="BV29" s="49" t="s">
        <v>129</v>
      </c>
      <c r="BW29" s="49" t="s">
        <v>130</v>
      </c>
      <c r="BX29" s="49" t="s">
        <v>131</v>
      </c>
      <c r="BY29" s="49"/>
      <c r="BZ29" s="49"/>
      <c r="CA29" s="49"/>
      <c r="CB29" s="49"/>
      <c r="CC29" s="49"/>
      <c r="CD29" s="49"/>
      <c r="CE29" s="49"/>
      <c r="CF29" s="49" t="s">
        <v>130</v>
      </c>
      <c r="CG29" s="49"/>
      <c r="CH29" s="49" t="s">
        <v>131</v>
      </c>
      <c r="CI29" s="49"/>
      <c r="CJ29" s="49"/>
      <c r="CK29" s="49"/>
      <c r="CL29" s="49"/>
      <c r="CM29" s="49"/>
      <c r="CN29" s="49"/>
      <c r="CO29" s="49"/>
      <c r="CP29" s="49"/>
      <c r="CQ29" s="49"/>
      <c r="CR29" s="49"/>
      <c r="CS29" s="49" t="s">
        <v>132</v>
      </c>
      <c r="CT29" s="49" t="s">
        <v>133</v>
      </c>
      <c r="CU29" s="49" t="s">
        <v>134</v>
      </c>
      <c r="CV29" s="4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/>
      <c r="QM29"/>
      <c r="QN29"/>
      <c r="QO29"/>
      <c r="QP29"/>
      <c r="QQ29"/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/>
      <c r="RH29"/>
      <c r="RI29"/>
      <c r="RJ29"/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/>
      <c r="RZ29"/>
      <c r="SA29"/>
      <c r="SB29"/>
      <c r="SC29"/>
      <c r="SD29"/>
      <c r="SE29"/>
      <c r="SF29"/>
      <c r="SG29"/>
      <c r="SH29"/>
      <c r="SI29"/>
      <c r="SJ29"/>
      <c r="SK29"/>
      <c r="SL29"/>
      <c r="SM29"/>
      <c r="SN29"/>
      <c r="SO29"/>
      <c r="SP29"/>
      <c r="SQ29"/>
      <c r="SR29"/>
      <c r="SS29"/>
      <c r="ST29"/>
      <c r="SU29"/>
      <c r="SV29"/>
      <c r="SW29"/>
      <c r="SX29"/>
      <c r="SY29"/>
      <c r="SZ29"/>
      <c r="TA29"/>
      <c r="TB29"/>
      <c r="TC29"/>
      <c r="TD29"/>
      <c r="TE29"/>
      <c r="TF29"/>
      <c r="TG29"/>
      <c r="TH29"/>
      <c r="TI29"/>
      <c r="TJ29"/>
      <c r="TK29"/>
      <c r="TL29"/>
      <c r="TM29"/>
      <c r="TN29"/>
      <c r="TO29"/>
      <c r="TP29"/>
      <c r="TQ29"/>
      <c r="TR29"/>
      <c r="TS29"/>
      <c r="TT29"/>
      <c r="TU29"/>
      <c r="TV29"/>
      <c r="TW29"/>
      <c r="TX29"/>
      <c r="TY29"/>
      <c r="TZ29"/>
      <c r="UA29"/>
      <c r="UB29"/>
      <c r="UC29"/>
      <c r="UD29"/>
      <c r="UE29"/>
      <c r="UF29"/>
      <c r="UG29"/>
      <c r="UH29"/>
      <c r="UI29"/>
      <c r="UJ29"/>
      <c r="UK29"/>
      <c r="UL29"/>
      <c r="UM29"/>
      <c r="UN29"/>
      <c r="UO29"/>
      <c r="UP29"/>
      <c r="UQ29"/>
      <c r="UR29"/>
      <c r="US29"/>
      <c r="UT29"/>
      <c r="UU29"/>
      <c r="UV29"/>
      <c r="UW29"/>
      <c r="UX29"/>
      <c r="UY29"/>
      <c r="UZ29"/>
      <c r="VA29"/>
      <c r="VB29"/>
      <c r="VC29"/>
      <c r="VD29"/>
      <c r="VE29"/>
      <c r="VF29"/>
      <c r="VG29"/>
      <c r="VH29"/>
      <c r="VI29"/>
      <c r="VJ29"/>
      <c r="VK29"/>
      <c r="VL29"/>
      <c r="VM29"/>
      <c r="VN29"/>
      <c r="VO29"/>
      <c r="VP29"/>
      <c r="VQ29"/>
      <c r="VR29"/>
      <c r="VS29"/>
      <c r="VT29"/>
      <c r="VU29"/>
      <c r="VV29"/>
      <c r="VW29"/>
      <c r="VX29"/>
      <c r="VY29"/>
      <c r="VZ29"/>
      <c r="WA29"/>
      <c r="WB29"/>
      <c r="WC29"/>
      <c r="WD29"/>
      <c r="WE29"/>
      <c r="WF29"/>
      <c r="WG29"/>
      <c r="WH29"/>
      <c r="WI29"/>
      <c r="WJ29"/>
      <c r="WK29"/>
      <c r="WL29"/>
      <c r="WM29"/>
      <c r="WN29"/>
      <c r="WO29"/>
      <c r="WP29"/>
    </row>
    <row r="30" spans="1:614" s="51" customFormat="1" x14ac:dyDescent="0.2">
      <c r="A30" s="77" t="b">
        <v>0</v>
      </c>
      <c r="B30" s="78" t="b">
        <v>0</v>
      </c>
      <c r="C30" s="78" t="b">
        <v>1</v>
      </c>
      <c r="D30" s="78" t="b">
        <v>0</v>
      </c>
      <c r="E30" s="78" t="b">
        <v>0</v>
      </c>
      <c r="F30" s="77" t="b">
        <v>0</v>
      </c>
      <c r="G30" s="49" t="s">
        <v>271</v>
      </c>
      <c r="H30" s="49" t="s">
        <v>280</v>
      </c>
      <c r="I30" s="49" t="s">
        <v>281</v>
      </c>
      <c r="J30" s="49" t="s">
        <v>103</v>
      </c>
      <c r="K30" s="49" t="s">
        <v>267</v>
      </c>
      <c r="L30" s="49" t="s">
        <v>282</v>
      </c>
      <c r="M30" s="49"/>
      <c r="N30" s="49" t="s">
        <v>274</v>
      </c>
      <c r="O30" s="49" t="s">
        <v>283</v>
      </c>
      <c r="P30" s="49"/>
      <c r="Q30" s="49" t="s">
        <v>284</v>
      </c>
      <c r="R30" s="49" t="s">
        <v>108</v>
      </c>
      <c r="S30" s="49"/>
      <c r="T30" s="49"/>
      <c r="U30" s="49" t="s">
        <v>110</v>
      </c>
      <c r="V30" s="49"/>
      <c r="W30" s="49" t="s">
        <v>247</v>
      </c>
      <c r="X30" s="49"/>
      <c r="Y30" s="49" t="s">
        <v>203</v>
      </c>
      <c r="Z30" s="49" t="s">
        <v>114</v>
      </c>
      <c r="AA30" s="49" t="s">
        <v>115</v>
      </c>
      <c r="AB30" s="49"/>
      <c r="AC30" s="49"/>
      <c r="AD30" s="49" t="s">
        <v>115</v>
      </c>
      <c r="AE30" s="49" t="s">
        <v>116</v>
      </c>
      <c r="AF30" s="49"/>
      <c r="AG30" s="49"/>
      <c r="AH30" s="49" t="s">
        <v>116</v>
      </c>
      <c r="AI30" s="49" t="s">
        <v>117</v>
      </c>
      <c r="AJ30" s="49" t="s">
        <v>118</v>
      </c>
      <c r="AK30" s="49"/>
      <c r="AL30" s="49"/>
      <c r="AM30" s="49"/>
      <c r="AN30" s="49" t="s">
        <v>177</v>
      </c>
      <c r="AO30" s="49"/>
      <c r="AP30" s="49"/>
      <c r="AQ30" s="49"/>
      <c r="AR30" s="49"/>
      <c r="AS30" s="49"/>
      <c r="AT30" s="49" t="s">
        <v>285</v>
      </c>
      <c r="AU30" s="50" t="str">
        <f>IF($AT30="","",IFERROR(INDEX(InstructorMap!$B:$B, MATCH($AT30, InstructorMap!$A:$A, 0)),""))</f>
        <v/>
      </c>
      <c r="AV30" s="50" t="str">
        <f>IF($AT30="","",IFERROR(INDEX(InstructorMap!$C:$C, MATCH($AT30, InstructorMap!$A:$A, 0)),""))</f>
        <v/>
      </c>
      <c r="AW30" s="49"/>
      <c r="AX30" s="49"/>
      <c r="AY30" s="49"/>
      <c r="AZ30" s="49"/>
      <c r="BA30" s="49"/>
      <c r="BB30" s="49"/>
      <c r="BC30" s="49"/>
      <c r="BD30" s="49"/>
      <c r="BE30" s="49"/>
      <c r="BF30" s="49"/>
      <c r="BG30" s="49"/>
      <c r="BH30" s="49" t="s">
        <v>103</v>
      </c>
      <c r="BI30" s="49" t="s">
        <v>124</v>
      </c>
      <c r="BJ30" s="49" t="s">
        <v>125</v>
      </c>
      <c r="BK30" s="49"/>
      <c r="BL30" s="49" t="s">
        <v>126</v>
      </c>
      <c r="BM30" s="49"/>
      <c r="BN30" s="49"/>
      <c r="BO30" s="49" t="s">
        <v>127</v>
      </c>
      <c r="BP30" s="49"/>
      <c r="BQ30" s="49"/>
      <c r="BR30" s="49"/>
      <c r="BS30" s="49"/>
      <c r="BT30" s="49" t="s">
        <v>128</v>
      </c>
      <c r="BU30" s="49" t="s">
        <v>129</v>
      </c>
      <c r="BV30" s="49" t="s">
        <v>129</v>
      </c>
      <c r="BW30" s="49"/>
      <c r="BX30" s="49"/>
      <c r="BY30" s="49"/>
      <c r="BZ30" s="49"/>
      <c r="CA30" s="49"/>
      <c r="CB30" s="49"/>
      <c r="CC30" s="49"/>
      <c r="CD30" s="49"/>
      <c r="CE30" s="49"/>
      <c r="CF30" s="49" t="s">
        <v>130</v>
      </c>
      <c r="CG30" s="49"/>
      <c r="CH30" s="49"/>
      <c r="CI30" s="49"/>
      <c r="CJ30" s="49"/>
      <c r="CK30" s="49"/>
      <c r="CL30" s="49"/>
      <c r="CM30" s="49"/>
      <c r="CN30" s="49"/>
      <c r="CO30" s="49"/>
      <c r="CP30" s="49"/>
      <c r="CQ30" s="49"/>
      <c r="CR30" s="49"/>
      <c r="CS30" s="49" t="s">
        <v>132</v>
      </c>
      <c r="CT30" s="49" t="s">
        <v>133</v>
      </c>
      <c r="CU30" s="49" t="s">
        <v>134</v>
      </c>
      <c r="CV30" s="49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  <c r="PV30"/>
      <c r="PW30"/>
      <c r="PX30"/>
      <c r="PY30"/>
      <c r="PZ30"/>
      <c r="QA30"/>
      <c r="QB30"/>
      <c r="QC30"/>
      <c r="QD30"/>
      <c r="QE30"/>
      <c r="QF30"/>
      <c r="QG30"/>
      <c r="QH30"/>
      <c r="QI30"/>
      <c r="QJ30"/>
      <c r="QK30"/>
      <c r="QL30"/>
      <c r="QM30"/>
      <c r="QN30"/>
      <c r="QO30"/>
      <c r="QP30"/>
      <c r="QQ30"/>
      <c r="QR30"/>
      <c r="QS30"/>
      <c r="QT30"/>
      <c r="QU30"/>
      <c r="QV30"/>
      <c r="QW30"/>
      <c r="QX30"/>
      <c r="QY30"/>
      <c r="QZ30"/>
      <c r="RA30"/>
      <c r="RB30"/>
      <c r="RC30"/>
      <c r="RD30"/>
      <c r="RE30"/>
      <c r="RF30"/>
      <c r="RG30"/>
      <c r="RH30"/>
      <c r="RI30"/>
      <c r="RJ30"/>
      <c r="RK30"/>
      <c r="RL30"/>
      <c r="RM30"/>
      <c r="RN30"/>
      <c r="RO30"/>
      <c r="RP30"/>
      <c r="RQ30"/>
      <c r="RR30"/>
      <c r="RS30"/>
      <c r="RT30"/>
      <c r="RU30"/>
      <c r="RV30"/>
      <c r="RW30"/>
      <c r="RX30"/>
      <c r="RY30"/>
      <c r="RZ30"/>
      <c r="SA30"/>
      <c r="SB30"/>
      <c r="SC30"/>
      <c r="SD30"/>
      <c r="SE30"/>
      <c r="SF30"/>
      <c r="SG30"/>
      <c r="SH30"/>
      <c r="SI30"/>
      <c r="SJ30"/>
      <c r="SK30"/>
      <c r="SL30"/>
      <c r="SM30"/>
      <c r="SN30"/>
      <c r="SO30"/>
      <c r="SP30"/>
      <c r="SQ30"/>
      <c r="SR30"/>
      <c r="SS30"/>
      <c r="ST30"/>
      <c r="SU30"/>
      <c r="SV30"/>
      <c r="SW30"/>
      <c r="SX30"/>
      <c r="SY30"/>
      <c r="SZ30"/>
      <c r="TA30"/>
      <c r="TB30"/>
      <c r="TC30"/>
      <c r="TD30"/>
      <c r="TE30"/>
      <c r="TF30"/>
      <c r="TG30"/>
      <c r="TH30"/>
      <c r="TI30"/>
      <c r="TJ30"/>
      <c r="TK30"/>
      <c r="TL30"/>
      <c r="TM30"/>
      <c r="TN30"/>
      <c r="TO30"/>
      <c r="TP30"/>
      <c r="TQ30"/>
      <c r="TR30"/>
      <c r="TS30"/>
      <c r="TT30"/>
      <c r="TU30"/>
      <c r="TV30"/>
      <c r="TW30"/>
      <c r="TX30"/>
      <c r="TY30"/>
      <c r="TZ30"/>
      <c r="UA30"/>
      <c r="UB30"/>
      <c r="UC30"/>
      <c r="UD30"/>
      <c r="UE30"/>
      <c r="UF30"/>
      <c r="UG30"/>
      <c r="UH30"/>
      <c r="UI30"/>
      <c r="UJ30"/>
      <c r="UK30"/>
      <c r="UL30"/>
      <c r="UM30"/>
      <c r="UN30"/>
      <c r="UO30"/>
      <c r="UP30"/>
      <c r="UQ30"/>
      <c r="UR30"/>
      <c r="US30"/>
      <c r="UT30"/>
      <c r="UU30"/>
      <c r="UV30"/>
      <c r="UW30"/>
      <c r="UX30"/>
      <c r="UY30"/>
      <c r="UZ30"/>
      <c r="VA30"/>
      <c r="VB30"/>
      <c r="VC30"/>
      <c r="VD30"/>
      <c r="VE30"/>
      <c r="VF30"/>
      <c r="VG30"/>
      <c r="VH30"/>
      <c r="VI30"/>
      <c r="VJ30"/>
      <c r="VK30"/>
      <c r="VL30"/>
      <c r="VM30"/>
      <c r="VN30"/>
      <c r="VO30"/>
      <c r="VP30"/>
      <c r="VQ30"/>
      <c r="VR30"/>
      <c r="VS30"/>
      <c r="VT30"/>
      <c r="VU30"/>
      <c r="VV30"/>
      <c r="VW30"/>
      <c r="VX30"/>
      <c r="VY30"/>
      <c r="VZ30"/>
      <c r="WA30"/>
      <c r="WB30"/>
      <c r="WC30"/>
      <c r="WD30"/>
      <c r="WE30"/>
      <c r="WF30"/>
      <c r="WG30"/>
      <c r="WH30"/>
      <c r="WI30"/>
      <c r="WJ30"/>
      <c r="WK30"/>
      <c r="WL30"/>
      <c r="WM30"/>
      <c r="WN30"/>
      <c r="WO30"/>
      <c r="WP30"/>
    </row>
    <row r="31" spans="1:614" x14ac:dyDescent="0.2">
      <c r="A31" s="38" t="b">
        <v>0</v>
      </c>
      <c r="B31" s="39" t="b">
        <v>0</v>
      </c>
      <c r="C31" s="39" t="b">
        <v>1</v>
      </c>
      <c r="D31" s="39" t="b">
        <v>0</v>
      </c>
      <c r="E31" s="39" t="b">
        <v>0</v>
      </c>
      <c r="F31" s="38" t="b">
        <v>0</v>
      </c>
      <c r="G31" s="36"/>
      <c r="H31" s="6" t="s">
        <v>286</v>
      </c>
      <c r="I31" s="6" t="s">
        <v>287</v>
      </c>
      <c r="J31" s="6" t="s">
        <v>103</v>
      </c>
      <c r="K31" s="6" t="s">
        <v>288</v>
      </c>
      <c r="L31" s="6" t="s">
        <v>255</v>
      </c>
      <c r="M31" s="6"/>
      <c r="N31" s="6" t="s">
        <v>289</v>
      </c>
      <c r="O31" s="6"/>
      <c r="P31" s="6"/>
      <c r="Q31" s="6"/>
      <c r="R31" s="6" t="s">
        <v>129</v>
      </c>
      <c r="S31" s="6"/>
      <c r="T31" s="6" t="s">
        <v>246</v>
      </c>
      <c r="U31" s="6"/>
      <c r="V31" s="6" t="s">
        <v>239</v>
      </c>
      <c r="W31" s="6" t="s">
        <v>290</v>
      </c>
      <c r="X31" s="6" t="s">
        <v>290</v>
      </c>
      <c r="Y31" s="6" t="s">
        <v>203</v>
      </c>
      <c r="Z31" s="6" t="s">
        <v>142</v>
      </c>
      <c r="AA31" s="6" t="s">
        <v>115</v>
      </c>
      <c r="AB31" s="6"/>
      <c r="AC31" s="6"/>
      <c r="AD31" s="6" t="s">
        <v>115</v>
      </c>
      <c r="AE31" s="6" t="s">
        <v>116</v>
      </c>
      <c r="AF31" s="6"/>
      <c r="AG31" s="6"/>
      <c r="AH31" s="6" t="s">
        <v>116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 t="s">
        <v>248</v>
      </c>
      <c r="AU31" s="7" t="str">
        <f>IF($AT31="","",IFERROR(INDEX(InstructorMap!$B:$B, MATCH($AT31, InstructorMap!$A:$A, 0)),""))</f>
        <v>abnerh@andrews.edu</v>
      </c>
      <c r="AV31" s="7" t="str">
        <f>IF($AT31="","",IFERROR(INDEX(InstructorMap!$C:$C, MATCH($AT31, InstructorMap!$A:$A, 0)),""))</f>
        <v>000149024</v>
      </c>
      <c r="AW31" s="6" t="s">
        <v>121</v>
      </c>
      <c r="AX31" s="6"/>
      <c r="AY31" s="6"/>
      <c r="AZ31" s="6"/>
      <c r="BA31" s="6" t="s">
        <v>123</v>
      </c>
      <c r="BB31" s="6"/>
      <c r="BC31" s="6"/>
      <c r="BD31" s="6"/>
      <c r="BE31" s="6"/>
      <c r="BF31" s="6"/>
      <c r="BG31" s="6"/>
      <c r="BH31" s="6" t="s">
        <v>103</v>
      </c>
      <c r="BI31" s="6" t="s">
        <v>124</v>
      </c>
      <c r="BJ31" s="6" t="s">
        <v>125</v>
      </c>
      <c r="BK31" s="6"/>
      <c r="BL31" s="6" t="s">
        <v>249</v>
      </c>
      <c r="BM31" s="6"/>
      <c r="BN31" s="6"/>
      <c r="BO31" s="6" t="s">
        <v>127</v>
      </c>
      <c r="BP31" s="6"/>
      <c r="BQ31" s="6"/>
      <c r="BR31" s="6"/>
      <c r="BS31" s="6"/>
      <c r="BT31" s="6" t="s">
        <v>128</v>
      </c>
      <c r="BU31" s="6" t="s">
        <v>129</v>
      </c>
      <c r="BV31" s="6" t="s">
        <v>129</v>
      </c>
      <c r="BW31" s="6" t="s">
        <v>130</v>
      </c>
      <c r="BX31" s="6"/>
      <c r="BY31" s="6"/>
      <c r="BZ31" s="6"/>
      <c r="CA31" s="6"/>
      <c r="CB31" s="6"/>
      <c r="CC31" s="6"/>
      <c r="CD31" s="6"/>
      <c r="CE31" s="6"/>
      <c r="CF31" s="6" t="s">
        <v>130</v>
      </c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 t="s">
        <v>211</v>
      </c>
      <c r="CS31" s="6" t="s">
        <v>132</v>
      </c>
      <c r="CT31" s="6" t="s">
        <v>133</v>
      </c>
      <c r="CU31" s="6" t="s">
        <v>134</v>
      </c>
      <c r="CV31" s="6"/>
    </row>
    <row r="32" spans="1:614" x14ac:dyDescent="0.2">
      <c r="A32" s="38" t="b">
        <v>0</v>
      </c>
      <c r="B32" s="39" t="b">
        <v>0</v>
      </c>
      <c r="C32" s="39" t="b">
        <v>1</v>
      </c>
      <c r="D32" s="39" t="b">
        <v>0</v>
      </c>
      <c r="E32" s="39" t="b">
        <v>0</v>
      </c>
      <c r="F32" s="38" t="b">
        <v>0</v>
      </c>
      <c r="G32" s="36"/>
      <c r="H32" s="6" t="s">
        <v>291</v>
      </c>
      <c r="I32" s="6" t="s">
        <v>292</v>
      </c>
      <c r="J32" s="6" t="s">
        <v>103</v>
      </c>
      <c r="K32" s="6" t="s">
        <v>288</v>
      </c>
      <c r="L32" s="6" t="s">
        <v>252</v>
      </c>
      <c r="M32" s="6"/>
      <c r="N32" s="6" t="s">
        <v>289</v>
      </c>
      <c r="O32" s="6"/>
      <c r="P32" s="6"/>
      <c r="Q32" s="6"/>
      <c r="R32" s="6" t="s">
        <v>129</v>
      </c>
      <c r="S32" s="6"/>
      <c r="T32" s="6" t="s">
        <v>246</v>
      </c>
      <c r="U32" s="6"/>
      <c r="V32" s="6" t="s">
        <v>239</v>
      </c>
      <c r="W32" s="6" t="s">
        <v>290</v>
      </c>
      <c r="X32" s="6" t="s">
        <v>290</v>
      </c>
      <c r="Y32" s="6" t="s">
        <v>203</v>
      </c>
      <c r="Z32" s="6" t="s">
        <v>142</v>
      </c>
      <c r="AA32" s="6" t="s">
        <v>115</v>
      </c>
      <c r="AB32" s="6"/>
      <c r="AC32" s="6"/>
      <c r="AD32" s="6" t="s">
        <v>115</v>
      </c>
      <c r="AE32" s="6" t="s">
        <v>116</v>
      </c>
      <c r="AF32" s="6"/>
      <c r="AG32" s="6"/>
      <c r="AH32" s="6" t="s">
        <v>116</v>
      </c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 t="s">
        <v>213</v>
      </c>
      <c r="AU32" s="7" t="str">
        <f>IF($AT32="","",IFERROR(INDEX(InstructorMap!$B:$B, MATCH($AT32, InstructorMap!$A:$A, 0)),""))</f>
        <v>toreggio@andrews.edu</v>
      </c>
      <c r="AV32" s="7" t="str">
        <f>IF($AT32="","",IFERROR(INDEX(InstructorMap!$C:$C, MATCH($AT32, InstructorMap!$A:$A, 0)),""))</f>
        <v>000035762</v>
      </c>
      <c r="AW32" s="6" t="s">
        <v>121</v>
      </c>
      <c r="AX32" s="6"/>
      <c r="AY32" s="6"/>
      <c r="AZ32" s="6"/>
      <c r="BA32" s="6" t="s">
        <v>123</v>
      </c>
      <c r="BB32" s="6"/>
      <c r="BC32" s="6"/>
      <c r="BD32" s="6"/>
      <c r="BE32" s="6"/>
      <c r="BF32" s="6"/>
      <c r="BG32" s="6"/>
      <c r="BH32" s="6" t="s">
        <v>103</v>
      </c>
      <c r="BI32" s="6" t="s">
        <v>124</v>
      </c>
      <c r="BJ32" s="6" t="s">
        <v>125</v>
      </c>
      <c r="BK32" s="6"/>
      <c r="BL32" s="6" t="s">
        <v>249</v>
      </c>
      <c r="BM32" s="6"/>
      <c r="BN32" s="6"/>
      <c r="BO32" s="6" t="s">
        <v>127</v>
      </c>
      <c r="BP32" s="6"/>
      <c r="BQ32" s="6"/>
      <c r="BR32" s="6"/>
      <c r="BS32" s="6"/>
      <c r="BT32" s="6" t="s">
        <v>128</v>
      </c>
      <c r="BU32" s="6" t="s">
        <v>129</v>
      </c>
      <c r="BV32" s="6" t="s">
        <v>129</v>
      </c>
      <c r="BW32" s="6" t="s">
        <v>130</v>
      </c>
      <c r="BX32" s="6"/>
      <c r="BY32" s="6"/>
      <c r="BZ32" s="6"/>
      <c r="CA32" s="6"/>
      <c r="CB32" s="6"/>
      <c r="CC32" s="6"/>
      <c r="CD32" s="6"/>
      <c r="CE32" s="6"/>
      <c r="CF32" s="6" t="s">
        <v>130</v>
      </c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 t="s">
        <v>211</v>
      </c>
      <c r="CS32" s="6" t="s">
        <v>132</v>
      </c>
      <c r="CT32" s="6" t="s">
        <v>133</v>
      </c>
      <c r="CU32" s="6" t="s">
        <v>134</v>
      </c>
      <c r="CV32" s="6"/>
    </row>
    <row r="33" spans="1:614" x14ac:dyDescent="0.2">
      <c r="A33" s="66" t="b">
        <v>0</v>
      </c>
      <c r="B33" s="67" t="b">
        <v>0</v>
      </c>
      <c r="C33" s="67" t="b">
        <v>1</v>
      </c>
      <c r="D33" s="67" t="b">
        <v>0</v>
      </c>
      <c r="E33" s="67" t="b">
        <v>0</v>
      </c>
      <c r="F33" s="66" t="b">
        <v>0</v>
      </c>
      <c r="G33" s="60" t="s">
        <v>240</v>
      </c>
      <c r="H33" s="6" t="s">
        <v>293</v>
      </c>
      <c r="I33" s="6" t="s">
        <v>294</v>
      </c>
      <c r="J33" s="6" t="s">
        <v>103</v>
      </c>
      <c r="K33" s="6" t="s">
        <v>288</v>
      </c>
      <c r="L33" s="6" t="s">
        <v>258</v>
      </c>
      <c r="M33" s="6"/>
      <c r="N33" s="6" t="s">
        <v>289</v>
      </c>
      <c r="O33" s="59"/>
      <c r="P33" s="6"/>
      <c r="Q33" s="6"/>
      <c r="R33" s="6" t="s">
        <v>129</v>
      </c>
      <c r="S33" s="6"/>
      <c r="T33" s="6" t="s">
        <v>246</v>
      </c>
      <c r="U33" s="6"/>
      <c r="V33" s="6" t="s">
        <v>239</v>
      </c>
      <c r="W33" s="6" t="s">
        <v>290</v>
      </c>
      <c r="X33" s="6" t="s">
        <v>290</v>
      </c>
      <c r="Y33" s="6" t="s">
        <v>203</v>
      </c>
      <c r="Z33" s="6" t="s">
        <v>142</v>
      </c>
      <c r="AA33" s="6" t="s">
        <v>115</v>
      </c>
      <c r="AB33" s="6"/>
      <c r="AC33" s="6"/>
      <c r="AD33" s="6" t="s">
        <v>115</v>
      </c>
      <c r="AE33" s="6" t="s">
        <v>116</v>
      </c>
      <c r="AF33" s="6"/>
      <c r="AG33" s="6"/>
      <c r="AH33" s="6" t="s">
        <v>116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 t="s">
        <v>120</v>
      </c>
      <c r="AU33" s="7" t="str">
        <f>IF($AT33="","",IFERROR(INDEX(InstructorMap!$B:$B, MATCH($AT33, InstructorMap!$A:$A, 0)),""))</f>
        <v>jreeve@andrews.edu</v>
      </c>
      <c r="AV33" s="7" t="str">
        <f>IF($AT33="","",IFERROR(INDEX(InstructorMap!$C:$C, MATCH($AT33, InstructorMap!$A:$A, 0)),""))</f>
        <v>000049018</v>
      </c>
      <c r="AW33" s="6" t="s">
        <v>121</v>
      </c>
      <c r="AX33" s="6"/>
      <c r="AY33" s="6"/>
      <c r="AZ33" s="6"/>
      <c r="BA33" s="6" t="s">
        <v>123</v>
      </c>
      <c r="BB33" s="6"/>
      <c r="BC33" s="6"/>
      <c r="BD33" s="6"/>
      <c r="BE33" s="6"/>
      <c r="BF33" s="6"/>
      <c r="BG33" s="6"/>
      <c r="BH33" s="6" t="s">
        <v>103</v>
      </c>
      <c r="BI33" s="6" t="s">
        <v>124</v>
      </c>
      <c r="BJ33" s="6" t="s">
        <v>125</v>
      </c>
      <c r="BK33" s="6"/>
      <c r="BL33" s="6" t="s">
        <v>249</v>
      </c>
      <c r="BM33" s="6"/>
      <c r="BN33" s="6"/>
      <c r="BO33" s="6" t="s">
        <v>127</v>
      </c>
      <c r="BP33" s="6"/>
      <c r="BQ33" s="6"/>
      <c r="BR33" s="6"/>
      <c r="BS33" s="6"/>
      <c r="BT33" s="6" t="s">
        <v>128</v>
      </c>
      <c r="BU33" s="6" t="s">
        <v>129</v>
      </c>
      <c r="BV33" s="6" t="s">
        <v>129</v>
      </c>
      <c r="BW33" s="6" t="s">
        <v>130</v>
      </c>
      <c r="BX33" s="6"/>
      <c r="BY33" s="6"/>
      <c r="BZ33" s="6"/>
      <c r="CA33" s="6"/>
      <c r="CB33" s="6"/>
      <c r="CC33" s="6"/>
      <c r="CD33" s="6"/>
      <c r="CE33" s="6"/>
      <c r="CF33" s="6" t="s">
        <v>130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 t="s">
        <v>249</v>
      </c>
      <c r="CS33" s="6" t="s">
        <v>132</v>
      </c>
      <c r="CT33" s="6" t="s">
        <v>133</v>
      </c>
      <c r="CU33" s="6" t="s">
        <v>134</v>
      </c>
      <c r="CV33" s="6"/>
    </row>
    <row r="34" spans="1:614" x14ac:dyDescent="0.2">
      <c r="A34" s="66" t="b">
        <v>0</v>
      </c>
      <c r="B34" s="67" t="b">
        <v>0</v>
      </c>
      <c r="C34" s="67" t="b">
        <v>1</v>
      </c>
      <c r="D34" s="67" t="b">
        <v>0</v>
      </c>
      <c r="E34" s="67" t="b">
        <v>0</v>
      </c>
      <c r="F34" s="66" t="b">
        <v>0</v>
      </c>
      <c r="G34" s="60" t="s">
        <v>240</v>
      </c>
      <c r="H34" s="6" t="s">
        <v>295</v>
      </c>
      <c r="I34" s="6" t="s">
        <v>296</v>
      </c>
      <c r="J34" s="6" t="s">
        <v>103</v>
      </c>
      <c r="K34" s="6" t="s">
        <v>288</v>
      </c>
      <c r="L34" s="6" t="s">
        <v>297</v>
      </c>
      <c r="M34" s="6"/>
      <c r="N34" s="6" t="s">
        <v>289</v>
      </c>
      <c r="O34" s="59"/>
      <c r="P34" s="6"/>
      <c r="Q34" s="6"/>
      <c r="R34" s="6" t="s">
        <v>129</v>
      </c>
      <c r="S34" s="6"/>
      <c r="T34" s="6" t="s">
        <v>246</v>
      </c>
      <c r="U34" s="6"/>
      <c r="V34" s="6" t="s">
        <v>239</v>
      </c>
      <c r="W34" s="6" t="s">
        <v>290</v>
      </c>
      <c r="X34" s="6" t="s">
        <v>290</v>
      </c>
      <c r="Y34" s="6" t="s">
        <v>203</v>
      </c>
      <c r="Z34" s="6" t="s">
        <v>142</v>
      </c>
      <c r="AA34" s="6" t="s">
        <v>115</v>
      </c>
      <c r="AB34" s="6"/>
      <c r="AC34" s="6"/>
      <c r="AD34" s="6" t="s">
        <v>115</v>
      </c>
      <c r="AE34" s="6" t="s">
        <v>116</v>
      </c>
      <c r="AF34" s="6"/>
      <c r="AG34" s="6"/>
      <c r="AH34" s="6" t="s">
        <v>116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 t="s">
        <v>120</v>
      </c>
      <c r="AU34" s="7" t="str">
        <f>IF($AT34="","",IFERROR(INDEX(InstructorMap!$B:$B, MATCH($AT34, InstructorMap!$A:$A, 0)),""))</f>
        <v>jreeve@andrews.edu</v>
      </c>
      <c r="AV34" s="7" t="str">
        <f>IF($AT34="","",IFERROR(INDEX(InstructorMap!$C:$C, MATCH($AT34, InstructorMap!$A:$A, 0)),""))</f>
        <v>000049018</v>
      </c>
      <c r="AW34" s="6" t="s">
        <v>121</v>
      </c>
      <c r="AX34" s="6"/>
      <c r="AY34" s="6"/>
      <c r="AZ34" s="6"/>
      <c r="BA34" s="6" t="s">
        <v>123</v>
      </c>
      <c r="BB34" s="6"/>
      <c r="BC34" s="6"/>
      <c r="BD34" s="6"/>
      <c r="BE34" s="6"/>
      <c r="BF34" s="6"/>
      <c r="BG34" s="6"/>
      <c r="BH34" s="6" t="s">
        <v>103</v>
      </c>
      <c r="BI34" s="6" t="s">
        <v>124</v>
      </c>
      <c r="BJ34" s="6" t="s">
        <v>125</v>
      </c>
      <c r="BK34" s="6"/>
      <c r="BL34" s="6" t="s">
        <v>249</v>
      </c>
      <c r="BM34" s="6"/>
      <c r="BN34" s="6"/>
      <c r="BO34" s="6" t="s">
        <v>127</v>
      </c>
      <c r="BP34" s="6"/>
      <c r="BQ34" s="6"/>
      <c r="BR34" s="6"/>
      <c r="BS34" s="6"/>
      <c r="BT34" s="6" t="s">
        <v>128</v>
      </c>
      <c r="BU34" s="6" t="s">
        <v>129</v>
      </c>
      <c r="BV34" s="6" t="s">
        <v>129</v>
      </c>
      <c r="BW34" s="6" t="s">
        <v>130</v>
      </c>
      <c r="BX34" s="6"/>
      <c r="BY34" s="6"/>
      <c r="BZ34" s="6"/>
      <c r="CA34" s="6"/>
      <c r="CB34" s="6"/>
      <c r="CC34" s="6"/>
      <c r="CD34" s="6"/>
      <c r="CE34" s="6"/>
      <c r="CF34" s="6" t="s">
        <v>130</v>
      </c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 t="s">
        <v>249</v>
      </c>
      <c r="CS34" s="6" t="s">
        <v>132</v>
      </c>
      <c r="CT34" s="6" t="s">
        <v>133</v>
      </c>
      <c r="CU34" s="6" t="s">
        <v>134</v>
      </c>
      <c r="CV34" s="6"/>
    </row>
    <row r="35" spans="1:614" x14ac:dyDescent="0.2">
      <c r="A35" s="66" t="b">
        <v>0</v>
      </c>
      <c r="B35" s="67" t="b">
        <v>0</v>
      </c>
      <c r="C35" s="67" t="b">
        <v>1</v>
      </c>
      <c r="D35" s="67" t="b">
        <v>0</v>
      </c>
      <c r="E35" s="67" t="b">
        <v>0</v>
      </c>
      <c r="F35" s="66" t="b">
        <v>0</v>
      </c>
      <c r="G35" s="60" t="s">
        <v>240</v>
      </c>
      <c r="H35" s="6" t="s">
        <v>298</v>
      </c>
      <c r="I35" s="6" t="s">
        <v>299</v>
      </c>
      <c r="J35" s="6" t="s">
        <v>103</v>
      </c>
      <c r="K35" s="6" t="s">
        <v>288</v>
      </c>
      <c r="L35" s="6" t="s">
        <v>244</v>
      </c>
      <c r="M35" s="6"/>
      <c r="N35" s="6" t="s">
        <v>289</v>
      </c>
      <c r="O35" s="59"/>
      <c r="P35" s="6"/>
      <c r="Q35" s="6"/>
      <c r="R35" s="6" t="s">
        <v>129</v>
      </c>
      <c r="S35" s="6"/>
      <c r="T35" s="6" t="s">
        <v>246</v>
      </c>
      <c r="U35" s="6"/>
      <c r="V35" s="6" t="s">
        <v>239</v>
      </c>
      <c r="W35" s="6" t="s">
        <v>290</v>
      </c>
      <c r="X35" s="6" t="s">
        <v>290</v>
      </c>
      <c r="Y35" s="6" t="s">
        <v>203</v>
      </c>
      <c r="Z35" s="6" t="s">
        <v>142</v>
      </c>
      <c r="AA35" s="6" t="s">
        <v>115</v>
      </c>
      <c r="AB35" s="6"/>
      <c r="AC35" s="6"/>
      <c r="AD35" s="6" t="s">
        <v>115</v>
      </c>
      <c r="AE35" s="6" t="s">
        <v>116</v>
      </c>
      <c r="AF35" s="6"/>
      <c r="AG35" s="6"/>
      <c r="AH35" s="6" t="s">
        <v>116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 t="s">
        <v>248</v>
      </c>
      <c r="AU35" s="7" t="str">
        <f>IF($AT35="","",IFERROR(INDEX(InstructorMap!$B:$B, MATCH($AT35, InstructorMap!$A:$A, 0)),""))</f>
        <v>abnerh@andrews.edu</v>
      </c>
      <c r="AV35" s="7" t="str">
        <f>IF($AT35="","",IFERROR(INDEX(InstructorMap!$C:$C, MATCH($AT35, InstructorMap!$A:$A, 0)),""))</f>
        <v>000149024</v>
      </c>
      <c r="AW35" s="6" t="s">
        <v>121</v>
      </c>
      <c r="AX35" s="6"/>
      <c r="AY35" s="6"/>
      <c r="AZ35" s="6"/>
      <c r="BA35" s="6" t="s">
        <v>123</v>
      </c>
      <c r="BB35" s="6"/>
      <c r="BC35" s="6"/>
      <c r="BD35" s="6"/>
      <c r="BE35" s="6"/>
      <c r="BF35" s="6"/>
      <c r="BG35" s="6"/>
      <c r="BH35" s="6" t="s">
        <v>103</v>
      </c>
      <c r="BI35" s="6" t="s">
        <v>124</v>
      </c>
      <c r="BJ35" s="6" t="s">
        <v>125</v>
      </c>
      <c r="BK35" s="6"/>
      <c r="BL35" s="6" t="s">
        <v>249</v>
      </c>
      <c r="BM35" s="6"/>
      <c r="BN35" s="6"/>
      <c r="BO35" s="6" t="s">
        <v>127</v>
      </c>
      <c r="BP35" s="6"/>
      <c r="BQ35" s="6"/>
      <c r="BR35" s="6"/>
      <c r="BS35" s="6"/>
      <c r="BT35" s="6" t="s">
        <v>128</v>
      </c>
      <c r="BU35" s="6" t="s">
        <v>129</v>
      </c>
      <c r="BV35" s="6" t="s">
        <v>129</v>
      </c>
      <c r="BW35" s="6" t="s">
        <v>130</v>
      </c>
      <c r="BX35" s="6"/>
      <c r="BY35" s="6"/>
      <c r="BZ35" s="6"/>
      <c r="CA35" s="6"/>
      <c r="CB35" s="6"/>
      <c r="CC35" s="6"/>
      <c r="CD35" s="6"/>
      <c r="CE35" s="6"/>
      <c r="CF35" s="6" t="s">
        <v>130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 t="s">
        <v>249</v>
      </c>
      <c r="CS35" s="6" t="s">
        <v>132</v>
      </c>
      <c r="CT35" s="6" t="s">
        <v>133</v>
      </c>
      <c r="CU35" s="6" t="s">
        <v>134</v>
      </c>
      <c r="CV35" s="6"/>
    </row>
    <row r="36" spans="1:614" x14ac:dyDescent="0.2">
      <c r="A36" s="66" t="b">
        <v>0</v>
      </c>
      <c r="B36" s="67" t="b">
        <v>0</v>
      </c>
      <c r="C36" s="67" t="b">
        <v>1</v>
      </c>
      <c r="D36" s="67" t="b">
        <v>0</v>
      </c>
      <c r="E36" s="67" t="b">
        <v>0</v>
      </c>
      <c r="F36" s="66" t="b">
        <v>0</v>
      </c>
      <c r="G36" s="60" t="s">
        <v>240</v>
      </c>
      <c r="H36" s="6" t="s">
        <v>300</v>
      </c>
      <c r="I36" s="6" t="s">
        <v>301</v>
      </c>
      <c r="J36" s="6" t="s">
        <v>103</v>
      </c>
      <c r="K36" s="6" t="s">
        <v>288</v>
      </c>
      <c r="L36" s="6" t="s">
        <v>302</v>
      </c>
      <c r="M36" s="6"/>
      <c r="N36" s="6" t="s">
        <v>289</v>
      </c>
      <c r="O36" s="59"/>
      <c r="P36" s="6"/>
      <c r="Q36" s="6"/>
      <c r="R36" s="6" t="s">
        <v>129</v>
      </c>
      <c r="S36" s="6"/>
      <c r="T36" s="6" t="s">
        <v>246</v>
      </c>
      <c r="U36" s="6"/>
      <c r="V36" s="6" t="s">
        <v>239</v>
      </c>
      <c r="W36" s="6" t="s">
        <v>290</v>
      </c>
      <c r="X36" s="6" t="s">
        <v>290</v>
      </c>
      <c r="Y36" s="6" t="s">
        <v>203</v>
      </c>
      <c r="Z36" s="6" t="s">
        <v>142</v>
      </c>
      <c r="AA36" s="6" t="s">
        <v>115</v>
      </c>
      <c r="AB36" s="6"/>
      <c r="AC36" s="6"/>
      <c r="AD36" s="6" t="s">
        <v>115</v>
      </c>
      <c r="AE36" s="6" t="s">
        <v>116</v>
      </c>
      <c r="AF36" s="6"/>
      <c r="AG36" s="6"/>
      <c r="AH36" s="6" t="s">
        <v>116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 t="s">
        <v>248</v>
      </c>
      <c r="AU36" s="7" t="str">
        <f>IF($AT36="","",IFERROR(INDEX(InstructorMap!$B:$B, MATCH($AT36, InstructorMap!$A:$A, 0)),""))</f>
        <v>abnerh@andrews.edu</v>
      </c>
      <c r="AV36" s="7" t="str">
        <f>IF($AT36="","",IFERROR(INDEX(InstructorMap!$C:$C, MATCH($AT36, InstructorMap!$A:$A, 0)),""))</f>
        <v>000149024</v>
      </c>
      <c r="AW36" s="6" t="s">
        <v>121</v>
      </c>
      <c r="AX36" s="6"/>
      <c r="AY36" s="6"/>
      <c r="AZ36" s="6"/>
      <c r="BA36" s="6" t="s">
        <v>123</v>
      </c>
      <c r="BB36" s="6"/>
      <c r="BC36" s="6"/>
      <c r="BD36" s="6"/>
      <c r="BE36" s="6"/>
      <c r="BF36" s="6"/>
      <c r="BG36" s="6"/>
      <c r="BH36" s="6" t="s">
        <v>103</v>
      </c>
      <c r="BI36" s="6" t="s">
        <v>124</v>
      </c>
      <c r="BJ36" s="6" t="s">
        <v>125</v>
      </c>
      <c r="BK36" s="6"/>
      <c r="BL36" s="6" t="s">
        <v>249</v>
      </c>
      <c r="BM36" s="6"/>
      <c r="BN36" s="6"/>
      <c r="BO36" s="6" t="s">
        <v>127</v>
      </c>
      <c r="BP36" s="6"/>
      <c r="BQ36" s="6"/>
      <c r="BR36" s="6"/>
      <c r="BS36" s="6"/>
      <c r="BT36" s="6" t="s">
        <v>128</v>
      </c>
      <c r="BU36" s="6" t="s">
        <v>129</v>
      </c>
      <c r="BV36" s="6" t="s">
        <v>129</v>
      </c>
      <c r="BW36" s="6" t="s">
        <v>130</v>
      </c>
      <c r="BX36" s="6"/>
      <c r="BY36" s="6"/>
      <c r="BZ36" s="6"/>
      <c r="CA36" s="6"/>
      <c r="CB36" s="6"/>
      <c r="CC36" s="6"/>
      <c r="CD36" s="6"/>
      <c r="CE36" s="6"/>
      <c r="CF36" s="6" t="s">
        <v>130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 t="s">
        <v>132</v>
      </c>
      <c r="CT36" s="6" t="s">
        <v>133</v>
      </c>
      <c r="CU36" s="6" t="s">
        <v>134</v>
      </c>
      <c r="CV36" s="6"/>
    </row>
    <row r="37" spans="1:614" x14ac:dyDescent="0.2">
      <c r="A37" s="66" t="b">
        <v>0</v>
      </c>
      <c r="B37" s="67" t="b">
        <v>0</v>
      </c>
      <c r="C37" s="67" t="b">
        <v>1</v>
      </c>
      <c r="D37" s="67" t="b">
        <v>0</v>
      </c>
      <c r="E37" s="67" t="b">
        <v>0</v>
      </c>
      <c r="F37" s="66" t="b">
        <v>0</v>
      </c>
      <c r="G37" s="60" t="s">
        <v>240</v>
      </c>
      <c r="H37" s="6" t="s">
        <v>303</v>
      </c>
      <c r="I37" s="6" t="s">
        <v>304</v>
      </c>
      <c r="J37" s="6" t="s">
        <v>103</v>
      </c>
      <c r="K37" s="6" t="s">
        <v>305</v>
      </c>
      <c r="L37" s="6" t="s">
        <v>252</v>
      </c>
      <c r="M37" s="6"/>
      <c r="N37" s="6" t="s">
        <v>245</v>
      </c>
      <c r="O37" s="59"/>
      <c r="P37" s="6"/>
      <c r="Q37" s="6"/>
      <c r="R37" s="6" t="s">
        <v>129</v>
      </c>
      <c r="S37" s="6"/>
      <c r="T37" s="6" t="s">
        <v>246</v>
      </c>
      <c r="U37" s="6"/>
      <c r="V37" s="6" t="s">
        <v>239</v>
      </c>
      <c r="W37" s="6" t="s">
        <v>247</v>
      </c>
      <c r="X37" s="6" t="s">
        <v>247</v>
      </c>
      <c r="Y37" s="6" t="s">
        <v>203</v>
      </c>
      <c r="Z37" s="6" t="s">
        <v>142</v>
      </c>
      <c r="AA37" s="6" t="s">
        <v>115</v>
      </c>
      <c r="AB37" s="6"/>
      <c r="AC37" s="6"/>
      <c r="AD37" s="6" t="s">
        <v>115</v>
      </c>
      <c r="AE37" s="6" t="s">
        <v>116</v>
      </c>
      <c r="AF37" s="6"/>
      <c r="AG37" s="6"/>
      <c r="AH37" s="6" t="s">
        <v>116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 t="s">
        <v>120</v>
      </c>
      <c r="AU37" s="7" t="str">
        <f>IF($AT37="","",IFERROR(INDEX(InstructorMap!$B:$B, MATCH($AT37, InstructorMap!$A:$A, 0)),""))</f>
        <v>jreeve@andrews.edu</v>
      </c>
      <c r="AV37" s="7" t="str">
        <f>IF($AT37="","",IFERROR(INDEX(InstructorMap!$C:$C, MATCH($AT37, InstructorMap!$A:$A, 0)),""))</f>
        <v>000049018</v>
      </c>
      <c r="AW37" s="6" t="s">
        <v>121</v>
      </c>
      <c r="AX37" s="6"/>
      <c r="AY37" s="6"/>
      <c r="AZ37" s="6"/>
      <c r="BA37" s="6" t="s">
        <v>123</v>
      </c>
      <c r="BB37" s="6"/>
      <c r="BC37" s="6"/>
      <c r="BD37" s="6"/>
      <c r="BE37" s="6"/>
      <c r="BF37" s="6"/>
      <c r="BG37" s="6"/>
      <c r="BH37" s="6" t="s">
        <v>103</v>
      </c>
      <c r="BI37" s="6" t="s">
        <v>124</v>
      </c>
      <c r="BJ37" s="6" t="s">
        <v>125</v>
      </c>
      <c r="BK37" s="6"/>
      <c r="BL37" s="6" t="s">
        <v>249</v>
      </c>
      <c r="BM37" s="6"/>
      <c r="BN37" s="6"/>
      <c r="BO37" s="6" t="s">
        <v>127</v>
      </c>
      <c r="BP37" s="6"/>
      <c r="BQ37" s="6"/>
      <c r="BR37" s="6"/>
      <c r="BS37" s="6"/>
      <c r="BT37" s="6" t="s">
        <v>128</v>
      </c>
      <c r="BU37" s="6" t="s">
        <v>129</v>
      </c>
      <c r="BV37" s="6" t="s">
        <v>129</v>
      </c>
      <c r="BW37" s="6" t="s">
        <v>130</v>
      </c>
      <c r="BX37" s="6"/>
      <c r="BY37" s="6"/>
      <c r="BZ37" s="6"/>
      <c r="CA37" s="6"/>
      <c r="CB37" s="6"/>
      <c r="CC37" s="6"/>
      <c r="CD37" s="6"/>
      <c r="CE37" s="6"/>
      <c r="CF37" s="6" t="s">
        <v>130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 t="s">
        <v>132</v>
      </c>
      <c r="CT37" s="6" t="s">
        <v>133</v>
      </c>
      <c r="CU37" s="6" t="s">
        <v>134</v>
      </c>
      <c r="CV37" s="6"/>
    </row>
    <row r="38" spans="1:614" x14ac:dyDescent="0.2">
      <c r="A38" s="66" t="b">
        <v>0</v>
      </c>
      <c r="B38" s="67" t="b">
        <v>0</v>
      </c>
      <c r="C38" s="67" t="b">
        <v>1</v>
      </c>
      <c r="D38" s="67" t="b">
        <v>0</v>
      </c>
      <c r="E38" s="67" t="b">
        <v>0</v>
      </c>
      <c r="F38" s="66" t="b">
        <v>0</v>
      </c>
      <c r="G38" s="60" t="s">
        <v>240</v>
      </c>
      <c r="H38" s="6" t="s">
        <v>306</v>
      </c>
      <c r="I38" s="6" t="s">
        <v>307</v>
      </c>
      <c r="J38" s="6" t="s">
        <v>103</v>
      </c>
      <c r="K38" s="6" t="s">
        <v>305</v>
      </c>
      <c r="L38" s="6" t="s">
        <v>297</v>
      </c>
      <c r="M38" s="6"/>
      <c r="N38" s="6" t="s">
        <v>245</v>
      </c>
      <c r="O38" s="59"/>
      <c r="P38" s="6"/>
      <c r="Q38" s="6"/>
      <c r="R38" s="6" t="s">
        <v>129</v>
      </c>
      <c r="S38" s="6"/>
      <c r="T38" s="6" t="s">
        <v>246</v>
      </c>
      <c r="U38" s="6"/>
      <c r="V38" s="6" t="s">
        <v>239</v>
      </c>
      <c r="W38" s="6" t="s">
        <v>247</v>
      </c>
      <c r="X38" s="6" t="s">
        <v>247</v>
      </c>
      <c r="Y38" s="6" t="s">
        <v>203</v>
      </c>
      <c r="Z38" s="6" t="s">
        <v>142</v>
      </c>
      <c r="AA38" s="6" t="s">
        <v>115</v>
      </c>
      <c r="AB38" s="6"/>
      <c r="AC38" s="6"/>
      <c r="AD38" s="6" t="s">
        <v>115</v>
      </c>
      <c r="AE38" s="6" t="s">
        <v>116</v>
      </c>
      <c r="AF38" s="6"/>
      <c r="AG38" s="6"/>
      <c r="AH38" s="6" t="s">
        <v>116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 t="s">
        <v>213</v>
      </c>
      <c r="AU38" s="7" t="str">
        <f>IF($AT38="","",IFERROR(INDEX(InstructorMap!$B:$B, MATCH($AT38, InstructorMap!$A:$A, 0)),""))</f>
        <v>toreggio@andrews.edu</v>
      </c>
      <c r="AV38" s="7" t="str">
        <f>IF($AT38="","",IFERROR(INDEX(InstructorMap!$C:$C, MATCH($AT38, InstructorMap!$A:$A, 0)),""))</f>
        <v>000035762</v>
      </c>
      <c r="AW38" s="6" t="s">
        <v>121</v>
      </c>
      <c r="AX38" s="6"/>
      <c r="AY38" s="6"/>
      <c r="AZ38" s="6"/>
      <c r="BA38" s="6" t="s">
        <v>123</v>
      </c>
      <c r="BB38" s="6"/>
      <c r="BC38" s="6"/>
      <c r="BD38" s="6"/>
      <c r="BE38" s="6"/>
      <c r="BF38" s="6"/>
      <c r="BG38" s="6"/>
      <c r="BH38" s="6" t="s">
        <v>103</v>
      </c>
      <c r="BI38" s="6" t="s">
        <v>124</v>
      </c>
      <c r="BJ38" s="6" t="s">
        <v>125</v>
      </c>
      <c r="BK38" s="6"/>
      <c r="BL38" s="6" t="s">
        <v>249</v>
      </c>
      <c r="BM38" s="6"/>
      <c r="BN38" s="6"/>
      <c r="BO38" s="6" t="s">
        <v>127</v>
      </c>
      <c r="BP38" s="6"/>
      <c r="BQ38" s="6"/>
      <c r="BR38" s="6"/>
      <c r="BS38" s="6"/>
      <c r="BT38" s="6" t="s">
        <v>128</v>
      </c>
      <c r="BU38" s="6" t="s">
        <v>129</v>
      </c>
      <c r="BV38" s="6" t="s">
        <v>129</v>
      </c>
      <c r="BW38" s="6" t="s">
        <v>130</v>
      </c>
      <c r="BX38" s="6"/>
      <c r="BY38" s="6"/>
      <c r="BZ38" s="6"/>
      <c r="CA38" s="6"/>
      <c r="CB38" s="6"/>
      <c r="CC38" s="6"/>
      <c r="CD38" s="6"/>
      <c r="CE38" s="6"/>
      <c r="CF38" s="6" t="s">
        <v>130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 t="s">
        <v>132</v>
      </c>
      <c r="CT38" s="6" t="s">
        <v>133</v>
      </c>
      <c r="CU38" s="6" t="s">
        <v>134</v>
      </c>
      <c r="CV38" s="6"/>
    </row>
    <row r="39" spans="1:614" x14ac:dyDescent="0.2">
      <c r="A39" s="66" t="b">
        <v>0</v>
      </c>
      <c r="B39" s="67" t="b">
        <v>0</v>
      </c>
      <c r="C39" s="67" t="b">
        <v>1</v>
      </c>
      <c r="D39" s="67" t="b">
        <v>0</v>
      </c>
      <c r="E39" s="67" t="b">
        <v>0</v>
      </c>
      <c r="F39" s="66" t="b">
        <v>0</v>
      </c>
      <c r="G39" s="60" t="s">
        <v>240</v>
      </c>
      <c r="H39" s="6" t="s">
        <v>308</v>
      </c>
      <c r="I39" s="6" t="s">
        <v>309</v>
      </c>
      <c r="J39" s="6" t="s">
        <v>103</v>
      </c>
      <c r="K39" s="6" t="s">
        <v>305</v>
      </c>
      <c r="L39" s="6" t="s">
        <v>244</v>
      </c>
      <c r="M39" s="6"/>
      <c r="N39" s="6" t="s">
        <v>245</v>
      </c>
      <c r="O39" s="59"/>
      <c r="P39" s="6"/>
      <c r="Q39" s="6"/>
      <c r="R39" s="6" t="s">
        <v>129</v>
      </c>
      <c r="S39" s="6"/>
      <c r="T39" s="6" t="s">
        <v>246</v>
      </c>
      <c r="U39" s="6"/>
      <c r="V39" s="6" t="s">
        <v>239</v>
      </c>
      <c r="W39" s="6" t="s">
        <v>247</v>
      </c>
      <c r="X39" s="6" t="s">
        <v>247</v>
      </c>
      <c r="Y39" s="6" t="s">
        <v>203</v>
      </c>
      <c r="Z39" s="6" t="s">
        <v>142</v>
      </c>
      <c r="AA39" s="6" t="s">
        <v>115</v>
      </c>
      <c r="AB39" s="6"/>
      <c r="AC39" s="6"/>
      <c r="AD39" s="6" t="s">
        <v>115</v>
      </c>
      <c r="AE39" s="6" t="s">
        <v>116</v>
      </c>
      <c r="AF39" s="6"/>
      <c r="AG39" s="6"/>
      <c r="AH39" s="6" t="s">
        <v>116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 t="s">
        <v>248</v>
      </c>
      <c r="AU39" s="7" t="str">
        <f>IF($AT39="","",IFERROR(INDEX(InstructorMap!$B:$B, MATCH($AT39, InstructorMap!$A:$A, 0)),""))</f>
        <v>abnerh@andrews.edu</v>
      </c>
      <c r="AV39" s="7" t="str">
        <f>IF($AT39="","",IFERROR(INDEX(InstructorMap!$C:$C, MATCH($AT39, InstructorMap!$A:$A, 0)),""))</f>
        <v>000149024</v>
      </c>
      <c r="AW39" s="6" t="s">
        <v>121</v>
      </c>
      <c r="AX39" s="6"/>
      <c r="AY39" s="6"/>
      <c r="AZ39" s="6"/>
      <c r="BA39" s="6" t="s">
        <v>123</v>
      </c>
      <c r="BB39" s="6"/>
      <c r="BC39" s="6"/>
      <c r="BD39" s="6"/>
      <c r="BE39" s="6"/>
      <c r="BF39" s="6"/>
      <c r="BG39" s="6"/>
      <c r="BH39" s="6" t="s">
        <v>103</v>
      </c>
      <c r="BI39" s="6" t="s">
        <v>124</v>
      </c>
      <c r="BJ39" s="6" t="s">
        <v>125</v>
      </c>
      <c r="BK39" s="6"/>
      <c r="BL39" s="6" t="s">
        <v>249</v>
      </c>
      <c r="BM39" s="6"/>
      <c r="BN39" s="6"/>
      <c r="BO39" s="6" t="s">
        <v>127</v>
      </c>
      <c r="BP39" s="6"/>
      <c r="BQ39" s="6"/>
      <c r="BR39" s="6"/>
      <c r="BS39" s="6"/>
      <c r="BT39" s="6" t="s">
        <v>128</v>
      </c>
      <c r="BU39" s="6" t="s">
        <v>129</v>
      </c>
      <c r="BV39" s="6" t="s">
        <v>129</v>
      </c>
      <c r="BW39" s="6" t="s">
        <v>130</v>
      </c>
      <c r="BX39" s="6"/>
      <c r="BY39" s="6"/>
      <c r="BZ39" s="6"/>
      <c r="CA39" s="6"/>
      <c r="CB39" s="6"/>
      <c r="CC39" s="6"/>
      <c r="CD39" s="6"/>
      <c r="CE39" s="6"/>
      <c r="CF39" s="6" t="s">
        <v>130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 t="s">
        <v>249</v>
      </c>
      <c r="CS39" s="6" t="s">
        <v>132</v>
      </c>
      <c r="CT39" s="6" t="s">
        <v>133</v>
      </c>
      <c r="CU39" s="6" t="s">
        <v>134</v>
      </c>
      <c r="CV39" s="6"/>
    </row>
    <row r="40" spans="1:614" x14ac:dyDescent="0.2">
      <c r="A40" s="66" t="b">
        <v>0</v>
      </c>
      <c r="B40" s="67" t="b">
        <v>0</v>
      </c>
      <c r="C40" s="67" t="b">
        <v>1</v>
      </c>
      <c r="D40" s="67" t="b">
        <v>0</v>
      </c>
      <c r="E40" s="67" t="b">
        <v>0</v>
      </c>
      <c r="F40" s="66" t="b">
        <v>0</v>
      </c>
      <c r="G40" s="60" t="s">
        <v>240</v>
      </c>
      <c r="H40" s="6" t="s">
        <v>310</v>
      </c>
      <c r="I40" s="6" t="s">
        <v>311</v>
      </c>
      <c r="J40" s="6" t="s">
        <v>103</v>
      </c>
      <c r="K40" s="6" t="s">
        <v>305</v>
      </c>
      <c r="L40" s="6" t="s">
        <v>258</v>
      </c>
      <c r="M40" s="6"/>
      <c r="N40" s="6" t="s">
        <v>245</v>
      </c>
      <c r="O40" s="59"/>
      <c r="P40" s="6"/>
      <c r="Q40" s="6"/>
      <c r="R40" s="6" t="s">
        <v>129</v>
      </c>
      <c r="S40" s="6"/>
      <c r="T40" s="6" t="s">
        <v>246</v>
      </c>
      <c r="U40" s="6"/>
      <c r="V40" s="6" t="s">
        <v>239</v>
      </c>
      <c r="W40" s="6" t="s">
        <v>247</v>
      </c>
      <c r="X40" s="6" t="s">
        <v>247</v>
      </c>
      <c r="Y40" s="6" t="s">
        <v>203</v>
      </c>
      <c r="Z40" s="6" t="s">
        <v>142</v>
      </c>
      <c r="AA40" s="6" t="s">
        <v>115</v>
      </c>
      <c r="AB40" s="6"/>
      <c r="AC40" s="6"/>
      <c r="AD40" s="6" t="s">
        <v>115</v>
      </c>
      <c r="AE40" s="6" t="s">
        <v>116</v>
      </c>
      <c r="AF40" s="6"/>
      <c r="AG40" s="6"/>
      <c r="AH40" s="6" t="s">
        <v>116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 t="s">
        <v>248</v>
      </c>
      <c r="AU40" s="7" t="str">
        <f>IF($AT40="","",IFERROR(INDEX(InstructorMap!$B:$B, MATCH($AT40, InstructorMap!$A:$A, 0)),""))</f>
        <v>abnerh@andrews.edu</v>
      </c>
      <c r="AV40" s="7" t="str">
        <f>IF($AT40="","",IFERROR(INDEX(InstructorMap!$C:$C, MATCH($AT40, InstructorMap!$A:$A, 0)),""))</f>
        <v>000149024</v>
      </c>
      <c r="AW40" s="6" t="s">
        <v>121</v>
      </c>
      <c r="AX40" s="6"/>
      <c r="AY40" s="6"/>
      <c r="AZ40" s="6"/>
      <c r="BA40" s="6" t="s">
        <v>123</v>
      </c>
      <c r="BB40" s="6"/>
      <c r="BC40" s="6"/>
      <c r="BD40" s="6"/>
      <c r="BE40" s="6"/>
      <c r="BF40" s="6"/>
      <c r="BG40" s="6"/>
      <c r="BH40" s="6" t="s">
        <v>103</v>
      </c>
      <c r="BI40" s="6" t="s">
        <v>124</v>
      </c>
      <c r="BJ40" s="6" t="s">
        <v>125</v>
      </c>
      <c r="BK40" s="6"/>
      <c r="BL40" s="6" t="s">
        <v>249</v>
      </c>
      <c r="BM40" s="6"/>
      <c r="BN40" s="6"/>
      <c r="BO40" s="6" t="s">
        <v>127</v>
      </c>
      <c r="BP40" s="6"/>
      <c r="BQ40" s="6"/>
      <c r="BR40" s="6"/>
      <c r="BS40" s="6"/>
      <c r="BT40" s="6" t="s">
        <v>128</v>
      </c>
      <c r="BU40" s="6" t="s">
        <v>129</v>
      </c>
      <c r="BV40" s="6" t="s">
        <v>129</v>
      </c>
      <c r="BW40" s="6" t="s">
        <v>130</v>
      </c>
      <c r="BX40" s="6"/>
      <c r="BY40" s="6"/>
      <c r="BZ40" s="6"/>
      <c r="CA40" s="6"/>
      <c r="CB40" s="6"/>
      <c r="CC40" s="6"/>
      <c r="CD40" s="6"/>
      <c r="CE40" s="6"/>
      <c r="CF40" s="6" t="s">
        <v>130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 t="s">
        <v>132</v>
      </c>
      <c r="CT40" s="6" t="s">
        <v>133</v>
      </c>
      <c r="CU40" s="6" t="s">
        <v>134</v>
      </c>
      <c r="CV40" s="6"/>
    </row>
    <row r="41" spans="1:614" x14ac:dyDescent="0.2">
      <c r="A41" s="66" t="b">
        <v>0</v>
      </c>
      <c r="B41" s="67" t="b">
        <v>0</v>
      </c>
      <c r="C41" s="67" t="b">
        <v>1</v>
      </c>
      <c r="D41" s="67" t="b">
        <v>0</v>
      </c>
      <c r="E41" s="67" t="b">
        <v>0</v>
      </c>
      <c r="F41" s="66" t="b">
        <v>0</v>
      </c>
      <c r="G41" s="60" t="s">
        <v>240</v>
      </c>
      <c r="H41" s="6" t="s">
        <v>312</v>
      </c>
      <c r="I41" s="6" t="s">
        <v>313</v>
      </c>
      <c r="J41" s="6" t="s">
        <v>103</v>
      </c>
      <c r="K41" s="6" t="s">
        <v>314</v>
      </c>
      <c r="L41" s="6" t="s">
        <v>137</v>
      </c>
      <c r="M41" s="6"/>
      <c r="N41" s="6" t="s">
        <v>245</v>
      </c>
      <c r="O41" s="59"/>
      <c r="P41" s="6"/>
      <c r="Q41" s="6"/>
      <c r="R41" s="6" t="s">
        <v>129</v>
      </c>
      <c r="S41" s="6"/>
      <c r="T41" s="6" t="s">
        <v>246</v>
      </c>
      <c r="U41" s="6"/>
      <c r="V41" s="6" t="s">
        <v>239</v>
      </c>
      <c r="W41" s="6" t="s">
        <v>247</v>
      </c>
      <c r="X41" s="6" t="s">
        <v>247</v>
      </c>
      <c r="Y41" s="6" t="s">
        <v>203</v>
      </c>
      <c r="Z41" s="6" t="s">
        <v>142</v>
      </c>
      <c r="AA41" s="6" t="s">
        <v>115</v>
      </c>
      <c r="AB41" s="6"/>
      <c r="AC41" s="6"/>
      <c r="AD41" s="6" t="s">
        <v>115</v>
      </c>
      <c r="AE41" s="6" t="s">
        <v>116</v>
      </c>
      <c r="AF41" s="6"/>
      <c r="AG41" s="6"/>
      <c r="AH41" s="6" t="s">
        <v>116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 t="s">
        <v>259</v>
      </c>
      <c r="AU41" s="7" t="str">
        <f>IF($AT41="","",IFERROR(INDEX(InstructorMap!$B:$B, MATCH($AT41, InstructorMap!$A:$A, 0)),""))</f>
        <v>denis@andrews.edu</v>
      </c>
      <c r="AV41" s="7" t="str">
        <f>IF($AT41="","",IFERROR(INDEX(InstructorMap!$C:$C, MATCH($AT41, InstructorMap!$A:$A, 0)),""))</f>
        <v>000134382</v>
      </c>
      <c r="AW41" s="6" t="s">
        <v>121</v>
      </c>
      <c r="AX41" s="6"/>
      <c r="AY41" s="6"/>
      <c r="AZ41" s="6"/>
      <c r="BA41" s="6" t="s">
        <v>123</v>
      </c>
      <c r="BB41" s="6"/>
      <c r="BC41" s="6"/>
      <c r="BD41" s="6"/>
      <c r="BE41" s="6"/>
      <c r="BF41" s="6"/>
      <c r="BG41" s="6"/>
      <c r="BH41" s="6" t="s">
        <v>103</v>
      </c>
      <c r="BI41" s="6" t="s">
        <v>124</v>
      </c>
      <c r="BJ41" s="6" t="s">
        <v>125</v>
      </c>
      <c r="BK41" s="6"/>
      <c r="BL41" s="6" t="s">
        <v>249</v>
      </c>
      <c r="BM41" s="6"/>
      <c r="BN41" s="6"/>
      <c r="BO41" s="6" t="s">
        <v>127</v>
      </c>
      <c r="BP41" s="6"/>
      <c r="BQ41" s="6"/>
      <c r="BR41" s="6"/>
      <c r="BS41" s="6"/>
      <c r="BT41" s="6" t="s">
        <v>128</v>
      </c>
      <c r="BU41" s="6" t="s">
        <v>129</v>
      </c>
      <c r="BV41" s="6" t="s">
        <v>129</v>
      </c>
      <c r="BW41" s="6" t="s">
        <v>130</v>
      </c>
      <c r="BX41" s="6"/>
      <c r="BY41" s="6"/>
      <c r="BZ41" s="6"/>
      <c r="CA41" s="6"/>
      <c r="CB41" s="6"/>
      <c r="CC41" s="6"/>
      <c r="CD41" s="6"/>
      <c r="CE41" s="6"/>
      <c r="CF41" s="6" t="s">
        <v>130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 t="s">
        <v>315</v>
      </c>
      <c r="CS41" s="6" t="s">
        <v>132</v>
      </c>
      <c r="CT41" s="6" t="s">
        <v>133</v>
      </c>
      <c r="CU41" s="6" t="s">
        <v>134</v>
      </c>
      <c r="CV41" s="6"/>
    </row>
    <row r="42" spans="1:614" x14ac:dyDescent="0.2">
      <c r="A42" s="38" t="b">
        <v>0</v>
      </c>
      <c r="B42" s="39" t="b">
        <v>0</v>
      </c>
      <c r="C42" s="39" t="b">
        <v>1</v>
      </c>
      <c r="D42" s="39" t="b">
        <v>0</v>
      </c>
      <c r="E42" s="39" t="b">
        <v>0</v>
      </c>
      <c r="F42" s="38" t="b">
        <v>0</v>
      </c>
      <c r="G42" s="6"/>
      <c r="H42" s="6" t="s">
        <v>316</v>
      </c>
      <c r="I42" s="6" t="s">
        <v>317</v>
      </c>
      <c r="J42" s="6" t="s">
        <v>103</v>
      </c>
      <c r="K42" s="6" t="s">
        <v>314</v>
      </c>
      <c r="L42" s="6" t="s">
        <v>252</v>
      </c>
      <c r="M42" s="6"/>
      <c r="N42" s="6" t="s">
        <v>245</v>
      </c>
      <c r="O42" s="6"/>
      <c r="P42" s="6"/>
      <c r="Q42" s="6"/>
      <c r="R42" s="6" t="s">
        <v>129</v>
      </c>
      <c r="S42" s="6"/>
      <c r="T42" s="6" t="s">
        <v>246</v>
      </c>
      <c r="U42" s="6"/>
      <c r="V42" s="6" t="s">
        <v>239</v>
      </c>
      <c r="W42" s="6" t="s">
        <v>247</v>
      </c>
      <c r="X42" s="6" t="s">
        <v>247</v>
      </c>
      <c r="Y42" s="6" t="s">
        <v>203</v>
      </c>
      <c r="Z42" s="6" t="s">
        <v>142</v>
      </c>
      <c r="AA42" s="6" t="s">
        <v>115</v>
      </c>
      <c r="AB42" s="6"/>
      <c r="AC42" s="6"/>
      <c r="AD42" s="6" t="s">
        <v>115</v>
      </c>
      <c r="AE42" s="6" t="s">
        <v>116</v>
      </c>
      <c r="AF42" s="6"/>
      <c r="AG42" s="6"/>
      <c r="AH42" s="6" t="s">
        <v>116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 t="s">
        <v>248</v>
      </c>
      <c r="AU42" s="7" t="str">
        <f>IF($AT42="","",IFERROR(INDEX(InstructorMap!$B:$B, MATCH($AT42, InstructorMap!$A:$A, 0)),""))</f>
        <v>abnerh@andrews.edu</v>
      </c>
      <c r="AV42" s="7" t="str">
        <f>IF($AT42="","",IFERROR(INDEX(InstructorMap!$C:$C, MATCH($AT42, InstructorMap!$A:$A, 0)),""))</f>
        <v>000149024</v>
      </c>
      <c r="AW42" s="6" t="s">
        <v>121</v>
      </c>
      <c r="AX42" s="6"/>
      <c r="AY42" s="6"/>
      <c r="AZ42" s="6"/>
      <c r="BA42" s="6" t="s">
        <v>123</v>
      </c>
      <c r="BB42" s="6"/>
      <c r="BC42" s="6"/>
      <c r="BD42" s="6"/>
      <c r="BE42" s="6"/>
      <c r="BF42" s="6"/>
      <c r="BG42" s="6"/>
      <c r="BH42" s="6" t="s">
        <v>103</v>
      </c>
      <c r="BI42" s="6" t="s">
        <v>124</v>
      </c>
      <c r="BJ42" s="6" t="s">
        <v>125</v>
      </c>
      <c r="BK42" s="6"/>
      <c r="BL42" s="6" t="s">
        <v>249</v>
      </c>
      <c r="BM42" s="6"/>
      <c r="BN42" s="6"/>
      <c r="BO42" s="6" t="s">
        <v>127</v>
      </c>
      <c r="BP42" s="6"/>
      <c r="BQ42" s="6"/>
      <c r="BR42" s="6"/>
      <c r="BS42" s="6"/>
      <c r="BT42" s="6" t="s">
        <v>128</v>
      </c>
      <c r="BU42" s="6" t="s">
        <v>129</v>
      </c>
      <c r="BV42" s="6" t="s">
        <v>129</v>
      </c>
      <c r="BW42" s="6" t="s">
        <v>130</v>
      </c>
      <c r="BX42" s="6"/>
      <c r="BY42" s="6"/>
      <c r="BZ42" s="6"/>
      <c r="CA42" s="6"/>
      <c r="CB42" s="6"/>
      <c r="CC42" s="6"/>
      <c r="CD42" s="6"/>
      <c r="CE42" s="6"/>
      <c r="CF42" s="6" t="s">
        <v>130</v>
      </c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 t="s">
        <v>132</v>
      </c>
      <c r="CT42" s="6" t="s">
        <v>133</v>
      </c>
      <c r="CU42" s="6" t="s">
        <v>134</v>
      </c>
      <c r="CV42" s="6"/>
    </row>
    <row r="43" spans="1:614" x14ac:dyDescent="0.2">
      <c r="A43" s="66" t="b">
        <v>0</v>
      </c>
      <c r="B43" s="67" t="b">
        <v>0</v>
      </c>
      <c r="C43" s="67" t="b">
        <v>1</v>
      </c>
      <c r="D43" s="67" t="b">
        <v>0</v>
      </c>
      <c r="E43" s="67" t="b">
        <v>0</v>
      </c>
      <c r="F43" s="66" t="b">
        <v>0</v>
      </c>
      <c r="G43" s="60" t="s">
        <v>240</v>
      </c>
      <c r="H43" s="6" t="s">
        <v>318</v>
      </c>
      <c r="I43" s="6" t="s">
        <v>319</v>
      </c>
      <c r="J43" s="6" t="s">
        <v>103</v>
      </c>
      <c r="K43" s="6" t="s">
        <v>314</v>
      </c>
      <c r="L43" s="6" t="s">
        <v>297</v>
      </c>
      <c r="M43" s="6"/>
      <c r="N43" s="6" t="s">
        <v>245</v>
      </c>
      <c r="O43" s="59"/>
      <c r="P43" s="6"/>
      <c r="Q43" s="6"/>
      <c r="R43" s="6" t="s">
        <v>129</v>
      </c>
      <c r="S43" s="6"/>
      <c r="T43" s="6" t="s">
        <v>246</v>
      </c>
      <c r="U43" s="6"/>
      <c r="V43" s="6" t="s">
        <v>239</v>
      </c>
      <c r="W43" s="6" t="s">
        <v>247</v>
      </c>
      <c r="X43" s="6" t="s">
        <v>247</v>
      </c>
      <c r="Y43" s="6" t="s">
        <v>203</v>
      </c>
      <c r="Z43" s="6" t="s">
        <v>142</v>
      </c>
      <c r="AA43" s="6" t="s">
        <v>115</v>
      </c>
      <c r="AB43" s="6"/>
      <c r="AC43" s="6"/>
      <c r="AD43" s="6" t="s">
        <v>115</v>
      </c>
      <c r="AE43" s="6" t="s">
        <v>116</v>
      </c>
      <c r="AF43" s="6"/>
      <c r="AG43" s="6"/>
      <c r="AH43" s="6" t="s">
        <v>116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 t="s">
        <v>320</v>
      </c>
      <c r="AU43" s="7" t="str">
        <f>IF($AT43="","",IFERROR(INDEX(InstructorMap!$B:$B, MATCH($AT43, InstructorMap!$A:$A, 0)),""))</f>
        <v>fortind@andrews.edu</v>
      </c>
      <c r="AV43" s="7" t="str">
        <f>IF($AT43="","",IFERROR(INDEX(InstructorMap!$C:$C, MATCH($AT43, InstructorMap!$A:$A, 0)),""))</f>
        <v>000043638</v>
      </c>
      <c r="AW43" s="6" t="s">
        <v>121</v>
      </c>
      <c r="AX43" s="6"/>
      <c r="AY43" s="6"/>
      <c r="AZ43" s="6"/>
      <c r="BA43" s="6" t="s">
        <v>123</v>
      </c>
      <c r="BB43" s="6"/>
      <c r="BC43" s="6"/>
      <c r="BD43" s="6"/>
      <c r="BE43" s="6"/>
      <c r="BF43" s="6"/>
      <c r="BG43" s="6"/>
      <c r="BH43" s="6" t="s">
        <v>103</v>
      </c>
      <c r="BI43" s="6" t="s">
        <v>124</v>
      </c>
      <c r="BJ43" s="6" t="s">
        <v>125</v>
      </c>
      <c r="BK43" s="6"/>
      <c r="BL43" s="6" t="s">
        <v>249</v>
      </c>
      <c r="BM43" s="6"/>
      <c r="BN43" s="6"/>
      <c r="BO43" s="6" t="s">
        <v>127</v>
      </c>
      <c r="BP43" s="6"/>
      <c r="BQ43" s="6"/>
      <c r="BR43" s="6"/>
      <c r="BS43" s="6"/>
      <c r="BT43" s="6" t="s">
        <v>128</v>
      </c>
      <c r="BU43" s="6" t="s">
        <v>129</v>
      </c>
      <c r="BV43" s="6" t="s">
        <v>129</v>
      </c>
      <c r="BW43" s="6" t="s">
        <v>130</v>
      </c>
      <c r="BX43" s="6"/>
      <c r="BY43" s="6"/>
      <c r="BZ43" s="6"/>
      <c r="CA43" s="6"/>
      <c r="CB43" s="6"/>
      <c r="CC43" s="6"/>
      <c r="CD43" s="6"/>
      <c r="CE43" s="6"/>
      <c r="CF43" s="6" t="s">
        <v>130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 t="s">
        <v>249</v>
      </c>
      <c r="CS43" s="6" t="s">
        <v>132</v>
      </c>
      <c r="CT43" s="6" t="s">
        <v>133</v>
      </c>
      <c r="CU43" s="6" t="s">
        <v>134</v>
      </c>
      <c r="CV43" s="6"/>
    </row>
    <row r="44" spans="1:614" x14ac:dyDescent="0.2">
      <c r="A44" s="66" t="b">
        <v>0</v>
      </c>
      <c r="B44" s="67" t="b">
        <v>0</v>
      </c>
      <c r="C44" s="67" t="b">
        <v>1</v>
      </c>
      <c r="D44" s="67" t="b">
        <v>0</v>
      </c>
      <c r="E44" s="67" t="b">
        <v>0</v>
      </c>
      <c r="F44" s="66" t="b">
        <v>0</v>
      </c>
      <c r="G44" s="60" t="s">
        <v>240</v>
      </c>
      <c r="H44" s="6" t="s">
        <v>321</v>
      </c>
      <c r="I44" s="6" t="s">
        <v>322</v>
      </c>
      <c r="J44" s="6" t="s">
        <v>103</v>
      </c>
      <c r="K44" s="6" t="s">
        <v>323</v>
      </c>
      <c r="L44" s="6" t="s">
        <v>255</v>
      </c>
      <c r="M44" s="6"/>
      <c r="N44" s="6" t="s">
        <v>324</v>
      </c>
      <c r="O44" s="59"/>
      <c r="P44" s="6"/>
      <c r="Q44" s="6"/>
      <c r="R44" s="6" t="s">
        <v>129</v>
      </c>
      <c r="S44" s="6"/>
      <c r="T44" s="6" t="s">
        <v>246</v>
      </c>
      <c r="U44" s="6"/>
      <c r="V44" s="6" t="s">
        <v>239</v>
      </c>
      <c r="W44" s="6" t="s">
        <v>290</v>
      </c>
      <c r="X44" s="6" t="s">
        <v>290</v>
      </c>
      <c r="Y44" s="6" t="s">
        <v>203</v>
      </c>
      <c r="Z44" s="6" t="s">
        <v>142</v>
      </c>
      <c r="AA44" s="6" t="s">
        <v>115</v>
      </c>
      <c r="AB44" s="6"/>
      <c r="AC44" s="6"/>
      <c r="AD44" s="6" t="s">
        <v>115</v>
      </c>
      <c r="AE44" s="6" t="s">
        <v>116</v>
      </c>
      <c r="AF44" s="6"/>
      <c r="AG44" s="6"/>
      <c r="AH44" s="6" t="s">
        <v>116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 t="s">
        <v>259</v>
      </c>
      <c r="AU44" s="7" t="str">
        <f>IF($AT44="","",IFERROR(INDEX(InstructorMap!$B:$B, MATCH($AT44, InstructorMap!$A:$A, 0)),""))</f>
        <v>denis@andrews.edu</v>
      </c>
      <c r="AV44" s="7" t="str">
        <f>IF($AT44="","",IFERROR(INDEX(InstructorMap!$C:$C, MATCH($AT44, InstructorMap!$A:$A, 0)),""))</f>
        <v>000134382</v>
      </c>
      <c r="AW44" s="6" t="s">
        <v>121</v>
      </c>
      <c r="AX44" s="6"/>
      <c r="AY44" s="6"/>
      <c r="AZ44" s="6"/>
      <c r="BA44" s="6" t="s">
        <v>123</v>
      </c>
      <c r="BB44" s="6"/>
      <c r="BC44" s="6"/>
      <c r="BD44" s="6"/>
      <c r="BE44" s="6"/>
      <c r="BF44" s="6"/>
      <c r="BG44" s="6"/>
      <c r="BH44" s="6" t="s">
        <v>103</v>
      </c>
      <c r="BI44" s="6" t="s">
        <v>124</v>
      </c>
      <c r="BJ44" s="6" t="s">
        <v>125</v>
      </c>
      <c r="BK44" s="6"/>
      <c r="BL44" s="6" t="s">
        <v>249</v>
      </c>
      <c r="BM44" s="6"/>
      <c r="BN44" s="6"/>
      <c r="BO44" s="6" t="s">
        <v>127</v>
      </c>
      <c r="BP44" s="6"/>
      <c r="BQ44" s="6" t="s">
        <v>167</v>
      </c>
      <c r="BR44" s="6"/>
      <c r="BS44" s="6"/>
      <c r="BT44" s="6" t="s">
        <v>128</v>
      </c>
      <c r="BU44" s="6" t="s">
        <v>129</v>
      </c>
      <c r="BV44" s="6" t="s">
        <v>129</v>
      </c>
      <c r="BW44" s="6" t="s">
        <v>130</v>
      </c>
      <c r="BX44" s="6"/>
      <c r="BY44" s="6"/>
      <c r="BZ44" s="6"/>
      <c r="CA44" s="6"/>
      <c r="CB44" s="6"/>
      <c r="CC44" s="6"/>
      <c r="CD44" s="6"/>
      <c r="CE44" s="6"/>
      <c r="CF44" s="6" t="s">
        <v>130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 t="s">
        <v>249</v>
      </c>
      <c r="CS44" s="6" t="s">
        <v>132</v>
      </c>
      <c r="CT44" s="6" t="s">
        <v>133</v>
      </c>
      <c r="CU44" s="6" t="s">
        <v>134</v>
      </c>
      <c r="CV44" s="6"/>
    </row>
    <row r="45" spans="1:614" s="48" customFormat="1" x14ac:dyDescent="0.2">
      <c r="A45" s="33" t="b">
        <v>0</v>
      </c>
      <c r="B45" s="34" t="b">
        <v>0</v>
      </c>
      <c r="C45" s="33" t="b">
        <v>1</v>
      </c>
      <c r="D45" s="34" t="b">
        <v>0</v>
      </c>
      <c r="E45" s="34" t="b">
        <v>0</v>
      </c>
      <c r="F45" s="32" t="b">
        <v>0</v>
      </c>
      <c r="G45" s="55"/>
      <c r="H45" s="17"/>
      <c r="I45" s="56" t="s">
        <v>199</v>
      </c>
      <c r="J45" s="17" t="s">
        <v>103</v>
      </c>
      <c r="K45" s="17" t="s">
        <v>325</v>
      </c>
      <c r="L45" s="17" t="s">
        <v>137</v>
      </c>
      <c r="M45" s="17"/>
      <c r="N45" s="17" t="s">
        <v>227</v>
      </c>
      <c r="O45" s="17"/>
      <c r="P45" s="17" t="s">
        <v>228</v>
      </c>
      <c r="Q45" s="17"/>
      <c r="R45" s="17" t="s">
        <v>129</v>
      </c>
      <c r="S45" s="17"/>
      <c r="T45" s="17" t="s">
        <v>326</v>
      </c>
      <c r="U45" s="17" t="s">
        <v>140</v>
      </c>
      <c r="V45" s="17" t="s">
        <v>239</v>
      </c>
      <c r="W45" s="17" t="s">
        <v>173</v>
      </c>
      <c r="X45" s="17" t="s">
        <v>173</v>
      </c>
      <c r="Y45" s="17" t="s">
        <v>217</v>
      </c>
      <c r="Z45" s="17" t="s">
        <v>114</v>
      </c>
      <c r="AA45" s="17" t="s">
        <v>115</v>
      </c>
      <c r="AB45" s="17"/>
      <c r="AC45" s="17"/>
      <c r="AD45" s="17" t="s">
        <v>115</v>
      </c>
      <c r="AE45" s="17" t="s">
        <v>116</v>
      </c>
      <c r="AF45" s="17"/>
      <c r="AG45" s="17"/>
      <c r="AH45" s="17" t="s">
        <v>116</v>
      </c>
      <c r="AI45" s="17" t="s">
        <v>117</v>
      </c>
      <c r="AJ45" s="17" t="s">
        <v>118</v>
      </c>
      <c r="AK45" s="17"/>
      <c r="AL45" s="17"/>
      <c r="AM45" s="17"/>
      <c r="AN45" s="17" t="s">
        <v>177</v>
      </c>
      <c r="AO45" s="17"/>
      <c r="AP45" s="17"/>
      <c r="AQ45" s="17"/>
      <c r="AR45" s="17" t="s">
        <v>178</v>
      </c>
      <c r="AS45" s="17" t="s">
        <v>144</v>
      </c>
      <c r="AT45" s="17" t="s">
        <v>204</v>
      </c>
      <c r="AU45" s="57" t="str">
        <f>IF($AT45="","",IFERROR(INDEX(InstructorMap!$B:$B, MATCH($AT45, InstructorMap!$A:$A, 0)),""))</f>
        <v>gersoncr@andrews.edu</v>
      </c>
      <c r="AV45" s="57" t="str">
        <f>IF($AT45="","",IFERROR(INDEX(InstructorMap!$C:$C, MATCH($AT45, InstructorMap!$A:$A, 0)),""))</f>
        <v>000093682</v>
      </c>
      <c r="AW45" s="17" t="s">
        <v>121</v>
      </c>
      <c r="AX45" s="17" t="s">
        <v>122</v>
      </c>
      <c r="AY45" s="17"/>
      <c r="AZ45" s="17"/>
      <c r="BA45" s="17"/>
      <c r="BB45" s="17"/>
      <c r="BC45" s="17"/>
      <c r="BD45" s="17"/>
      <c r="BE45" s="17"/>
      <c r="BF45" s="17"/>
      <c r="BG45" s="17"/>
      <c r="BH45" s="17" t="s">
        <v>103</v>
      </c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 t="s">
        <v>146</v>
      </c>
      <c r="CT45" s="17" t="s">
        <v>133</v>
      </c>
      <c r="CU45" s="17"/>
      <c r="CV45" s="17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  <c r="MK45"/>
      <c r="ML45"/>
      <c r="MM45"/>
      <c r="MN45"/>
      <c r="MO45"/>
      <c r="MP45"/>
      <c r="MQ45"/>
      <c r="MR45"/>
      <c r="MS45"/>
      <c r="MT45"/>
      <c r="MU45"/>
      <c r="MV45"/>
      <c r="MW45"/>
      <c r="MX45"/>
      <c r="MY45"/>
      <c r="MZ45"/>
      <c r="NA45"/>
      <c r="NB45"/>
      <c r="NC45"/>
      <c r="ND45"/>
      <c r="NE45"/>
      <c r="NF45"/>
      <c r="NG45"/>
      <c r="NH45"/>
      <c r="NI45"/>
      <c r="NJ45"/>
      <c r="NK45"/>
      <c r="NL45"/>
      <c r="NM45"/>
      <c r="NN45"/>
      <c r="NO45"/>
      <c r="NP45"/>
      <c r="NQ45"/>
      <c r="NR45"/>
      <c r="NS45"/>
      <c r="NT45"/>
      <c r="NU45"/>
      <c r="NV45"/>
      <c r="NW45"/>
      <c r="NX45"/>
      <c r="NY45"/>
      <c r="NZ45"/>
      <c r="OA45"/>
      <c r="OB45"/>
      <c r="OC45"/>
      <c r="OD45"/>
      <c r="OE45"/>
      <c r="OF45"/>
      <c r="OG45"/>
      <c r="OH45"/>
      <c r="OI45"/>
      <c r="OJ45"/>
      <c r="OK45"/>
      <c r="OL45"/>
      <c r="OM45"/>
      <c r="ON45"/>
      <c r="OO45"/>
      <c r="OP45"/>
      <c r="OQ45"/>
      <c r="OR45"/>
      <c r="OS45"/>
      <c r="OT45"/>
      <c r="OU45"/>
      <c r="OV45"/>
      <c r="OW45"/>
      <c r="OX45"/>
      <c r="OY45"/>
      <c r="OZ45"/>
      <c r="PA45"/>
      <c r="PB45"/>
      <c r="PC45"/>
      <c r="PD45"/>
      <c r="PE45"/>
      <c r="PF45"/>
      <c r="PG45"/>
      <c r="PH45"/>
      <c r="PI45"/>
      <c r="PJ45"/>
      <c r="PK45"/>
      <c r="PL45"/>
      <c r="PM45"/>
      <c r="PN45"/>
      <c r="PO45"/>
      <c r="PP45"/>
      <c r="PQ45"/>
      <c r="PR45"/>
      <c r="PS45"/>
      <c r="PT45"/>
      <c r="PU45"/>
      <c r="PV45"/>
      <c r="PW45"/>
      <c r="PX45"/>
      <c r="PY45"/>
      <c r="PZ45"/>
      <c r="QA45"/>
      <c r="QB45"/>
      <c r="QC45"/>
      <c r="QD45"/>
      <c r="QE45"/>
      <c r="QF45"/>
      <c r="QG45"/>
      <c r="QH45"/>
      <c r="QI45"/>
      <c r="QJ45"/>
      <c r="QK45"/>
      <c r="QL45"/>
      <c r="QM45"/>
      <c r="QN45"/>
      <c r="QO45"/>
      <c r="QP45"/>
      <c r="QQ45"/>
      <c r="QR45"/>
      <c r="QS45"/>
      <c r="QT45"/>
      <c r="QU45"/>
      <c r="QV45"/>
      <c r="QW45"/>
      <c r="QX45"/>
      <c r="QY45"/>
      <c r="QZ45"/>
      <c r="RA45"/>
      <c r="RB45"/>
      <c r="RC45"/>
      <c r="RD45"/>
      <c r="RE45"/>
      <c r="RF45"/>
      <c r="RG45"/>
      <c r="RH45"/>
      <c r="RI45"/>
      <c r="RJ45"/>
      <c r="RK45"/>
      <c r="RL45"/>
      <c r="RM45"/>
      <c r="RN45"/>
      <c r="RO45"/>
      <c r="RP45"/>
      <c r="RQ45"/>
      <c r="RR45"/>
      <c r="RS45"/>
      <c r="RT45"/>
      <c r="RU45"/>
      <c r="RV45"/>
      <c r="RW45"/>
      <c r="RX45"/>
      <c r="RY45"/>
      <c r="RZ45"/>
      <c r="SA45"/>
      <c r="SB45"/>
      <c r="SC45"/>
      <c r="SD45"/>
      <c r="SE45"/>
      <c r="SF45"/>
      <c r="SG45"/>
      <c r="SH45"/>
      <c r="SI45"/>
      <c r="SJ45"/>
      <c r="SK45"/>
      <c r="SL45"/>
      <c r="SM45"/>
      <c r="SN45"/>
      <c r="SO45"/>
      <c r="SP45"/>
      <c r="SQ45"/>
      <c r="SR45"/>
      <c r="SS45"/>
      <c r="ST45"/>
      <c r="SU45"/>
      <c r="SV45"/>
      <c r="SW45"/>
      <c r="SX45"/>
      <c r="SY45"/>
      <c r="SZ45"/>
      <c r="TA45"/>
      <c r="TB45"/>
      <c r="TC45"/>
      <c r="TD45"/>
      <c r="TE45"/>
      <c r="TF45"/>
      <c r="TG45"/>
      <c r="TH45"/>
      <c r="TI45"/>
      <c r="TJ45"/>
      <c r="TK45"/>
      <c r="TL45"/>
      <c r="TM45"/>
      <c r="TN45"/>
      <c r="TO45"/>
      <c r="TP45"/>
      <c r="TQ45"/>
      <c r="TR45"/>
      <c r="TS45"/>
      <c r="TT45"/>
      <c r="TU45"/>
      <c r="TV45"/>
      <c r="TW45"/>
      <c r="TX45"/>
      <c r="TY45"/>
      <c r="TZ45"/>
      <c r="UA45"/>
      <c r="UB45"/>
      <c r="UC45"/>
      <c r="UD45"/>
      <c r="UE45"/>
      <c r="UF45"/>
      <c r="UG45"/>
      <c r="UH45"/>
      <c r="UI45"/>
      <c r="UJ45"/>
      <c r="UK45"/>
      <c r="UL45"/>
      <c r="UM45"/>
      <c r="UN45"/>
      <c r="UO45"/>
      <c r="UP45"/>
      <c r="UQ45"/>
      <c r="UR45"/>
      <c r="US45"/>
      <c r="UT45"/>
      <c r="UU45"/>
      <c r="UV45"/>
      <c r="UW45"/>
      <c r="UX45"/>
      <c r="UY45"/>
      <c r="UZ45"/>
      <c r="VA45"/>
      <c r="VB45"/>
      <c r="VC45"/>
      <c r="VD45"/>
      <c r="VE45"/>
      <c r="VF45"/>
      <c r="VG45"/>
      <c r="VH45"/>
      <c r="VI45"/>
      <c r="VJ45"/>
      <c r="VK45"/>
      <c r="VL45"/>
      <c r="VM45"/>
      <c r="VN45"/>
      <c r="VO45"/>
      <c r="VP45"/>
      <c r="VQ45"/>
      <c r="VR45"/>
      <c r="VS45"/>
      <c r="VT45"/>
      <c r="VU45"/>
      <c r="VV45"/>
      <c r="VW45"/>
      <c r="VX45"/>
      <c r="VY45"/>
      <c r="VZ45"/>
      <c r="WA45"/>
      <c r="WB45"/>
      <c r="WC45"/>
      <c r="WD45"/>
      <c r="WE45"/>
      <c r="WF45"/>
      <c r="WG45"/>
      <c r="WH45"/>
      <c r="WI45"/>
      <c r="WJ45"/>
      <c r="WK45"/>
      <c r="WL45"/>
      <c r="WM45"/>
      <c r="WN45"/>
      <c r="WO45"/>
      <c r="WP45"/>
    </row>
    <row r="46" spans="1:614" x14ac:dyDescent="0.2">
      <c r="A46" s="45" t="b">
        <v>0</v>
      </c>
      <c r="B46" s="45" t="b">
        <v>0</v>
      </c>
      <c r="C46" s="58" t="b">
        <v>1</v>
      </c>
      <c r="D46" s="45" t="b">
        <v>0</v>
      </c>
      <c r="E46" s="45" t="b">
        <v>0</v>
      </c>
      <c r="F46" s="45" t="b">
        <v>0</v>
      </c>
      <c r="G46" s="60" t="s">
        <v>186</v>
      </c>
      <c r="H46" s="11"/>
      <c r="I46" s="12" t="s">
        <v>199</v>
      </c>
      <c r="J46" s="11" t="s">
        <v>103</v>
      </c>
      <c r="K46" s="11" t="s">
        <v>325</v>
      </c>
      <c r="L46" s="11" t="s">
        <v>255</v>
      </c>
      <c r="M46" s="11"/>
      <c r="N46" s="11" t="s">
        <v>201</v>
      </c>
      <c r="O46" s="11"/>
      <c r="P46" s="11" t="s">
        <v>202</v>
      </c>
      <c r="Q46" s="11"/>
      <c r="R46" s="11" t="s">
        <v>129</v>
      </c>
      <c r="S46" s="11"/>
      <c r="T46" s="11" t="s">
        <v>326</v>
      </c>
      <c r="U46" s="11" t="s">
        <v>140</v>
      </c>
      <c r="V46" s="11" t="s">
        <v>239</v>
      </c>
      <c r="W46" s="11" t="s">
        <v>173</v>
      </c>
      <c r="X46" s="11" t="s">
        <v>173</v>
      </c>
      <c r="Y46" s="11" t="s">
        <v>174</v>
      </c>
      <c r="Z46" s="11" t="s">
        <v>114</v>
      </c>
      <c r="AA46" s="11" t="s">
        <v>115</v>
      </c>
      <c r="AB46" s="11"/>
      <c r="AC46" s="11"/>
      <c r="AD46" s="11" t="s">
        <v>115</v>
      </c>
      <c r="AE46" s="11" t="s">
        <v>116</v>
      </c>
      <c r="AF46" s="11"/>
      <c r="AG46" s="11"/>
      <c r="AH46" s="11" t="s">
        <v>116</v>
      </c>
      <c r="AI46" s="11" t="s">
        <v>117</v>
      </c>
      <c r="AJ46" s="11" t="s">
        <v>118</v>
      </c>
      <c r="AK46" s="11"/>
      <c r="AL46" s="11"/>
      <c r="AM46" s="11"/>
      <c r="AN46" s="11" t="s">
        <v>177</v>
      </c>
      <c r="AO46" s="11"/>
      <c r="AP46" s="11"/>
      <c r="AQ46" s="11"/>
      <c r="AR46" s="11" t="s">
        <v>178</v>
      </c>
      <c r="AS46" s="11" t="s">
        <v>144</v>
      </c>
      <c r="AT46" s="59" t="s">
        <v>196</v>
      </c>
      <c r="AU46" s="13" t="str">
        <f>IF($AT46="","",IFERROR(INDEX(InstructorMap!$B:$B, MATCH($AT46, InstructorMap!$A:$A, 0)),""))</f>
        <v/>
      </c>
      <c r="AV46" s="13" t="str">
        <f>IF($AT46="","",IFERROR(INDEX(InstructorMap!$C:$C, MATCH($AT46, InstructorMap!$A:$A, 0)),""))</f>
        <v/>
      </c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 t="s">
        <v>103</v>
      </c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 t="s">
        <v>146</v>
      </c>
      <c r="CT46" s="11" t="s">
        <v>133</v>
      </c>
      <c r="CU46" s="11"/>
      <c r="CV46" s="11"/>
    </row>
  </sheetData>
  <autoFilter ref="A1:CV46" xr:uid="{00000000-0009-0000-0000-000000000000}">
    <sortState xmlns:xlrd2="http://schemas.microsoft.com/office/spreadsheetml/2017/richdata2" ref="A2:CV46">
      <sortCondition ref="K1:K46"/>
    </sortState>
  </autoFilter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62">
        <x14:dataValidation type="list" allowBlank="1" xr:uid="{00000000-0002-0000-0000-000000000000}">
          <x14:formula1>
            <xm:f>DropDownMenu!$A$2:$A$3</xm:f>
          </x14:formula1>
          <xm:sqref>A47:A5002</xm:sqref>
        </x14:dataValidation>
        <x14:dataValidation type="list" allowBlank="1" xr:uid="{00000000-0002-0000-0000-000001000000}">
          <x14:formula1>
            <xm:f>DropDownMenu!$B$2:$B$3</xm:f>
          </x14:formula1>
          <xm:sqref>B47:B5002</xm:sqref>
        </x14:dataValidation>
        <x14:dataValidation type="list" allowBlank="1" xr:uid="{00000000-0002-0000-0000-000002000000}">
          <x14:formula1>
            <xm:f>DropDownMenu!$C$2:$C$3</xm:f>
          </x14:formula1>
          <xm:sqref>D47:D5002</xm:sqref>
        </x14:dataValidation>
        <x14:dataValidation type="list" allowBlank="1" xr:uid="{00000000-0002-0000-0000-000003000000}">
          <x14:formula1>
            <xm:f>DropDownMenu!$D$2:$D$3</xm:f>
          </x14:formula1>
          <xm:sqref>E47:E5002</xm:sqref>
        </x14:dataValidation>
        <x14:dataValidation type="list" allowBlank="1" xr:uid="{00000000-0002-0000-0000-000004000000}">
          <x14:formula1>
            <xm:f>DropDownMenu!$E$2:$E$3</xm:f>
          </x14:formula1>
          <xm:sqref>F47:F5002</xm:sqref>
        </x14:dataValidation>
        <x14:dataValidation type="list" allowBlank="1" xr:uid="{00000000-0002-0000-0000-000005000000}">
          <x14:formula1>
            <xm:f>DropDownMenu!$G$2:$G$19</xm:f>
          </x14:formula1>
          <xm:sqref>G2:G5 G47:G5002 G7:G45</xm:sqref>
        </x14:dataValidation>
        <x14:dataValidation type="list" allowBlank="1" showInputMessage="1" showErrorMessage="1" xr:uid="{00000000-0002-0000-0000-000051000000}">
          <x14:formula1>
            <xm:f>DropDownMenu!$A$2:$A$3</xm:f>
          </x14:formula1>
          <xm:sqref>A47:A5002</xm:sqref>
        </x14:dataValidation>
        <x14:dataValidation type="list" allowBlank="1" showInputMessage="1" showErrorMessage="1" xr:uid="{00000000-0002-0000-0000-000052000000}">
          <x14:formula1>
            <xm:f>DropDownMenu!$B$2:$B$3</xm:f>
          </x14:formula1>
          <xm:sqref>B47:B5002</xm:sqref>
        </x14:dataValidation>
        <x14:dataValidation type="list" allowBlank="1" showInputMessage="1" showErrorMessage="1" xr:uid="{00000000-0002-0000-0000-000053000000}">
          <x14:formula1>
            <xm:f>DropDownMenu!$C$2:$C$3</xm:f>
          </x14:formula1>
          <xm:sqref>D47:D5002</xm:sqref>
        </x14:dataValidation>
        <x14:dataValidation type="list" allowBlank="1" showInputMessage="1" showErrorMessage="1" xr:uid="{00000000-0002-0000-0000-000054000000}">
          <x14:formula1>
            <xm:f>DropDownMenu!$D$2:$D$3</xm:f>
          </x14:formula1>
          <xm:sqref>E47:E5002</xm:sqref>
        </x14:dataValidation>
        <x14:dataValidation type="list" allowBlank="1" showInputMessage="1" showErrorMessage="1" xr:uid="{00000000-0002-0000-0000-000055000000}">
          <x14:formula1>
            <xm:f>DropDownMenu!$E$2:$E$3</xm:f>
          </x14:formula1>
          <xm:sqref>F47:F5002</xm:sqref>
        </x14:dataValidation>
        <x14:dataValidation type="list" allowBlank="1" showInputMessage="1" showErrorMessage="1" xr:uid="{00000000-0002-0000-0000-000056000000}">
          <x14:formula1>
            <xm:f>DropDownMenu!$G$2:$G$19</xm:f>
          </x14:formula1>
          <xm:sqref>G2:G5 G47:G5002 G7:G45</xm:sqref>
        </x14:dataValidation>
        <x14:dataValidation type="list" allowBlank="1" xr:uid="{00000000-0002-0000-0000-000006000000}">
          <x14:formula1>
            <xm:f>DropDownMenu!$H$2:$H$564</xm:f>
          </x14:formula1>
          <xm:sqref>H2:H5002</xm:sqref>
        </x14:dataValidation>
        <x14:dataValidation type="list" allowBlank="1" xr:uid="{00000000-0002-0000-0000-000007000000}">
          <x14:formula1>
            <xm:f>DropDownMenu!$I$2:$I$352</xm:f>
          </x14:formula1>
          <xm:sqref>I2:I5002</xm:sqref>
        </x14:dataValidation>
        <x14:dataValidation type="list" allowBlank="1" xr:uid="{00000000-0002-0000-0000-000008000000}">
          <x14:formula1>
            <xm:f>DropDownMenu!$J$2:$J$10</xm:f>
          </x14:formula1>
          <xm:sqref>J2:J5002</xm:sqref>
        </x14:dataValidation>
        <x14:dataValidation type="list" allowBlank="1" xr:uid="{00000000-0002-0000-0000-000009000000}">
          <x14:formula1>
            <xm:f>DropDownMenu!$K$2:$K$101</xm:f>
          </x14:formula1>
          <xm:sqref>K2:K5002</xm:sqref>
        </x14:dataValidation>
        <x14:dataValidation type="list" allowBlank="1" xr:uid="{00000000-0002-0000-0000-00000A000000}">
          <x14:formula1>
            <xm:f>DropDownMenu!$L$2:$L$42</xm:f>
          </x14:formula1>
          <xm:sqref>L2:L5002</xm:sqref>
        </x14:dataValidation>
        <x14:dataValidation type="list" allowBlank="1" xr:uid="{00000000-0002-0000-0000-00000B000000}">
          <x14:formula1>
            <xm:f>DropDownMenu!$M$2:$M$16</xm:f>
          </x14:formula1>
          <xm:sqref>M2:M5002</xm:sqref>
        </x14:dataValidation>
        <x14:dataValidation type="list" allowBlank="1" xr:uid="{00000000-0002-0000-0000-00000C000000}">
          <x14:formula1>
            <xm:f>DropDownMenu!$N$2:$N$140</xm:f>
          </x14:formula1>
          <xm:sqref>N2:N5002</xm:sqref>
        </x14:dataValidation>
        <x14:dataValidation type="list" allowBlank="1" xr:uid="{00000000-0002-0000-0000-00000D000000}">
          <x14:formula1>
            <xm:f>DropDownMenu!$O$2:$O$65</xm:f>
          </x14:formula1>
          <xm:sqref>O2:O5002</xm:sqref>
        </x14:dataValidation>
        <x14:dataValidation type="list" allowBlank="1" xr:uid="{00000000-0002-0000-0000-00000E000000}">
          <x14:formula1>
            <xm:f>DropDownMenu!$P$2:$P$45</xm:f>
          </x14:formula1>
          <xm:sqref>Q2:Q5002</xm:sqref>
        </x14:dataValidation>
        <x14:dataValidation type="list" allowBlank="1" xr:uid="{00000000-0002-0000-0000-00000F000000}">
          <x14:formula1>
            <xm:f>DropDownMenu!$Q$2:$Q$5</xm:f>
          </x14:formula1>
          <xm:sqref>R2:R5002</xm:sqref>
        </x14:dataValidation>
        <x14:dataValidation type="list" allowBlank="1" xr:uid="{00000000-0002-0000-0000-000010000000}">
          <x14:formula1>
            <xm:f>DropDownMenu!$R$2:$R$7</xm:f>
          </x14:formula1>
          <xm:sqref>S2:S5002</xm:sqref>
        </x14:dataValidation>
        <x14:dataValidation type="list" allowBlank="1" xr:uid="{00000000-0002-0000-0000-000011000000}">
          <x14:formula1>
            <xm:f>DropDownMenu!$S$2:$S$11</xm:f>
          </x14:formula1>
          <xm:sqref>T2:T5002</xm:sqref>
        </x14:dataValidation>
        <x14:dataValidation type="list" allowBlank="1" xr:uid="{00000000-0002-0000-0000-000012000000}">
          <x14:formula1>
            <xm:f>DropDownMenu!$T$2:$T$13</xm:f>
          </x14:formula1>
          <xm:sqref>U2:U5002</xm:sqref>
        </x14:dataValidation>
        <x14:dataValidation type="list" allowBlank="1" xr:uid="{00000000-0002-0000-0000-000013000000}">
          <x14:formula1>
            <xm:f>DropDownMenu!$U$2:$U$5</xm:f>
          </x14:formula1>
          <xm:sqref>CR2:CR5002</xm:sqref>
        </x14:dataValidation>
        <x14:dataValidation type="list" allowBlank="1" xr:uid="{00000000-0002-0000-0000-000014000000}">
          <x14:formula1>
            <xm:f>DropDownMenu!$V$2:$V$4</xm:f>
          </x14:formula1>
          <xm:sqref>V2:V5002</xm:sqref>
        </x14:dataValidation>
        <x14:dataValidation type="list" allowBlank="1" xr:uid="{00000000-0002-0000-0000-000015000000}">
          <x14:formula1>
            <xm:f>DropDownMenu!$W$2:$W$6</xm:f>
          </x14:formula1>
          <xm:sqref>CU2:CU5002</xm:sqref>
        </x14:dataValidation>
        <x14:dataValidation type="list" allowBlank="1" xr:uid="{00000000-0002-0000-0000-000016000000}">
          <x14:formula1>
            <xm:f>DropDownMenu!$X$2:$X$26</xm:f>
          </x14:formula1>
          <xm:sqref>W2:W5002 X31:X44</xm:sqref>
        </x14:dataValidation>
        <x14:dataValidation type="list" allowBlank="1" xr:uid="{00000000-0002-0000-0000-000017000000}">
          <x14:formula1>
            <xm:f>DropDownMenu!$Y$2:$Y$7</xm:f>
          </x14:formula1>
          <xm:sqref>X2:X30 X45:X5002</xm:sqref>
        </x14:dataValidation>
        <x14:dataValidation type="list" allowBlank="1" xr:uid="{00000000-0002-0000-0000-000018000000}">
          <x14:formula1>
            <xm:f>DropDownMenu!$Z$2:$Z$15</xm:f>
          </x14:formula1>
          <xm:sqref>Y2:Y5002</xm:sqref>
        </x14:dataValidation>
        <x14:dataValidation type="list" allowBlank="1" xr:uid="{00000000-0002-0000-0000-000019000000}">
          <x14:formula1>
            <xm:f>DropDownMenu!$AA$2:$AA$6</xm:f>
          </x14:formula1>
          <xm:sqref>Z2:Z5002</xm:sqref>
        </x14:dataValidation>
        <x14:dataValidation type="list" allowBlank="1" xr:uid="{00000000-0002-0000-0000-00001A000000}">
          <x14:formula1>
            <xm:f>DropDownMenu!$AB$2:$AB$7</xm:f>
          </x14:formula1>
          <xm:sqref>AA2:AA5002</xm:sqref>
        </x14:dataValidation>
        <x14:dataValidation type="list" allowBlank="1" xr:uid="{00000000-0002-0000-0000-00001B000000}">
          <x14:formula1>
            <xm:f>DropDownMenu!$AC$2:$AC$49</xm:f>
          </x14:formula1>
          <xm:sqref>AD2:AD5002</xm:sqref>
        </x14:dataValidation>
        <x14:dataValidation type="list" allowBlank="1" xr:uid="{00000000-0002-0000-0000-00001C000000}">
          <x14:formula1>
            <xm:f>DropDownMenu!$AD$2:$AD$52</xm:f>
          </x14:formula1>
          <xm:sqref>AE2:AE5002</xm:sqref>
        </x14:dataValidation>
        <x14:dataValidation type="list" allowBlank="1" xr:uid="{00000000-0002-0000-0000-00001D000000}">
          <x14:formula1>
            <xm:f>DropDownMenu!$AE$2:$AE$9</xm:f>
          </x14:formula1>
          <xm:sqref>AH2:AH5002</xm:sqref>
        </x14:dataValidation>
        <x14:dataValidation type="list" allowBlank="1" xr:uid="{00000000-0002-0000-0000-00001E000000}">
          <x14:formula1>
            <xm:f>DropDownMenu!$AF$2:$AF$6</xm:f>
          </x14:formula1>
          <xm:sqref>AI2:AI5002</xm:sqref>
        </x14:dataValidation>
        <x14:dataValidation type="list" allowBlank="1" xr:uid="{00000000-0002-0000-0000-00001F000000}">
          <x14:formula1>
            <xm:f>DropDownMenu!$AG$2:$AG$11</xm:f>
          </x14:formula1>
          <xm:sqref>AJ2:AJ5002</xm:sqref>
        </x14:dataValidation>
        <x14:dataValidation type="list" allowBlank="1" xr:uid="{00000000-0002-0000-0000-000020000000}">
          <x14:formula1>
            <xm:f>DropDownMenu!$AH$2:$AH$2</xm:f>
          </x14:formula1>
          <xm:sqref>AK2:AK5002</xm:sqref>
        </x14:dataValidation>
        <x14:dataValidation type="list" allowBlank="1" xr:uid="{00000000-0002-0000-0000-000021000000}">
          <x14:formula1>
            <xm:f>DropDownMenu!$AI$2:$AI$2</xm:f>
          </x14:formula1>
          <xm:sqref>AL2:AL5002</xm:sqref>
        </x14:dataValidation>
        <x14:dataValidation type="list" allowBlank="1" xr:uid="{00000000-0002-0000-0000-000022000000}">
          <x14:formula1>
            <xm:f>DropDownMenu!$AJ$2:$AJ$2</xm:f>
          </x14:formula1>
          <xm:sqref>AM2:AM5002</xm:sqref>
        </x14:dataValidation>
        <x14:dataValidation type="list" allowBlank="1" xr:uid="{00000000-0002-0000-0000-000023000000}">
          <x14:formula1>
            <xm:f>DropDownMenu!$AK$2:$AK$2</xm:f>
          </x14:formula1>
          <xm:sqref>AN2:AN5002</xm:sqref>
        </x14:dataValidation>
        <x14:dataValidation type="list" allowBlank="1" xr:uid="{00000000-0002-0000-0000-000024000000}">
          <x14:formula1>
            <xm:f>DropDownMenu!$AL$2:$AL$2</xm:f>
          </x14:formula1>
          <xm:sqref>AO2:AO5002</xm:sqref>
        </x14:dataValidation>
        <x14:dataValidation type="list" allowBlank="1" xr:uid="{00000000-0002-0000-0000-000025000000}">
          <x14:formula1>
            <xm:f>DropDownMenu!$AM$2:$AM$5</xm:f>
          </x14:formula1>
          <xm:sqref>CS2:CS5002</xm:sqref>
        </x14:dataValidation>
        <x14:dataValidation type="list" allowBlank="1" xr:uid="{00000000-0002-0000-0000-000026000000}">
          <x14:formula1>
            <xm:f>DropDownMenu!$AN$2:$AN$13</xm:f>
          </x14:formula1>
          <xm:sqref>AR2:AR5002</xm:sqref>
        </x14:dataValidation>
        <x14:dataValidation type="list" allowBlank="1" xr:uid="{00000000-0002-0000-0000-000027000000}">
          <x14:formula1>
            <xm:f>DropDownMenu!$AO$2:$AO$40</xm:f>
          </x14:formula1>
          <xm:sqref>AS2:AS5002</xm:sqref>
        </x14:dataValidation>
        <x14:dataValidation type="list" allowBlank="1" xr:uid="{00000000-0002-0000-0000-000028000000}">
          <x14:formula1>
            <xm:f>DropDownMenu!$AP$2:$AP$274</xm:f>
          </x14:formula1>
          <xm:sqref>AT2:AT5002</xm:sqref>
        </x14:dataValidation>
        <x14:dataValidation type="list" allowBlank="1" xr:uid="{00000000-0002-0000-0000-000029000000}">
          <x14:formula1>
            <xm:f>DropDownMenu!$AQ$2:$AQ$9</xm:f>
          </x14:formula1>
          <xm:sqref>BB2:BB5002</xm:sqref>
        </x14:dataValidation>
        <x14:dataValidation type="list" allowBlank="1" xr:uid="{00000000-0002-0000-0000-00002A000000}">
          <x14:formula1>
            <xm:f>DropDownMenu!$AR$2:$AR$11</xm:f>
          </x14:formula1>
          <xm:sqref>BC2:BC5002</xm:sqref>
        </x14:dataValidation>
        <x14:dataValidation type="list" allowBlank="1" xr:uid="{00000000-0002-0000-0000-00002B000000}">
          <x14:formula1>
            <xm:f>DropDownMenu!$AS$2:$AS$3</xm:f>
          </x14:formula1>
          <xm:sqref>BD2:BD5002</xm:sqref>
        </x14:dataValidation>
        <x14:dataValidation type="list" allowBlank="1" xr:uid="{00000000-0002-0000-0000-00002C000000}">
          <x14:formula1>
            <xm:f>DropDownMenu!$AT$2:$AT$4</xm:f>
          </x14:formula1>
          <xm:sqref>BE2:BE5002</xm:sqref>
        </x14:dataValidation>
        <x14:dataValidation type="list" allowBlank="1" xr:uid="{00000000-0002-0000-0000-00002D000000}">
          <x14:formula1>
            <xm:f>DropDownMenu!$AU$2:$AU$2</xm:f>
          </x14:formula1>
          <xm:sqref>BG2:BG5002</xm:sqref>
        </x14:dataValidation>
        <x14:dataValidation type="list" allowBlank="1" xr:uid="{00000000-0002-0000-0000-00002E000000}">
          <x14:formula1>
            <xm:f>DropDownMenu!$AV$2:$AV$9</xm:f>
          </x14:formula1>
          <xm:sqref>BH2:BH5002</xm:sqref>
        </x14:dataValidation>
        <x14:dataValidation type="list" allowBlank="1" xr:uid="{00000000-0002-0000-0000-00002F000000}">
          <x14:formula1>
            <xm:f>DropDownMenu!$AW$2:$AW$81</xm:f>
          </x14:formula1>
          <xm:sqref>BI2:BI5002</xm:sqref>
        </x14:dataValidation>
        <x14:dataValidation type="list" allowBlank="1" xr:uid="{00000000-0002-0000-0000-000030000000}">
          <x14:formula1>
            <xm:f>DropDownMenu!$AX$2:$AX$3</xm:f>
          </x14:formula1>
          <xm:sqref>BJ2:BJ5002</xm:sqref>
        </x14:dataValidation>
        <x14:dataValidation type="list" allowBlank="1" xr:uid="{00000000-0002-0000-0000-000031000000}">
          <x14:formula1>
            <xm:f>DropDownMenu!$AY$2:$AY$7</xm:f>
          </x14:formula1>
          <xm:sqref>BK2:BK5002</xm:sqref>
        </x14:dataValidation>
        <x14:dataValidation type="list" allowBlank="1" xr:uid="{00000000-0002-0000-0000-000032000000}">
          <x14:formula1>
            <xm:f>DropDownMenu!$AZ$2:$AZ$9</xm:f>
          </x14:formula1>
          <xm:sqref>BL2:BL5002</xm:sqref>
        </x14:dataValidation>
        <x14:dataValidation type="list" allowBlank="1" xr:uid="{00000000-0002-0000-0000-000033000000}">
          <x14:formula1>
            <xm:f>DropDownMenu!$BA$2:$BA$9</xm:f>
          </x14:formula1>
          <xm:sqref>BM2:BM5002</xm:sqref>
        </x14:dataValidation>
        <x14:dataValidation type="list" allowBlank="1" xr:uid="{00000000-0002-0000-0000-000034000000}">
          <x14:formula1>
            <xm:f>DropDownMenu!$BB$2:$BB$3</xm:f>
          </x14:formula1>
          <xm:sqref>BN2:BN5002</xm:sqref>
        </x14:dataValidation>
        <x14:dataValidation type="list" allowBlank="1" xr:uid="{00000000-0002-0000-0000-000035000000}">
          <x14:formula1>
            <xm:f>DropDownMenu!$BC$2:$BC$2</xm:f>
          </x14:formula1>
          <xm:sqref>BO2:BO5002</xm:sqref>
        </x14:dataValidation>
        <x14:dataValidation type="list" allowBlank="1" xr:uid="{00000000-0002-0000-0000-000036000000}">
          <x14:formula1>
            <xm:f>DropDownMenu!$BD$2:$BD$29</xm:f>
          </x14:formula1>
          <xm:sqref>BQ2:BQ5002</xm:sqref>
        </x14:dataValidation>
        <x14:dataValidation type="list" allowBlank="1" xr:uid="{00000000-0002-0000-0000-000037000000}">
          <x14:formula1>
            <xm:f>DropDownMenu!$BE$2:$BE$2</xm:f>
          </x14:formula1>
          <xm:sqref>BT2:BT5002</xm:sqref>
        </x14:dataValidation>
        <x14:dataValidation type="list" allowBlank="1" xr:uid="{00000000-0002-0000-0000-000038000000}">
          <x14:formula1>
            <xm:f>DropDownMenu!$BF$2:$BF$33</xm:f>
          </x14:formula1>
          <xm:sqref>BU2:BU5002</xm:sqref>
        </x14:dataValidation>
        <x14:dataValidation type="list" allowBlank="1" xr:uid="{00000000-0002-0000-0000-000039000000}">
          <x14:formula1>
            <xm:f>DropDownMenu!$BG$2:$BG$2</xm:f>
          </x14:formula1>
          <xm:sqref>BV2:BV5002</xm:sqref>
        </x14:dataValidation>
        <x14:dataValidation type="list" allowBlank="1" xr:uid="{00000000-0002-0000-0000-00003A000000}">
          <x14:formula1>
            <xm:f>DropDownMenu!$BH$2:$BH$4</xm:f>
          </x14:formula1>
          <xm:sqref>AW2:AW5002</xm:sqref>
        </x14:dataValidation>
        <x14:dataValidation type="list" allowBlank="1" xr:uid="{00000000-0002-0000-0000-00003B000000}">
          <x14:formula1>
            <xm:f>DropDownMenu!$BI$2:$BI$2</xm:f>
          </x14:formula1>
          <xm:sqref>BW2:BW5002</xm:sqref>
        </x14:dataValidation>
        <x14:dataValidation type="list" allowBlank="1" xr:uid="{00000000-0002-0000-0000-00003C000000}">
          <x14:formula1>
            <xm:f>DropDownMenu!$BJ$2:$BJ$2</xm:f>
          </x14:formula1>
          <xm:sqref>BX2:BX5002</xm:sqref>
        </x14:dataValidation>
        <x14:dataValidation type="list" allowBlank="1" xr:uid="{00000000-0002-0000-0000-00003D000000}">
          <x14:formula1>
            <xm:f>DropDownMenu!$BK$2:$BK$2</xm:f>
          </x14:formula1>
          <xm:sqref>BY2:BY5002</xm:sqref>
        </x14:dataValidation>
        <x14:dataValidation type="list" allowBlank="1" xr:uid="{00000000-0002-0000-0000-00003E000000}">
          <x14:formula1>
            <xm:f>DropDownMenu!$BL$2:$BL$8</xm:f>
          </x14:formula1>
          <xm:sqref>BZ2:BZ5002</xm:sqref>
        </x14:dataValidation>
        <x14:dataValidation type="list" allowBlank="1" xr:uid="{00000000-0002-0000-0000-00003F000000}">
          <x14:formula1>
            <xm:f>DropDownMenu!$BM$2:$BM$8</xm:f>
          </x14:formula1>
          <xm:sqref>CA2:CA5002</xm:sqref>
        </x14:dataValidation>
        <x14:dataValidation type="list" allowBlank="1" xr:uid="{00000000-0002-0000-0000-000040000000}">
          <x14:formula1>
            <xm:f>DropDownMenu!$BN$2:$BN$8</xm:f>
          </x14:formula1>
          <xm:sqref>CB2:CB5002</xm:sqref>
        </x14:dataValidation>
        <x14:dataValidation type="list" allowBlank="1" xr:uid="{00000000-0002-0000-0000-000041000000}">
          <x14:formula1>
            <xm:f>DropDownMenu!$BO$2:$BO$6</xm:f>
          </x14:formula1>
          <xm:sqref>CC2:CC5002</xm:sqref>
        </x14:dataValidation>
        <x14:dataValidation type="list" allowBlank="1" xr:uid="{00000000-0002-0000-0000-000042000000}">
          <x14:formula1>
            <xm:f>DropDownMenu!$BP$2:$BP$2</xm:f>
          </x14:formula1>
          <xm:sqref>CD2:CD5002</xm:sqref>
        </x14:dataValidation>
        <x14:dataValidation type="list" allowBlank="1" xr:uid="{00000000-0002-0000-0000-000043000000}">
          <x14:formula1>
            <xm:f>DropDownMenu!$BQ$2:$BQ$2</xm:f>
          </x14:formula1>
          <xm:sqref>CE2:CE5002</xm:sqref>
        </x14:dataValidation>
        <x14:dataValidation type="list" allowBlank="1" xr:uid="{00000000-0002-0000-0000-000044000000}">
          <x14:formula1>
            <xm:f>DropDownMenu!$BR$2:$BR$2</xm:f>
          </x14:formula1>
          <xm:sqref>CF2:CF5002</xm:sqref>
        </x14:dataValidation>
        <x14:dataValidation type="list" allowBlank="1" xr:uid="{00000000-0002-0000-0000-000045000000}">
          <x14:formula1>
            <xm:f>DropDownMenu!$BS$2:$BS$2</xm:f>
          </x14:formula1>
          <xm:sqref>CG2:CG5002</xm:sqref>
        </x14:dataValidation>
        <x14:dataValidation type="list" allowBlank="1" xr:uid="{00000000-0002-0000-0000-000046000000}">
          <x14:formula1>
            <xm:f>DropDownMenu!$BT$2:$BT$2</xm:f>
          </x14:formula1>
          <xm:sqref>CH2:CH5002</xm:sqref>
        </x14:dataValidation>
        <x14:dataValidation type="list" allowBlank="1" xr:uid="{00000000-0002-0000-0000-000047000000}">
          <x14:formula1>
            <xm:f>DropDownMenu!$BU$2:$BU$2</xm:f>
          </x14:formula1>
          <xm:sqref>CN2:CN5002</xm:sqref>
        </x14:dataValidation>
        <x14:dataValidation type="list" allowBlank="1" xr:uid="{00000000-0002-0000-0000-000048000000}">
          <x14:formula1>
            <xm:f>DropDownMenu!$BV$2:$BV$2</xm:f>
          </x14:formula1>
          <xm:sqref>CO2:CO5002</xm:sqref>
        </x14:dataValidation>
        <x14:dataValidation type="list" allowBlank="1" xr:uid="{00000000-0002-0000-0000-000049000000}">
          <x14:formula1>
            <xm:f>DropDownMenu!$BW$2:$BW$2</xm:f>
          </x14:formula1>
          <xm:sqref>CQ2:CQ5002</xm:sqref>
        </x14:dataValidation>
        <x14:dataValidation type="list" allowBlank="1" xr:uid="{00000000-0002-0000-0000-00004A000000}">
          <x14:formula1>
            <xm:f>DropDownMenu!$BX$2:$BX$2</xm:f>
          </x14:formula1>
          <xm:sqref>CT2:CT5002</xm:sqref>
        </x14:dataValidation>
        <x14:dataValidation type="list" allowBlank="1" xr:uid="{00000000-0002-0000-0000-00004B000000}">
          <x14:formula1>
            <xm:f>DropDownMenu!$BY$2:$BY$77</xm:f>
          </x14:formula1>
          <xm:sqref>AU2:AU5002</xm:sqref>
        </x14:dataValidation>
        <x14:dataValidation type="list" allowBlank="1" xr:uid="{00000000-0002-0000-0000-00004C000000}">
          <x14:formula1>
            <xm:f>DropDownMenu!$BZ$2:$BZ$3</xm:f>
          </x14:formula1>
          <xm:sqref>CV2:CV5002</xm:sqref>
        </x14:dataValidation>
        <x14:dataValidation type="list" allowBlank="1" xr:uid="{00000000-0002-0000-0000-00004D000000}">
          <x14:formula1>
            <xm:f>DropDownMenu!$CA$2:$CA$77</xm:f>
          </x14:formula1>
          <xm:sqref>AV2:AV5002</xm:sqref>
        </x14:dataValidation>
        <x14:dataValidation type="list" allowBlank="1" xr:uid="{00000000-0002-0000-0000-00004E000000}">
          <x14:formula1>
            <xm:f>DropDownMenu!$CB$2:$CB$3</xm:f>
          </x14:formula1>
          <xm:sqref>AX2:AX5002</xm:sqref>
        </x14:dataValidation>
        <x14:dataValidation type="list" allowBlank="1" xr:uid="{00000000-0002-0000-0000-00004F000000}">
          <x14:formula1>
            <xm:f>DropDownMenu!$CC$2:$CC$3</xm:f>
          </x14:formula1>
          <xm:sqref>AY2:AY5002</xm:sqref>
        </x14:dataValidation>
        <x14:dataValidation type="list" allowBlank="1" xr:uid="{00000000-0002-0000-0000-000050000000}">
          <x14:formula1>
            <xm:f>DropDownMenu!$CD$2:$CD$10</xm:f>
          </x14:formula1>
          <xm:sqref>BA2:BA5002</xm:sqref>
        </x14:dataValidation>
        <x14:dataValidation type="list" allowBlank="1" showInputMessage="1" showErrorMessage="1" xr:uid="{00000000-0002-0000-0000-000057000000}">
          <x14:formula1>
            <xm:f>DropDownMenu!$H$2:$H$564</xm:f>
          </x14:formula1>
          <xm:sqref>H2:H5002</xm:sqref>
        </x14:dataValidation>
        <x14:dataValidation type="list" allowBlank="1" showInputMessage="1" showErrorMessage="1" xr:uid="{00000000-0002-0000-0000-000058000000}">
          <x14:formula1>
            <xm:f>DropDownMenu!$I$2:$I$352</xm:f>
          </x14:formula1>
          <xm:sqref>I2:I5002</xm:sqref>
        </x14:dataValidation>
        <x14:dataValidation type="list" allowBlank="1" showInputMessage="1" showErrorMessage="1" xr:uid="{00000000-0002-0000-0000-000059000000}">
          <x14:formula1>
            <xm:f>DropDownMenu!$J$2:$J$10</xm:f>
          </x14:formula1>
          <xm:sqref>J2:J5002</xm:sqref>
        </x14:dataValidation>
        <x14:dataValidation type="list" allowBlank="1" showInputMessage="1" showErrorMessage="1" xr:uid="{00000000-0002-0000-0000-00005A000000}">
          <x14:formula1>
            <xm:f>DropDownMenu!$K$2:$K$101</xm:f>
          </x14:formula1>
          <xm:sqref>K2:K5002</xm:sqref>
        </x14:dataValidation>
        <x14:dataValidation type="list" allowBlank="1" showInputMessage="1" showErrorMessage="1" xr:uid="{00000000-0002-0000-0000-00005B000000}">
          <x14:formula1>
            <xm:f>DropDownMenu!$L$2:$L$42</xm:f>
          </x14:formula1>
          <xm:sqref>L2:L5002</xm:sqref>
        </x14:dataValidation>
        <x14:dataValidation type="list" allowBlank="1" showInputMessage="1" showErrorMessage="1" xr:uid="{00000000-0002-0000-0000-00005C000000}">
          <x14:formula1>
            <xm:f>DropDownMenu!$M$2:$M$16</xm:f>
          </x14:formula1>
          <xm:sqref>M2:M5002</xm:sqref>
        </x14:dataValidation>
        <x14:dataValidation type="list" allowBlank="1" showInputMessage="1" showErrorMessage="1" xr:uid="{00000000-0002-0000-0000-00005D000000}">
          <x14:formula1>
            <xm:f>DropDownMenu!$N$2:$N$140</xm:f>
          </x14:formula1>
          <xm:sqref>N2:N5002</xm:sqref>
        </x14:dataValidation>
        <x14:dataValidation type="list" allowBlank="1" showInputMessage="1" showErrorMessage="1" xr:uid="{00000000-0002-0000-0000-00005E000000}">
          <x14:formula1>
            <xm:f>DropDownMenu!$O$2:$O$65</xm:f>
          </x14:formula1>
          <xm:sqref>O2:O5002</xm:sqref>
        </x14:dataValidation>
        <x14:dataValidation type="list" allowBlank="1" showInputMessage="1" showErrorMessage="1" xr:uid="{00000000-0002-0000-0000-00005F000000}">
          <x14:formula1>
            <xm:f>DropDownMenu!$P$2:$P$45</xm:f>
          </x14:formula1>
          <xm:sqref>Q2:Q5002</xm:sqref>
        </x14:dataValidation>
        <x14:dataValidation type="list" allowBlank="1" showInputMessage="1" showErrorMessage="1" xr:uid="{00000000-0002-0000-0000-000060000000}">
          <x14:formula1>
            <xm:f>DropDownMenu!$Q$2:$Q$5</xm:f>
          </x14:formula1>
          <xm:sqref>R2:R5002</xm:sqref>
        </x14:dataValidation>
        <x14:dataValidation type="list" allowBlank="1" showInputMessage="1" showErrorMessage="1" xr:uid="{00000000-0002-0000-0000-000061000000}">
          <x14:formula1>
            <xm:f>DropDownMenu!$R$2:$R$7</xm:f>
          </x14:formula1>
          <xm:sqref>S2:S5002</xm:sqref>
        </x14:dataValidation>
        <x14:dataValidation type="list" allowBlank="1" showInputMessage="1" showErrorMessage="1" xr:uid="{00000000-0002-0000-0000-000062000000}">
          <x14:formula1>
            <xm:f>DropDownMenu!$S$2:$S$11</xm:f>
          </x14:formula1>
          <xm:sqref>T2:T5002</xm:sqref>
        </x14:dataValidation>
        <x14:dataValidation type="list" allowBlank="1" showInputMessage="1" showErrorMessage="1" xr:uid="{00000000-0002-0000-0000-000063000000}">
          <x14:formula1>
            <xm:f>DropDownMenu!$T$2:$T$13</xm:f>
          </x14:formula1>
          <xm:sqref>U2:U5002</xm:sqref>
        </x14:dataValidation>
        <x14:dataValidation type="list" allowBlank="1" showInputMessage="1" showErrorMessage="1" xr:uid="{00000000-0002-0000-0000-000064000000}">
          <x14:formula1>
            <xm:f>DropDownMenu!$U$2:$U$5</xm:f>
          </x14:formula1>
          <xm:sqref>CR2:CR5002</xm:sqref>
        </x14:dataValidation>
        <x14:dataValidation type="list" allowBlank="1" showInputMessage="1" showErrorMessage="1" xr:uid="{00000000-0002-0000-0000-000065000000}">
          <x14:formula1>
            <xm:f>DropDownMenu!$V$2:$V$4</xm:f>
          </x14:formula1>
          <xm:sqref>V2:V5002</xm:sqref>
        </x14:dataValidation>
        <x14:dataValidation type="list" allowBlank="1" showInputMessage="1" showErrorMessage="1" xr:uid="{00000000-0002-0000-0000-000066000000}">
          <x14:formula1>
            <xm:f>DropDownMenu!$W$2:$W$6</xm:f>
          </x14:formula1>
          <xm:sqref>CU2:CU5002</xm:sqref>
        </x14:dataValidation>
        <x14:dataValidation type="list" allowBlank="1" showInputMessage="1" showErrorMessage="1" xr:uid="{00000000-0002-0000-0000-000067000000}">
          <x14:formula1>
            <xm:f>DropDownMenu!$X$2:$X$26</xm:f>
          </x14:formula1>
          <xm:sqref>W2:W5002 X31:X44</xm:sqref>
        </x14:dataValidation>
        <x14:dataValidation type="list" allowBlank="1" showInputMessage="1" showErrorMessage="1" xr:uid="{00000000-0002-0000-0000-000068000000}">
          <x14:formula1>
            <xm:f>DropDownMenu!$Y$2:$Y$7</xm:f>
          </x14:formula1>
          <xm:sqref>X2:X30 X45:X5002</xm:sqref>
        </x14:dataValidation>
        <x14:dataValidation type="list" allowBlank="1" showInputMessage="1" showErrorMessage="1" xr:uid="{00000000-0002-0000-0000-000069000000}">
          <x14:formula1>
            <xm:f>DropDownMenu!$Z$2:$Z$15</xm:f>
          </x14:formula1>
          <xm:sqref>Y2:Y5002</xm:sqref>
        </x14:dataValidation>
        <x14:dataValidation type="list" allowBlank="1" showInputMessage="1" showErrorMessage="1" xr:uid="{00000000-0002-0000-0000-00006A000000}">
          <x14:formula1>
            <xm:f>DropDownMenu!$AA$2:$AA$6</xm:f>
          </x14:formula1>
          <xm:sqref>Z2:Z5002</xm:sqref>
        </x14:dataValidation>
        <x14:dataValidation type="list" allowBlank="1" showInputMessage="1" showErrorMessage="1" xr:uid="{00000000-0002-0000-0000-00006B000000}">
          <x14:formula1>
            <xm:f>DropDownMenu!$AB$2:$AB$7</xm:f>
          </x14:formula1>
          <xm:sqref>AA2:AA5002</xm:sqref>
        </x14:dataValidation>
        <x14:dataValidation type="list" allowBlank="1" showInputMessage="1" showErrorMessage="1" xr:uid="{00000000-0002-0000-0000-00006C000000}">
          <x14:formula1>
            <xm:f>DropDownMenu!$AC$2:$AC$49</xm:f>
          </x14:formula1>
          <xm:sqref>AD2:AD5002</xm:sqref>
        </x14:dataValidation>
        <x14:dataValidation type="list" allowBlank="1" showInputMessage="1" showErrorMessage="1" xr:uid="{00000000-0002-0000-0000-00006D000000}">
          <x14:formula1>
            <xm:f>DropDownMenu!$AD$2:$AD$52</xm:f>
          </x14:formula1>
          <xm:sqref>AE2:AE5002</xm:sqref>
        </x14:dataValidation>
        <x14:dataValidation type="list" allowBlank="1" showInputMessage="1" showErrorMessage="1" xr:uid="{00000000-0002-0000-0000-00006E000000}">
          <x14:formula1>
            <xm:f>DropDownMenu!$AE$2:$AE$9</xm:f>
          </x14:formula1>
          <xm:sqref>AH2:AH5002</xm:sqref>
        </x14:dataValidation>
        <x14:dataValidation type="list" allowBlank="1" showInputMessage="1" showErrorMessage="1" xr:uid="{00000000-0002-0000-0000-00006F000000}">
          <x14:formula1>
            <xm:f>DropDownMenu!$AF$2:$AF$6</xm:f>
          </x14:formula1>
          <xm:sqref>AI2:AI5002</xm:sqref>
        </x14:dataValidation>
        <x14:dataValidation type="list" allowBlank="1" showInputMessage="1" showErrorMessage="1" xr:uid="{00000000-0002-0000-0000-000070000000}">
          <x14:formula1>
            <xm:f>DropDownMenu!$AG$2:$AG$11</xm:f>
          </x14:formula1>
          <xm:sqref>AJ2:AJ5002</xm:sqref>
        </x14:dataValidation>
        <x14:dataValidation type="list" allowBlank="1" showInputMessage="1" showErrorMessage="1" xr:uid="{00000000-0002-0000-0000-000071000000}">
          <x14:formula1>
            <xm:f>DropDownMenu!$AH$2:$AH$2</xm:f>
          </x14:formula1>
          <xm:sqref>AK2:AK5002</xm:sqref>
        </x14:dataValidation>
        <x14:dataValidation type="list" allowBlank="1" showInputMessage="1" showErrorMessage="1" xr:uid="{00000000-0002-0000-0000-000072000000}">
          <x14:formula1>
            <xm:f>DropDownMenu!$AI$2:$AI$2</xm:f>
          </x14:formula1>
          <xm:sqref>AL2:AL5002</xm:sqref>
        </x14:dataValidation>
        <x14:dataValidation type="list" allowBlank="1" showInputMessage="1" showErrorMessage="1" xr:uid="{00000000-0002-0000-0000-000073000000}">
          <x14:formula1>
            <xm:f>DropDownMenu!$AJ$2:$AJ$2</xm:f>
          </x14:formula1>
          <xm:sqref>AM2:AM5002</xm:sqref>
        </x14:dataValidation>
        <x14:dataValidation type="list" allowBlank="1" showInputMessage="1" showErrorMessage="1" xr:uid="{00000000-0002-0000-0000-000074000000}">
          <x14:formula1>
            <xm:f>DropDownMenu!$AK$2:$AK$2</xm:f>
          </x14:formula1>
          <xm:sqref>AN2:AN5002</xm:sqref>
        </x14:dataValidation>
        <x14:dataValidation type="list" allowBlank="1" showInputMessage="1" showErrorMessage="1" xr:uid="{00000000-0002-0000-0000-000075000000}">
          <x14:formula1>
            <xm:f>DropDownMenu!$AL$2:$AL$2</xm:f>
          </x14:formula1>
          <xm:sqref>AO2:AO5002</xm:sqref>
        </x14:dataValidation>
        <x14:dataValidation type="list" allowBlank="1" showInputMessage="1" showErrorMessage="1" xr:uid="{00000000-0002-0000-0000-000076000000}">
          <x14:formula1>
            <xm:f>DropDownMenu!$AM$2:$AM$5</xm:f>
          </x14:formula1>
          <xm:sqref>CS2:CS5002</xm:sqref>
        </x14:dataValidation>
        <x14:dataValidation type="list" allowBlank="1" showInputMessage="1" showErrorMessage="1" xr:uid="{00000000-0002-0000-0000-000077000000}">
          <x14:formula1>
            <xm:f>DropDownMenu!$AN$2:$AN$13</xm:f>
          </x14:formula1>
          <xm:sqref>AR2:AR5002</xm:sqref>
        </x14:dataValidation>
        <x14:dataValidation type="list" allowBlank="1" showInputMessage="1" showErrorMessage="1" xr:uid="{00000000-0002-0000-0000-000078000000}">
          <x14:formula1>
            <xm:f>DropDownMenu!$AO$2:$AO$40</xm:f>
          </x14:formula1>
          <xm:sqref>AS2:AS5002</xm:sqref>
        </x14:dataValidation>
        <x14:dataValidation type="list" allowBlank="1" showInputMessage="1" showErrorMessage="1" xr:uid="{00000000-0002-0000-0000-000079000000}">
          <x14:formula1>
            <xm:f>DropDownMenu!$AP$2:$AP$274</xm:f>
          </x14:formula1>
          <xm:sqref>AT2:AT5002</xm:sqref>
        </x14:dataValidation>
        <x14:dataValidation type="list" allowBlank="1" showInputMessage="1" showErrorMessage="1" xr:uid="{00000000-0002-0000-0000-00007A000000}">
          <x14:formula1>
            <xm:f>DropDownMenu!$AQ$2:$AQ$9</xm:f>
          </x14:formula1>
          <xm:sqref>BB2:BB5002</xm:sqref>
        </x14:dataValidation>
        <x14:dataValidation type="list" allowBlank="1" showInputMessage="1" showErrorMessage="1" xr:uid="{00000000-0002-0000-0000-00007B000000}">
          <x14:formula1>
            <xm:f>DropDownMenu!$AR$2:$AR$11</xm:f>
          </x14:formula1>
          <xm:sqref>BC2:BC5002</xm:sqref>
        </x14:dataValidation>
        <x14:dataValidation type="list" allowBlank="1" showInputMessage="1" showErrorMessage="1" xr:uid="{00000000-0002-0000-0000-00007C000000}">
          <x14:formula1>
            <xm:f>DropDownMenu!$AS$2:$AS$3</xm:f>
          </x14:formula1>
          <xm:sqref>BD2:BD5002</xm:sqref>
        </x14:dataValidation>
        <x14:dataValidation type="list" allowBlank="1" showInputMessage="1" showErrorMessage="1" xr:uid="{00000000-0002-0000-0000-00007D000000}">
          <x14:formula1>
            <xm:f>DropDownMenu!$AT$2:$AT$4</xm:f>
          </x14:formula1>
          <xm:sqref>BE2:BE5002</xm:sqref>
        </x14:dataValidation>
        <x14:dataValidation type="list" allowBlank="1" showInputMessage="1" showErrorMessage="1" xr:uid="{00000000-0002-0000-0000-00007E000000}">
          <x14:formula1>
            <xm:f>DropDownMenu!$AU$2:$AU$2</xm:f>
          </x14:formula1>
          <xm:sqref>BG2:BG5002</xm:sqref>
        </x14:dataValidation>
        <x14:dataValidation type="list" allowBlank="1" showInputMessage="1" showErrorMessage="1" xr:uid="{00000000-0002-0000-0000-00007F000000}">
          <x14:formula1>
            <xm:f>DropDownMenu!$AV$2:$AV$9</xm:f>
          </x14:formula1>
          <xm:sqref>BH2:BH5002</xm:sqref>
        </x14:dataValidation>
        <x14:dataValidation type="list" allowBlank="1" showInputMessage="1" showErrorMessage="1" xr:uid="{00000000-0002-0000-0000-000080000000}">
          <x14:formula1>
            <xm:f>DropDownMenu!$AW$2:$AW$81</xm:f>
          </x14:formula1>
          <xm:sqref>BI2:BI5002</xm:sqref>
        </x14:dataValidation>
        <x14:dataValidation type="list" allowBlank="1" showInputMessage="1" showErrorMessage="1" xr:uid="{00000000-0002-0000-0000-000081000000}">
          <x14:formula1>
            <xm:f>DropDownMenu!$AX$2:$AX$3</xm:f>
          </x14:formula1>
          <xm:sqref>BJ2:BJ5002</xm:sqref>
        </x14:dataValidation>
        <x14:dataValidation type="list" allowBlank="1" showInputMessage="1" showErrorMessage="1" xr:uid="{00000000-0002-0000-0000-000082000000}">
          <x14:formula1>
            <xm:f>DropDownMenu!$AY$2:$AY$7</xm:f>
          </x14:formula1>
          <xm:sqref>BK2:BK5002</xm:sqref>
        </x14:dataValidation>
        <x14:dataValidation type="list" allowBlank="1" showInputMessage="1" showErrorMessage="1" xr:uid="{00000000-0002-0000-0000-000083000000}">
          <x14:formula1>
            <xm:f>DropDownMenu!$AZ$2:$AZ$9</xm:f>
          </x14:formula1>
          <xm:sqref>BL2:BL5002</xm:sqref>
        </x14:dataValidation>
        <x14:dataValidation type="list" allowBlank="1" showInputMessage="1" showErrorMessage="1" xr:uid="{00000000-0002-0000-0000-000084000000}">
          <x14:formula1>
            <xm:f>DropDownMenu!$BA$2:$BA$9</xm:f>
          </x14:formula1>
          <xm:sqref>BM2:BM5002</xm:sqref>
        </x14:dataValidation>
        <x14:dataValidation type="list" allowBlank="1" showInputMessage="1" showErrorMessage="1" xr:uid="{00000000-0002-0000-0000-000085000000}">
          <x14:formula1>
            <xm:f>DropDownMenu!$BB$2:$BB$3</xm:f>
          </x14:formula1>
          <xm:sqref>BN2:BN5002</xm:sqref>
        </x14:dataValidation>
        <x14:dataValidation type="list" allowBlank="1" showInputMessage="1" showErrorMessage="1" xr:uid="{00000000-0002-0000-0000-000086000000}">
          <x14:formula1>
            <xm:f>DropDownMenu!$BC$2:$BC$2</xm:f>
          </x14:formula1>
          <xm:sqref>BO2:BO5002</xm:sqref>
        </x14:dataValidation>
        <x14:dataValidation type="list" allowBlank="1" showInputMessage="1" showErrorMessage="1" xr:uid="{00000000-0002-0000-0000-000087000000}">
          <x14:formula1>
            <xm:f>DropDownMenu!$BD$2:$BD$29</xm:f>
          </x14:formula1>
          <xm:sqref>BQ2:BQ5002</xm:sqref>
        </x14:dataValidation>
        <x14:dataValidation type="list" allowBlank="1" showInputMessage="1" showErrorMessage="1" xr:uid="{00000000-0002-0000-0000-000088000000}">
          <x14:formula1>
            <xm:f>DropDownMenu!$BE$2:$BE$2</xm:f>
          </x14:formula1>
          <xm:sqref>BT2:BT5002</xm:sqref>
        </x14:dataValidation>
        <x14:dataValidation type="list" allowBlank="1" showInputMessage="1" showErrorMessage="1" xr:uid="{00000000-0002-0000-0000-000089000000}">
          <x14:formula1>
            <xm:f>DropDownMenu!$BF$2:$BF$33</xm:f>
          </x14:formula1>
          <xm:sqref>BU2:BU5002</xm:sqref>
        </x14:dataValidation>
        <x14:dataValidation type="list" allowBlank="1" showInputMessage="1" showErrorMessage="1" xr:uid="{00000000-0002-0000-0000-00008A000000}">
          <x14:formula1>
            <xm:f>DropDownMenu!$BG$2:$BG$2</xm:f>
          </x14:formula1>
          <xm:sqref>BV2:BV5002</xm:sqref>
        </x14:dataValidation>
        <x14:dataValidation type="list" allowBlank="1" showInputMessage="1" showErrorMessage="1" xr:uid="{00000000-0002-0000-0000-00008B000000}">
          <x14:formula1>
            <xm:f>DropDownMenu!$BH$2:$BH$4</xm:f>
          </x14:formula1>
          <xm:sqref>AW2:AW5002</xm:sqref>
        </x14:dataValidation>
        <x14:dataValidation type="list" allowBlank="1" showInputMessage="1" showErrorMessage="1" xr:uid="{00000000-0002-0000-0000-00008C000000}">
          <x14:formula1>
            <xm:f>DropDownMenu!$BI$2:$BI$2</xm:f>
          </x14:formula1>
          <xm:sqref>BW2:BW5002</xm:sqref>
        </x14:dataValidation>
        <x14:dataValidation type="list" allowBlank="1" showInputMessage="1" showErrorMessage="1" xr:uid="{00000000-0002-0000-0000-00008D000000}">
          <x14:formula1>
            <xm:f>DropDownMenu!$BJ$2:$BJ$2</xm:f>
          </x14:formula1>
          <xm:sqref>BX2:BX5002</xm:sqref>
        </x14:dataValidation>
        <x14:dataValidation type="list" allowBlank="1" showInputMessage="1" showErrorMessage="1" xr:uid="{00000000-0002-0000-0000-00008E000000}">
          <x14:formula1>
            <xm:f>DropDownMenu!$BK$2:$BK$2</xm:f>
          </x14:formula1>
          <xm:sqref>BY2:BY5002</xm:sqref>
        </x14:dataValidation>
        <x14:dataValidation type="list" allowBlank="1" showInputMessage="1" showErrorMessage="1" xr:uid="{00000000-0002-0000-0000-00008F000000}">
          <x14:formula1>
            <xm:f>DropDownMenu!$BL$2:$BL$8</xm:f>
          </x14:formula1>
          <xm:sqref>BZ2:BZ5002</xm:sqref>
        </x14:dataValidation>
        <x14:dataValidation type="list" allowBlank="1" showInputMessage="1" showErrorMessage="1" xr:uid="{00000000-0002-0000-0000-000090000000}">
          <x14:formula1>
            <xm:f>DropDownMenu!$BM$2:$BM$8</xm:f>
          </x14:formula1>
          <xm:sqref>CA2:CA5002</xm:sqref>
        </x14:dataValidation>
        <x14:dataValidation type="list" allowBlank="1" showInputMessage="1" showErrorMessage="1" xr:uid="{00000000-0002-0000-0000-000091000000}">
          <x14:formula1>
            <xm:f>DropDownMenu!$BN$2:$BN$8</xm:f>
          </x14:formula1>
          <xm:sqref>CB2:CB5002</xm:sqref>
        </x14:dataValidation>
        <x14:dataValidation type="list" allowBlank="1" showInputMessage="1" showErrorMessage="1" xr:uid="{00000000-0002-0000-0000-000092000000}">
          <x14:formula1>
            <xm:f>DropDownMenu!$BO$2:$BO$6</xm:f>
          </x14:formula1>
          <xm:sqref>CC2:CC5002</xm:sqref>
        </x14:dataValidation>
        <x14:dataValidation type="list" allowBlank="1" showInputMessage="1" showErrorMessage="1" xr:uid="{00000000-0002-0000-0000-000093000000}">
          <x14:formula1>
            <xm:f>DropDownMenu!$BP$2:$BP$2</xm:f>
          </x14:formula1>
          <xm:sqref>CD2:CD5002</xm:sqref>
        </x14:dataValidation>
        <x14:dataValidation type="list" allowBlank="1" showInputMessage="1" showErrorMessage="1" xr:uid="{00000000-0002-0000-0000-000094000000}">
          <x14:formula1>
            <xm:f>DropDownMenu!$BQ$2:$BQ$2</xm:f>
          </x14:formula1>
          <xm:sqref>CE2:CE5002</xm:sqref>
        </x14:dataValidation>
        <x14:dataValidation type="list" allowBlank="1" showInputMessage="1" showErrorMessage="1" xr:uid="{00000000-0002-0000-0000-000095000000}">
          <x14:formula1>
            <xm:f>DropDownMenu!$BR$2:$BR$2</xm:f>
          </x14:formula1>
          <xm:sqref>CF2:CF5002</xm:sqref>
        </x14:dataValidation>
        <x14:dataValidation type="list" allowBlank="1" showInputMessage="1" showErrorMessage="1" xr:uid="{00000000-0002-0000-0000-000096000000}">
          <x14:formula1>
            <xm:f>DropDownMenu!$BS$2:$BS$2</xm:f>
          </x14:formula1>
          <xm:sqref>CG2:CG5002</xm:sqref>
        </x14:dataValidation>
        <x14:dataValidation type="list" allowBlank="1" showInputMessage="1" showErrorMessage="1" xr:uid="{00000000-0002-0000-0000-000097000000}">
          <x14:formula1>
            <xm:f>DropDownMenu!$BT$2:$BT$2</xm:f>
          </x14:formula1>
          <xm:sqref>CH2:CH5002</xm:sqref>
        </x14:dataValidation>
        <x14:dataValidation type="list" allowBlank="1" showInputMessage="1" showErrorMessage="1" xr:uid="{00000000-0002-0000-0000-000098000000}">
          <x14:formula1>
            <xm:f>DropDownMenu!$BU$2:$BU$2</xm:f>
          </x14:formula1>
          <xm:sqref>CN2:CN5002</xm:sqref>
        </x14:dataValidation>
        <x14:dataValidation type="list" allowBlank="1" showInputMessage="1" showErrorMessage="1" xr:uid="{00000000-0002-0000-0000-000099000000}">
          <x14:formula1>
            <xm:f>DropDownMenu!$BV$2:$BV$2</xm:f>
          </x14:formula1>
          <xm:sqref>CO2:CO5002</xm:sqref>
        </x14:dataValidation>
        <x14:dataValidation type="list" allowBlank="1" showInputMessage="1" showErrorMessage="1" xr:uid="{00000000-0002-0000-0000-00009A000000}">
          <x14:formula1>
            <xm:f>DropDownMenu!$BW$2:$BW$2</xm:f>
          </x14:formula1>
          <xm:sqref>CQ2:CQ5002</xm:sqref>
        </x14:dataValidation>
        <x14:dataValidation type="list" allowBlank="1" showInputMessage="1" showErrorMessage="1" xr:uid="{00000000-0002-0000-0000-00009B000000}">
          <x14:formula1>
            <xm:f>DropDownMenu!$BX$2:$BX$2</xm:f>
          </x14:formula1>
          <xm:sqref>CT2:CT5002</xm:sqref>
        </x14:dataValidation>
        <x14:dataValidation type="list" allowBlank="1" showInputMessage="1" showErrorMessage="1" xr:uid="{00000000-0002-0000-0000-00009C000000}">
          <x14:formula1>
            <xm:f>DropDownMenu!$BY$2:$BY$77</xm:f>
          </x14:formula1>
          <xm:sqref>AU2:AU5002</xm:sqref>
        </x14:dataValidation>
        <x14:dataValidation type="list" allowBlank="1" showInputMessage="1" showErrorMessage="1" xr:uid="{00000000-0002-0000-0000-00009D000000}">
          <x14:formula1>
            <xm:f>DropDownMenu!$BZ$2:$BZ$3</xm:f>
          </x14:formula1>
          <xm:sqref>CV2:CV5002</xm:sqref>
        </x14:dataValidation>
        <x14:dataValidation type="list" allowBlank="1" showInputMessage="1" showErrorMessage="1" xr:uid="{00000000-0002-0000-0000-00009E000000}">
          <x14:formula1>
            <xm:f>DropDownMenu!$CA$2:$CA$77</xm:f>
          </x14:formula1>
          <xm:sqref>AV2:AV5002</xm:sqref>
        </x14:dataValidation>
        <x14:dataValidation type="list" allowBlank="1" showInputMessage="1" showErrorMessage="1" xr:uid="{00000000-0002-0000-0000-00009F000000}">
          <x14:formula1>
            <xm:f>DropDownMenu!$CB$2:$CB$3</xm:f>
          </x14:formula1>
          <xm:sqref>AX2:AX5002</xm:sqref>
        </x14:dataValidation>
        <x14:dataValidation type="list" allowBlank="1" showInputMessage="1" showErrorMessage="1" xr:uid="{00000000-0002-0000-0000-0000A0000000}">
          <x14:formula1>
            <xm:f>DropDownMenu!$CC$2:$CC$3</xm:f>
          </x14:formula1>
          <xm:sqref>AY2:AY5002</xm:sqref>
        </x14:dataValidation>
        <x14:dataValidation type="list" allowBlank="1" showInputMessage="1" showErrorMessage="1" xr:uid="{00000000-0002-0000-0000-0000A1000000}">
          <x14:formula1>
            <xm:f>DropDownMenu!$CD$2:$CD$10</xm:f>
          </x14:formula1>
          <xm:sqref>BA2:BA5002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66FF"/>
    <outlinePr applyStyles="1" summaryRight="0"/>
  </sheetPr>
  <dimension ref="A1:CV43"/>
  <sheetViews>
    <sheetView tabSelected="1" zoomScale="163" workbookViewId="0">
      <pane xSplit="14" ySplit="1" topLeftCell="O18" activePane="bottomRight" state="frozen"/>
      <selection pane="topRight"/>
      <selection pane="bottomLeft"/>
      <selection pane="bottomRight" activeCell="G6" sqref="G6"/>
    </sheetView>
  </sheetViews>
  <sheetFormatPr baseColWidth="10" defaultColWidth="9.1640625" defaultRowHeight="15" outlineLevelCol="1" x14ac:dyDescent="0.2"/>
  <cols>
    <col min="1" max="6" width="4" style="96" customWidth="1"/>
    <col min="7" max="7" width="40" style="96" customWidth="1"/>
    <col min="8" max="8" width="9" style="96" customWidth="1"/>
    <col min="9" max="10" width="6" style="96" customWidth="1"/>
    <col min="11" max="12" width="5" style="96" customWidth="1"/>
    <col min="13" max="13" width="4" style="96" customWidth="1"/>
    <col min="14" max="14" width="40" style="96" customWidth="1"/>
    <col min="15" max="15" width="32" style="96" customWidth="1"/>
    <col min="16" max="16" width="29.83203125" style="96" customWidth="1"/>
    <col min="17" max="17" width="5" style="96" customWidth="1" outlineLevel="1"/>
    <col min="18" max="20" width="4" style="96" customWidth="1" outlineLevel="1"/>
    <col min="21" max="21" width="7" style="96" customWidth="1" outlineLevel="1"/>
    <col min="22" max="22" width="4" style="96" customWidth="1" outlineLevel="1"/>
    <col min="23" max="23" width="6" style="96" customWidth="1"/>
    <col min="24" max="24" width="20" style="96" customWidth="1" outlineLevel="1"/>
    <col min="25" max="26" width="6" style="96" customWidth="1" outlineLevel="1"/>
    <col min="27" max="27" width="10" style="96" customWidth="1"/>
    <col min="28" max="34" width="10" style="96" customWidth="1" outlineLevel="1"/>
    <col min="35" max="35" width="6" style="96" customWidth="1"/>
    <col min="36" max="36" width="6" style="96" customWidth="1" outlineLevel="1"/>
    <col min="37" max="43" width="4" style="96" customWidth="1" outlineLevel="1"/>
    <col min="44" max="44" width="7" style="96" customWidth="1" outlineLevel="1"/>
    <col min="45" max="45" width="25" style="96" customWidth="1" outlineLevel="1"/>
    <col min="46" max="47" width="20" style="96" customWidth="1" outlineLevel="1"/>
    <col min="48" max="48" width="10" style="96" customWidth="1" outlineLevel="1"/>
    <col min="49" max="49" width="5" style="96" customWidth="1" outlineLevel="1"/>
    <col min="50" max="50" width="6.83203125" style="96" customWidth="1"/>
    <col min="51" max="51" width="6.5" style="96" customWidth="1" outlineLevel="1"/>
    <col min="52" max="52" width="8.5" style="96" customWidth="1" outlineLevel="1"/>
    <col min="53" max="53" width="20" style="96" customWidth="1" outlineLevel="1"/>
    <col min="54" max="54" width="4" style="96" customWidth="1"/>
    <col min="55" max="59" width="4" style="96" customWidth="1" outlineLevel="1"/>
    <col min="60" max="60" width="6" style="96" customWidth="1" outlineLevel="1"/>
    <col min="61" max="61" width="11" style="96" customWidth="1" outlineLevel="1"/>
    <col min="62" max="66" width="4" style="96" customWidth="1" outlineLevel="1"/>
    <col min="67" max="67" width="7" style="96" customWidth="1" outlineLevel="1"/>
    <col min="68" max="96" width="4" style="96" customWidth="1" outlineLevel="1"/>
    <col min="97" max="97" width="6" style="96" customWidth="1" outlineLevel="1"/>
    <col min="98" max="98" width="8" style="96" customWidth="1" outlineLevel="1"/>
    <col min="99" max="100" width="4" style="96" customWidth="1" outlineLevel="1"/>
    <col min="101" max="16384" width="9.1640625" style="96"/>
  </cols>
  <sheetData>
    <row r="1" spans="1:100" ht="150" customHeight="1" x14ac:dyDescent="0.2">
      <c r="A1" s="93" t="s">
        <v>0</v>
      </c>
      <c r="B1" s="93" t="s">
        <v>1</v>
      </c>
      <c r="C1" s="93" t="s">
        <v>2</v>
      </c>
      <c r="D1" s="93" t="s">
        <v>3</v>
      </c>
      <c r="E1" s="93" t="s">
        <v>4</v>
      </c>
      <c r="F1" s="93" t="s">
        <v>5</v>
      </c>
      <c r="G1" s="94" t="s">
        <v>6</v>
      </c>
      <c r="H1" s="95" t="s">
        <v>7</v>
      </c>
      <c r="I1" s="95" t="s">
        <v>8</v>
      </c>
      <c r="J1" s="93" t="s">
        <v>9</v>
      </c>
      <c r="K1" s="93" t="s">
        <v>10</v>
      </c>
      <c r="L1" s="93" t="s">
        <v>11</v>
      </c>
      <c r="M1" s="93" t="s">
        <v>12</v>
      </c>
      <c r="N1" s="93" t="s">
        <v>13</v>
      </c>
      <c r="O1" s="93" t="s">
        <v>14</v>
      </c>
      <c r="P1" s="93" t="s">
        <v>15</v>
      </c>
      <c r="Q1" s="95" t="s">
        <v>16</v>
      </c>
      <c r="R1" s="93" t="s">
        <v>17</v>
      </c>
      <c r="S1" s="93" t="s">
        <v>18</v>
      </c>
      <c r="T1" s="93" t="s">
        <v>19</v>
      </c>
      <c r="U1" s="93" t="s">
        <v>20</v>
      </c>
      <c r="V1" s="93" t="s">
        <v>21</v>
      </c>
      <c r="W1" s="95" t="s">
        <v>22</v>
      </c>
      <c r="X1" s="93" t="s">
        <v>23</v>
      </c>
      <c r="Y1" s="93" t="s">
        <v>24</v>
      </c>
      <c r="Z1" s="93" t="s">
        <v>25</v>
      </c>
      <c r="AA1" s="95" t="s">
        <v>26</v>
      </c>
      <c r="AB1" s="93" t="s">
        <v>27</v>
      </c>
      <c r="AC1" s="93" t="s">
        <v>28</v>
      </c>
      <c r="AD1" s="93" t="s">
        <v>29</v>
      </c>
      <c r="AE1" s="93" t="s">
        <v>30</v>
      </c>
      <c r="AF1" s="93" t="s">
        <v>31</v>
      </c>
      <c r="AG1" s="93" t="s">
        <v>32</v>
      </c>
      <c r="AH1" s="95" t="s">
        <v>33</v>
      </c>
      <c r="AI1" s="93" t="s">
        <v>34</v>
      </c>
      <c r="AJ1" s="93" t="s">
        <v>35</v>
      </c>
      <c r="AK1" s="93" t="s">
        <v>36</v>
      </c>
      <c r="AL1" s="93" t="s">
        <v>37</v>
      </c>
      <c r="AM1" s="93" t="s">
        <v>38</v>
      </c>
      <c r="AN1" s="93" t="s">
        <v>39</v>
      </c>
      <c r="AO1" s="93" t="s">
        <v>40</v>
      </c>
      <c r="AP1" s="93" t="s">
        <v>41</v>
      </c>
      <c r="AQ1" s="93" t="s">
        <v>42</v>
      </c>
      <c r="AR1" s="93" t="s">
        <v>43</v>
      </c>
      <c r="AS1" s="93" t="s">
        <v>44</v>
      </c>
      <c r="AT1" s="93" t="s">
        <v>45</v>
      </c>
      <c r="AU1" s="93" t="s">
        <v>46</v>
      </c>
      <c r="AV1" s="93" t="s">
        <v>47</v>
      </c>
      <c r="AW1" s="93" t="s">
        <v>48</v>
      </c>
      <c r="AX1" s="93" t="s">
        <v>49</v>
      </c>
      <c r="AY1" s="93" t="s">
        <v>50</v>
      </c>
      <c r="AZ1" s="93" t="s">
        <v>51</v>
      </c>
      <c r="BA1" s="93" t="s">
        <v>52</v>
      </c>
      <c r="BB1" s="95" t="s">
        <v>53</v>
      </c>
      <c r="BC1" s="95" t="s">
        <v>54</v>
      </c>
      <c r="BD1" s="95" t="s">
        <v>55</v>
      </c>
      <c r="BE1" s="95" t="s">
        <v>56</v>
      </c>
      <c r="BF1" s="95" t="s">
        <v>57</v>
      </c>
      <c r="BG1" s="95" t="s">
        <v>58</v>
      </c>
      <c r="BH1" s="95" t="s">
        <v>59</v>
      </c>
      <c r="BI1" s="95" t="s">
        <v>60</v>
      </c>
      <c r="BJ1" s="95" t="s">
        <v>61</v>
      </c>
      <c r="BK1" s="95" t="s">
        <v>62</v>
      </c>
      <c r="BL1" s="95" t="s">
        <v>63</v>
      </c>
      <c r="BM1" s="95" t="s">
        <v>64</v>
      </c>
      <c r="BN1" s="95" t="s">
        <v>65</v>
      </c>
      <c r="BO1" s="95" t="s">
        <v>66</v>
      </c>
      <c r="BP1" s="95" t="s">
        <v>67</v>
      </c>
      <c r="BQ1" s="95" t="s">
        <v>68</v>
      </c>
      <c r="BR1" s="95" t="s">
        <v>69</v>
      </c>
      <c r="BS1" s="95" t="s">
        <v>70</v>
      </c>
      <c r="BT1" s="95" t="s">
        <v>71</v>
      </c>
      <c r="BU1" s="95" t="s">
        <v>72</v>
      </c>
      <c r="BV1" s="95" t="s">
        <v>73</v>
      </c>
      <c r="BW1" s="95" t="s">
        <v>74</v>
      </c>
      <c r="BX1" s="95" t="s">
        <v>75</v>
      </c>
      <c r="BY1" s="95" t="s">
        <v>76</v>
      </c>
      <c r="BZ1" s="95" t="s">
        <v>77</v>
      </c>
      <c r="CA1" s="95" t="s">
        <v>78</v>
      </c>
      <c r="CB1" s="95" t="s">
        <v>79</v>
      </c>
      <c r="CC1" s="95" t="s">
        <v>80</v>
      </c>
      <c r="CD1" s="95" t="s">
        <v>81</v>
      </c>
      <c r="CE1" s="95" t="s">
        <v>82</v>
      </c>
      <c r="CF1" s="95" t="s">
        <v>83</v>
      </c>
      <c r="CG1" s="95" t="s">
        <v>84</v>
      </c>
      <c r="CH1" s="95" t="s">
        <v>85</v>
      </c>
      <c r="CI1" s="95" t="s">
        <v>86</v>
      </c>
      <c r="CJ1" s="95" t="s">
        <v>87</v>
      </c>
      <c r="CK1" s="95" t="s">
        <v>88</v>
      </c>
      <c r="CL1" s="95" t="s">
        <v>89</v>
      </c>
      <c r="CM1" s="95" t="s">
        <v>90</v>
      </c>
      <c r="CN1" s="95" t="s">
        <v>91</v>
      </c>
      <c r="CO1" s="95" t="s">
        <v>92</v>
      </c>
      <c r="CP1" s="95" t="s">
        <v>93</v>
      </c>
      <c r="CQ1" s="95" t="s">
        <v>94</v>
      </c>
      <c r="CR1" s="95" t="s">
        <v>95</v>
      </c>
      <c r="CS1" s="95" t="s">
        <v>96</v>
      </c>
      <c r="CT1" s="95" t="s">
        <v>97</v>
      </c>
      <c r="CU1" s="95" t="s">
        <v>98</v>
      </c>
      <c r="CV1" s="95" t="s">
        <v>99</v>
      </c>
    </row>
    <row r="2" spans="1:100" x14ac:dyDescent="0.2">
      <c r="A2" s="97" t="b">
        <v>0</v>
      </c>
      <c r="B2" s="97" t="b">
        <v>0</v>
      </c>
      <c r="C2" s="97" t="b">
        <v>0</v>
      </c>
      <c r="D2" s="97" t="b">
        <v>0</v>
      </c>
      <c r="E2" s="97" t="b">
        <v>0</v>
      </c>
      <c r="F2" s="97" t="b">
        <v>1</v>
      </c>
      <c r="G2" s="98"/>
      <c r="H2" s="99" t="s">
        <v>327</v>
      </c>
      <c r="I2" s="99" t="s">
        <v>328</v>
      </c>
      <c r="J2" s="99" t="s">
        <v>329</v>
      </c>
      <c r="K2" s="99" t="s">
        <v>330</v>
      </c>
      <c r="L2" s="99" t="s">
        <v>216</v>
      </c>
      <c r="M2" s="99"/>
      <c r="N2" s="99" t="s">
        <v>331</v>
      </c>
      <c r="O2" s="99"/>
      <c r="P2" s="99"/>
      <c r="Q2" s="99"/>
      <c r="R2" s="99" t="s">
        <v>129</v>
      </c>
      <c r="S2" s="99"/>
      <c r="T2" s="99"/>
      <c r="U2" s="99" t="s">
        <v>140</v>
      </c>
      <c r="V2" s="99"/>
      <c r="W2" s="99" t="s">
        <v>112</v>
      </c>
      <c r="X2" s="99" t="s">
        <v>112</v>
      </c>
      <c r="Y2" s="99" t="s">
        <v>332</v>
      </c>
      <c r="Z2" s="99" t="s">
        <v>142</v>
      </c>
      <c r="AA2" s="99" t="s">
        <v>115</v>
      </c>
      <c r="AB2" s="99"/>
      <c r="AC2" s="99"/>
      <c r="AD2" s="99" t="s">
        <v>115</v>
      </c>
      <c r="AE2" s="99" t="s">
        <v>116</v>
      </c>
      <c r="AF2" s="99"/>
      <c r="AG2" s="99"/>
      <c r="AH2" s="99" t="s">
        <v>116</v>
      </c>
      <c r="AI2" s="99" t="s">
        <v>175</v>
      </c>
      <c r="AJ2" s="99" t="s">
        <v>176</v>
      </c>
      <c r="AK2" s="99"/>
      <c r="AL2" s="99"/>
      <c r="AM2" s="99"/>
      <c r="AN2" s="99"/>
      <c r="AO2" s="99" t="s">
        <v>221</v>
      </c>
      <c r="AP2" s="99"/>
      <c r="AQ2" s="99"/>
      <c r="AR2" s="99" t="s">
        <v>333</v>
      </c>
      <c r="AS2" s="99" t="s">
        <v>144</v>
      </c>
      <c r="AT2" s="99" t="s">
        <v>334</v>
      </c>
      <c r="AU2" s="100" t="str">
        <f>IF($AT2="","",IFERROR(INDEX(InstructorMap!$B:$B, MATCH($AT2, InstructorMap!$A:$A, 0)),""))</f>
        <v>fraserj@andrews.edu</v>
      </c>
      <c r="AV2" s="100" t="str">
        <f>IF($AT2="","",IFERROR(INDEX(InstructorMap!$C:$C, MATCH($AT2, InstructorMap!$A:$A, 0)),""))</f>
        <v>000129106</v>
      </c>
      <c r="AW2" s="99" t="s">
        <v>121</v>
      </c>
      <c r="AX2" s="99" t="s">
        <v>122</v>
      </c>
      <c r="AY2" s="99"/>
      <c r="AZ2" s="99"/>
      <c r="BA2" s="99"/>
      <c r="BB2" s="99"/>
      <c r="BC2" s="99"/>
      <c r="BD2" s="99"/>
      <c r="BE2" s="99"/>
      <c r="BF2" s="99"/>
      <c r="BG2" s="99"/>
      <c r="BH2" s="99" t="s">
        <v>329</v>
      </c>
      <c r="BI2" s="99" t="s">
        <v>124</v>
      </c>
      <c r="BJ2" s="99" t="s">
        <v>125</v>
      </c>
      <c r="BK2" s="99"/>
      <c r="BL2" s="99" t="s">
        <v>125</v>
      </c>
      <c r="BM2" s="99"/>
      <c r="BN2" s="99"/>
      <c r="BO2" s="99" t="s">
        <v>127</v>
      </c>
      <c r="BP2" s="99"/>
      <c r="BQ2" s="99"/>
      <c r="BR2" s="99"/>
      <c r="BS2" s="99"/>
      <c r="BT2" s="99" t="s">
        <v>128</v>
      </c>
      <c r="BU2" s="99" t="s">
        <v>129</v>
      </c>
      <c r="BV2" s="99" t="s">
        <v>145</v>
      </c>
      <c r="BW2" s="99" t="s">
        <v>130</v>
      </c>
      <c r="BX2" s="99"/>
      <c r="BY2" s="99"/>
      <c r="BZ2" s="99"/>
      <c r="CA2" s="99"/>
      <c r="CB2" s="99"/>
      <c r="CC2" s="99"/>
      <c r="CD2" s="99"/>
      <c r="CE2" s="99"/>
      <c r="CF2" s="99" t="s">
        <v>130</v>
      </c>
      <c r="CG2" s="99"/>
      <c r="CH2" s="99" t="s">
        <v>131</v>
      </c>
      <c r="CI2" s="99"/>
      <c r="CJ2" s="99"/>
      <c r="CK2" s="99"/>
      <c r="CL2" s="99"/>
      <c r="CM2" s="99"/>
      <c r="CN2" s="99"/>
      <c r="CO2" s="99"/>
      <c r="CP2" s="99"/>
      <c r="CQ2" s="99"/>
      <c r="CR2" s="99"/>
      <c r="CS2" s="99" t="s">
        <v>146</v>
      </c>
      <c r="CT2" s="99" t="s">
        <v>133</v>
      </c>
      <c r="CU2" s="99" t="s">
        <v>134</v>
      </c>
      <c r="CV2" s="99"/>
    </row>
    <row r="3" spans="1:100" x14ac:dyDescent="0.2">
      <c r="A3" s="97" t="b">
        <v>0</v>
      </c>
      <c r="B3" s="97" t="b">
        <v>0</v>
      </c>
      <c r="C3" s="97" t="b">
        <v>0</v>
      </c>
      <c r="D3" s="97" t="b">
        <v>0</v>
      </c>
      <c r="E3" s="97" t="b">
        <v>0</v>
      </c>
      <c r="F3" s="97" t="b">
        <v>1</v>
      </c>
      <c r="G3" s="98"/>
      <c r="H3" s="99" t="s">
        <v>335</v>
      </c>
      <c r="I3" s="99" t="s">
        <v>336</v>
      </c>
      <c r="J3" s="99" t="s">
        <v>329</v>
      </c>
      <c r="K3" s="99" t="s">
        <v>330</v>
      </c>
      <c r="L3" s="99" t="s">
        <v>137</v>
      </c>
      <c r="M3" s="99"/>
      <c r="N3" s="99" t="s">
        <v>331</v>
      </c>
      <c r="O3" s="99"/>
      <c r="P3" s="99" t="s">
        <v>337</v>
      </c>
      <c r="Q3" s="99" t="s">
        <v>338</v>
      </c>
      <c r="R3" s="99" t="s">
        <v>129</v>
      </c>
      <c r="S3" s="99"/>
      <c r="T3" s="99"/>
      <c r="U3" s="99" t="s">
        <v>140</v>
      </c>
      <c r="V3" s="99"/>
      <c r="W3" s="99" t="s">
        <v>112</v>
      </c>
      <c r="X3" s="99" t="s">
        <v>112</v>
      </c>
      <c r="Y3" s="99" t="s">
        <v>332</v>
      </c>
      <c r="Z3" s="99" t="s">
        <v>142</v>
      </c>
      <c r="AA3" s="99" t="s">
        <v>115</v>
      </c>
      <c r="AB3" s="99"/>
      <c r="AC3" s="99"/>
      <c r="AD3" s="99" t="s">
        <v>115</v>
      </c>
      <c r="AE3" s="99" t="s">
        <v>116</v>
      </c>
      <c r="AF3" s="99"/>
      <c r="AG3" s="99"/>
      <c r="AH3" s="99" t="s">
        <v>116</v>
      </c>
      <c r="AI3" s="99" t="s">
        <v>339</v>
      </c>
      <c r="AJ3" s="99" t="s">
        <v>340</v>
      </c>
      <c r="AK3" s="99"/>
      <c r="AL3" s="99"/>
      <c r="AM3" s="99" t="s">
        <v>211</v>
      </c>
      <c r="AN3" s="99"/>
      <c r="AO3" s="99"/>
      <c r="AP3" s="99"/>
      <c r="AQ3" s="99"/>
      <c r="AR3" s="99" t="s">
        <v>232</v>
      </c>
      <c r="AS3" s="99" t="s">
        <v>144</v>
      </c>
      <c r="AT3" s="99" t="s">
        <v>341</v>
      </c>
      <c r="AU3" s="100" t="str">
        <f>IF($AT3="","",IFERROR(INDEX(InstructorMap!$B:$B, MATCH($AT3, InstructorMap!$A:$A, 0)),""))</f>
        <v>ainsworj@andrews.edu</v>
      </c>
      <c r="AV3" s="100" t="str">
        <f>IF($AT3="","",IFERROR(INDEX(InstructorMap!$C:$C, MATCH($AT3, InstructorMap!$A:$A, 0)),""))</f>
        <v>000079312</v>
      </c>
      <c r="AW3" s="99" t="s">
        <v>121</v>
      </c>
      <c r="AX3" s="99" t="s">
        <v>122</v>
      </c>
      <c r="AY3" s="99"/>
      <c r="AZ3" s="99"/>
      <c r="BA3" s="99"/>
      <c r="BB3" s="99"/>
      <c r="BC3" s="99"/>
      <c r="BD3" s="99"/>
      <c r="BE3" s="99"/>
      <c r="BF3" s="99"/>
      <c r="BG3" s="99"/>
      <c r="BH3" s="99" t="s">
        <v>329</v>
      </c>
      <c r="BI3" s="99" t="s">
        <v>124</v>
      </c>
      <c r="BJ3" s="99" t="s">
        <v>125</v>
      </c>
      <c r="BK3" s="99"/>
      <c r="BL3" s="99" t="s">
        <v>125</v>
      </c>
      <c r="BM3" s="99"/>
      <c r="BN3" s="99"/>
      <c r="BO3" s="99" t="s">
        <v>127</v>
      </c>
      <c r="BP3" s="99"/>
      <c r="BQ3" s="99"/>
      <c r="BR3" s="99"/>
      <c r="BS3" s="99"/>
      <c r="BT3" s="99" t="s">
        <v>128</v>
      </c>
      <c r="BU3" s="99" t="s">
        <v>129</v>
      </c>
      <c r="BV3" s="99" t="s">
        <v>129</v>
      </c>
      <c r="BW3" s="99" t="s">
        <v>130</v>
      </c>
      <c r="BX3" s="99"/>
      <c r="BY3" s="99"/>
      <c r="BZ3" s="99"/>
      <c r="CA3" s="99"/>
      <c r="CB3" s="99"/>
      <c r="CC3" s="99"/>
      <c r="CD3" s="99"/>
      <c r="CE3" s="99"/>
      <c r="CF3" s="99" t="s">
        <v>130</v>
      </c>
      <c r="CG3" s="99"/>
      <c r="CH3" s="99"/>
      <c r="CI3" s="99"/>
      <c r="CJ3" s="99"/>
      <c r="CK3" s="99"/>
      <c r="CL3" s="99"/>
      <c r="CM3" s="99"/>
      <c r="CN3" s="99"/>
      <c r="CO3" s="99"/>
      <c r="CP3" s="99"/>
      <c r="CQ3" s="99"/>
      <c r="CR3" s="99"/>
      <c r="CS3" s="99" t="s">
        <v>146</v>
      </c>
      <c r="CT3" s="99" t="s">
        <v>133</v>
      </c>
      <c r="CU3" s="99" t="s">
        <v>134</v>
      </c>
      <c r="CV3" s="99"/>
    </row>
    <row r="4" spans="1:100" x14ac:dyDescent="0.2">
      <c r="A4" s="97" t="b">
        <v>0</v>
      </c>
      <c r="B4" s="97" t="b">
        <v>0</v>
      </c>
      <c r="C4" s="97" t="b">
        <v>0</v>
      </c>
      <c r="D4" s="97" t="b">
        <v>0</v>
      </c>
      <c r="E4" s="97" t="b">
        <v>0</v>
      </c>
      <c r="F4" s="97" t="b">
        <v>0</v>
      </c>
      <c r="G4" s="98"/>
      <c r="H4" s="99" t="s">
        <v>342</v>
      </c>
      <c r="I4" s="99" t="s">
        <v>343</v>
      </c>
      <c r="J4" s="99" t="s">
        <v>329</v>
      </c>
      <c r="K4" s="99" t="s">
        <v>330</v>
      </c>
      <c r="L4" s="99" t="s">
        <v>148</v>
      </c>
      <c r="M4" s="99"/>
      <c r="N4" s="99" t="s">
        <v>331</v>
      </c>
      <c r="O4" s="99"/>
      <c r="P4" s="99" t="s">
        <v>337</v>
      </c>
      <c r="Q4" s="99" t="s">
        <v>338</v>
      </c>
      <c r="R4" s="99" t="s">
        <v>108</v>
      </c>
      <c r="S4" s="99"/>
      <c r="T4" s="99"/>
      <c r="U4" s="99" t="s">
        <v>149</v>
      </c>
      <c r="V4" s="99"/>
      <c r="W4" s="99" t="s">
        <v>112</v>
      </c>
      <c r="X4" s="99" t="s">
        <v>112</v>
      </c>
      <c r="Y4" s="99" t="s">
        <v>113</v>
      </c>
      <c r="Z4" s="99" t="s">
        <v>114</v>
      </c>
      <c r="AA4" s="99" t="s">
        <v>115</v>
      </c>
      <c r="AB4" s="99"/>
      <c r="AC4" s="99"/>
      <c r="AD4" s="99" t="s">
        <v>115</v>
      </c>
      <c r="AE4" s="99" t="s">
        <v>116</v>
      </c>
      <c r="AF4" s="99"/>
      <c r="AG4" s="99"/>
      <c r="AH4" s="99" t="s">
        <v>116</v>
      </c>
      <c r="AI4" s="101"/>
      <c r="AJ4" s="101"/>
      <c r="AK4" s="99"/>
      <c r="AL4" s="99"/>
      <c r="AM4" s="99"/>
      <c r="AN4" s="99"/>
      <c r="AO4" s="99"/>
      <c r="AP4" s="99"/>
      <c r="AQ4" s="99"/>
      <c r="AR4" s="99"/>
      <c r="AS4" s="99"/>
      <c r="AT4" s="99" t="s">
        <v>341</v>
      </c>
      <c r="AU4" s="100" t="str">
        <f>IF($AT4="","",IFERROR(INDEX(InstructorMap!$B:$B, MATCH($AT4, InstructorMap!$A:$A, 0)),""))</f>
        <v>ainsworj@andrews.edu</v>
      </c>
      <c r="AV4" s="100" t="str">
        <f>IF($AT4="","",IFERROR(INDEX(InstructorMap!$C:$C, MATCH($AT4, InstructorMap!$A:$A, 0)),""))</f>
        <v>000079312</v>
      </c>
      <c r="AW4" s="99" t="s">
        <v>121</v>
      </c>
      <c r="AX4" s="99" t="s">
        <v>344</v>
      </c>
      <c r="AY4" s="99"/>
      <c r="AZ4" s="99"/>
      <c r="BA4" s="99"/>
      <c r="BB4" s="99"/>
      <c r="BC4" s="99"/>
      <c r="BD4" s="99"/>
      <c r="BE4" s="99"/>
      <c r="BF4" s="99"/>
      <c r="BG4" s="99"/>
      <c r="BH4" s="99" t="s">
        <v>329</v>
      </c>
      <c r="BI4" s="99" t="s">
        <v>124</v>
      </c>
      <c r="BJ4" s="99" t="s">
        <v>125</v>
      </c>
      <c r="BK4" s="99"/>
      <c r="BL4" s="99" t="s">
        <v>126</v>
      </c>
      <c r="BM4" s="99"/>
      <c r="BN4" s="99"/>
      <c r="BO4" s="99" t="s">
        <v>127</v>
      </c>
      <c r="BP4" s="99"/>
      <c r="BQ4" s="99"/>
      <c r="BR4" s="99"/>
      <c r="BS4" s="99"/>
      <c r="BT4" s="99" t="s">
        <v>128</v>
      </c>
      <c r="BU4" s="99" t="s">
        <v>129</v>
      </c>
      <c r="BV4" s="99" t="s">
        <v>129</v>
      </c>
      <c r="BW4" s="99" t="s">
        <v>130</v>
      </c>
      <c r="BX4" s="99"/>
      <c r="BY4" s="99"/>
      <c r="BZ4" s="99"/>
      <c r="CA4" s="99"/>
      <c r="CB4" s="99"/>
      <c r="CC4" s="99"/>
      <c r="CD4" s="99"/>
      <c r="CE4" s="99"/>
      <c r="CF4" s="99" t="s">
        <v>130</v>
      </c>
      <c r="CG4" s="99"/>
      <c r="CH4" s="99"/>
      <c r="CI4" s="99"/>
      <c r="CJ4" s="99"/>
      <c r="CK4" s="99"/>
      <c r="CL4" s="99"/>
      <c r="CM4" s="99"/>
      <c r="CN4" s="99"/>
      <c r="CO4" s="99"/>
      <c r="CP4" s="99"/>
      <c r="CQ4" s="99"/>
      <c r="CR4" s="99"/>
      <c r="CS4" s="101" t="s">
        <v>147</v>
      </c>
      <c r="CT4" s="99" t="s">
        <v>133</v>
      </c>
      <c r="CU4" s="99" t="s">
        <v>134</v>
      </c>
      <c r="CV4" s="99"/>
    </row>
    <row r="5" spans="1:100" x14ac:dyDescent="0.2">
      <c r="A5" s="175" t="b">
        <v>0</v>
      </c>
      <c r="B5" s="175" t="b">
        <v>0</v>
      </c>
      <c r="C5" s="175" t="b">
        <v>1</v>
      </c>
      <c r="D5" s="175" t="b">
        <v>0</v>
      </c>
      <c r="E5" s="175" t="b">
        <v>0</v>
      </c>
      <c r="F5" s="175" t="b">
        <v>1</v>
      </c>
      <c r="G5" s="113" t="s">
        <v>345</v>
      </c>
      <c r="H5" s="99" t="s">
        <v>346</v>
      </c>
      <c r="I5" s="99" t="s">
        <v>347</v>
      </c>
      <c r="J5" s="99" t="s">
        <v>329</v>
      </c>
      <c r="K5" s="99" t="s">
        <v>330</v>
      </c>
      <c r="L5" s="99" t="s">
        <v>105</v>
      </c>
      <c r="M5" s="99"/>
      <c r="N5" s="63" t="s">
        <v>331</v>
      </c>
      <c r="O5" s="99"/>
      <c r="P5" s="99" t="s">
        <v>337</v>
      </c>
      <c r="Q5" s="99" t="s">
        <v>338</v>
      </c>
      <c r="R5" s="99" t="s">
        <v>108</v>
      </c>
      <c r="S5" s="113" t="s">
        <v>108</v>
      </c>
      <c r="T5" s="99"/>
      <c r="U5" s="99" t="s">
        <v>110</v>
      </c>
      <c r="V5" s="99"/>
      <c r="W5" s="99" t="s">
        <v>112</v>
      </c>
      <c r="X5" s="99"/>
      <c r="Y5" s="113" t="s">
        <v>203</v>
      </c>
      <c r="Z5" s="99" t="s">
        <v>114</v>
      </c>
      <c r="AA5" s="99" t="s">
        <v>115</v>
      </c>
      <c r="AB5" s="99"/>
      <c r="AC5" s="99"/>
      <c r="AD5" s="99" t="s">
        <v>115</v>
      </c>
      <c r="AE5" s="99" t="s">
        <v>116</v>
      </c>
      <c r="AF5" s="99"/>
      <c r="AG5" s="99"/>
      <c r="AH5" s="99" t="s">
        <v>116</v>
      </c>
      <c r="AI5" s="99" t="s">
        <v>339</v>
      </c>
      <c r="AJ5" s="99" t="s">
        <v>340</v>
      </c>
      <c r="AK5" s="99"/>
      <c r="AL5" s="99"/>
      <c r="AM5" s="99" t="s">
        <v>211</v>
      </c>
      <c r="AN5" s="99"/>
      <c r="AO5" s="99"/>
      <c r="AP5" s="99"/>
      <c r="AQ5" s="99"/>
      <c r="AR5" s="99"/>
      <c r="AS5" s="99"/>
      <c r="AT5" s="99" t="s">
        <v>341</v>
      </c>
      <c r="AU5" s="100" t="str">
        <f>IF($AT5="","",IFERROR(INDEX(InstructorMap!$B:$B, MATCH($AT5, InstructorMap!$A:$A, 0)),""))</f>
        <v>ainsworj@andrews.edu</v>
      </c>
      <c r="AV5" s="100" t="str">
        <f>IF($AT5="","",IFERROR(INDEX(InstructorMap!$C:$C, MATCH($AT5, InstructorMap!$A:$A, 0)),""))</f>
        <v>000079312</v>
      </c>
      <c r="AW5" s="99" t="s">
        <v>121</v>
      </c>
      <c r="AX5" s="99" t="s">
        <v>348</v>
      </c>
      <c r="AY5" s="99"/>
      <c r="AZ5" s="99"/>
      <c r="BA5" s="99"/>
      <c r="BB5" s="99"/>
      <c r="BC5" s="194" t="s">
        <v>349</v>
      </c>
      <c r="BD5" s="194" t="s">
        <v>350</v>
      </c>
      <c r="BE5" s="194" t="s">
        <v>111</v>
      </c>
      <c r="BF5" s="99"/>
      <c r="BG5" s="99"/>
      <c r="BH5" s="99" t="s">
        <v>351</v>
      </c>
      <c r="BI5" s="99" t="s">
        <v>124</v>
      </c>
      <c r="BJ5" s="99" t="s">
        <v>125</v>
      </c>
      <c r="BK5" s="99"/>
      <c r="BL5" s="99" t="s">
        <v>126</v>
      </c>
      <c r="BM5" s="99"/>
      <c r="BN5" s="99"/>
      <c r="BO5" s="99" t="s">
        <v>127</v>
      </c>
      <c r="BP5" s="99"/>
      <c r="BQ5" s="99"/>
      <c r="BR5" s="99"/>
      <c r="BS5" s="99"/>
      <c r="BT5" s="99" t="s">
        <v>128</v>
      </c>
      <c r="BU5" s="99" t="s">
        <v>129</v>
      </c>
      <c r="BV5" s="99" t="s">
        <v>129</v>
      </c>
      <c r="BW5" s="99" t="s">
        <v>130</v>
      </c>
      <c r="BX5" s="99" t="s">
        <v>131</v>
      </c>
      <c r="BY5" s="99"/>
      <c r="BZ5" s="99"/>
      <c r="CA5" s="99"/>
      <c r="CB5" s="99"/>
      <c r="CC5" s="99"/>
      <c r="CD5" s="99"/>
      <c r="CE5" s="99"/>
      <c r="CF5" s="99" t="s">
        <v>130</v>
      </c>
      <c r="CG5" s="99"/>
      <c r="CH5" s="99"/>
      <c r="CI5" s="99"/>
      <c r="CJ5" s="99"/>
      <c r="CK5" s="99"/>
      <c r="CL5" s="99"/>
      <c r="CM5" s="99"/>
      <c r="CN5" s="99"/>
      <c r="CO5" s="99"/>
      <c r="CP5" s="99"/>
      <c r="CQ5" s="99"/>
      <c r="CR5" s="99"/>
      <c r="CS5" s="99" t="s">
        <v>132</v>
      </c>
      <c r="CT5" s="99" t="s">
        <v>133</v>
      </c>
      <c r="CU5" s="99" t="s">
        <v>134</v>
      </c>
      <c r="CV5" s="99"/>
    </row>
    <row r="6" spans="1:100" x14ac:dyDescent="0.2">
      <c r="A6" s="175" t="b">
        <v>0</v>
      </c>
      <c r="B6" s="175" t="b">
        <v>0</v>
      </c>
      <c r="C6" s="175" t="b">
        <v>1</v>
      </c>
      <c r="D6" s="175" t="b">
        <v>0</v>
      </c>
      <c r="E6" s="175" t="b">
        <v>0</v>
      </c>
      <c r="F6" s="175" t="b">
        <v>0</v>
      </c>
      <c r="G6" s="174" t="s">
        <v>352</v>
      </c>
      <c r="H6" s="99" t="s">
        <v>353</v>
      </c>
      <c r="I6" s="99" t="s">
        <v>354</v>
      </c>
      <c r="J6" s="99" t="s">
        <v>329</v>
      </c>
      <c r="K6" s="99" t="s">
        <v>355</v>
      </c>
      <c r="L6" s="99" t="s">
        <v>137</v>
      </c>
      <c r="M6" s="99"/>
      <c r="N6" s="99" t="s">
        <v>356</v>
      </c>
      <c r="O6" s="99"/>
      <c r="P6" s="99"/>
      <c r="Q6" s="113" t="s">
        <v>121</v>
      </c>
      <c r="R6" s="99" t="s">
        <v>129</v>
      </c>
      <c r="S6" s="99"/>
      <c r="T6" s="99"/>
      <c r="U6" s="99" t="s">
        <v>140</v>
      </c>
      <c r="V6" s="99"/>
      <c r="W6" s="99" t="s">
        <v>112</v>
      </c>
      <c r="X6" s="99" t="s">
        <v>112</v>
      </c>
      <c r="Y6" s="99" t="s">
        <v>141</v>
      </c>
      <c r="Z6" s="99" t="s">
        <v>142</v>
      </c>
      <c r="AA6" s="99" t="s">
        <v>115</v>
      </c>
      <c r="AB6" s="99"/>
      <c r="AC6" s="99"/>
      <c r="AD6" s="99" t="s">
        <v>115</v>
      </c>
      <c r="AE6" s="99" t="s">
        <v>116</v>
      </c>
      <c r="AF6" s="99"/>
      <c r="AG6" s="99"/>
      <c r="AH6" s="99" t="s">
        <v>116</v>
      </c>
      <c r="AI6" s="99" t="s">
        <v>357</v>
      </c>
      <c r="AJ6" s="99" t="s">
        <v>358</v>
      </c>
      <c r="AK6" s="99"/>
      <c r="AL6" s="99"/>
      <c r="AM6" s="99"/>
      <c r="AN6" s="99" t="s">
        <v>177</v>
      </c>
      <c r="AO6" s="99"/>
      <c r="AP6" s="99"/>
      <c r="AQ6" s="99"/>
      <c r="AR6" s="99" t="s">
        <v>212</v>
      </c>
      <c r="AS6" s="99" t="s">
        <v>144</v>
      </c>
      <c r="AT6" s="99" t="s">
        <v>359</v>
      </c>
      <c r="AU6" s="100" t="str">
        <f>IF($AT6="","",IFERROR(INDEX(InstructorMap!$B:$B, MATCH($AT6, InstructorMap!$A:$A, 0)),""))</f>
        <v>rpaquini@andrews.edu</v>
      </c>
      <c r="AV6" s="100" t="str">
        <f>IF($AT6="","",IFERROR(INDEX(InstructorMap!$C:$C, MATCH($AT6, InstructorMap!$A:$A, 0)),""))</f>
        <v>000105171</v>
      </c>
      <c r="AW6" s="99" t="s">
        <v>121</v>
      </c>
      <c r="AX6" s="99" t="s">
        <v>122</v>
      </c>
      <c r="AY6" s="99"/>
      <c r="AZ6" s="99"/>
      <c r="BA6" s="99"/>
      <c r="BB6" s="99"/>
      <c r="BC6" s="99"/>
      <c r="BD6" s="99"/>
      <c r="BE6" s="99"/>
      <c r="BF6" s="99"/>
      <c r="BG6" s="99"/>
      <c r="BH6" s="99" t="s">
        <v>329</v>
      </c>
      <c r="BI6" s="99" t="s">
        <v>124</v>
      </c>
      <c r="BJ6" s="99" t="s">
        <v>125</v>
      </c>
      <c r="BK6" s="99"/>
      <c r="BL6" s="99" t="s">
        <v>125</v>
      </c>
      <c r="BM6" s="99"/>
      <c r="BN6" s="99"/>
      <c r="BO6" s="99" t="s">
        <v>127</v>
      </c>
      <c r="BP6" s="99"/>
      <c r="BQ6" s="99"/>
      <c r="BR6" s="99"/>
      <c r="BS6" s="99"/>
      <c r="BT6" s="99" t="s">
        <v>128</v>
      </c>
      <c r="BU6" s="99" t="s">
        <v>129</v>
      </c>
      <c r="BV6" s="99" t="s">
        <v>145</v>
      </c>
      <c r="BW6" s="99" t="s">
        <v>130</v>
      </c>
      <c r="BX6" s="99" t="s">
        <v>131</v>
      </c>
      <c r="BY6" s="99"/>
      <c r="BZ6" s="99"/>
      <c r="CA6" s="99"/>
      <c r="CB6" s="99"/>
      <c r="CC6" s="99"/>
      <c r="CD6" s="99"/>
      <c r="CE6" s="99"/>
      <c r="CF6" s="99" t="s">
        <v>130</v>
      </c>
      <c r="CG6" s="99"/>
      <c r="CH6" s="99"/>
      <c r="CI6" s="99"/>
      <c r="CJ6" s="99"/>
      <c r="CK6" s="99"/>
      <c r="CL6" s="99"/>
      <c r="CM6" s="99"/>
      <c r="CN6" s="99"/>
      <c r="CO6" s="99"/>
      <c r="CP6" s="99"/>
      <c r="CQ6" s="99"/>
      <c r="CR6" s="99"/>
      <c r="CS6" s="99" t="s">
        <v>146</v>
      </c>
      <c r="CT6" s="99" t="s">
        <v>133</v>
      </c>
      <c r="CU6" s="99" t="s">
        <v>134</v>
      </c>
      <c r="CV6" s="99"/>
    </row>
    <row r="7" spans="1:100" x14ac:dyDescent="0.2">
      <c r="A7" s="97" t="b">
        <v>0</v>
      </c>
      <c r="B7" s="97" t="b">
        <v>0</v>
      </c>
      <c r="C7" s="97" t="b">
        <v>1</v>
      </c>
      <c r="D7" s="97" t="b">
        <v>0</v>
      </c>
      <c r="E7" s="97" t="b">
        <v>0</v>
      </c>
      <c r="F7" s="97" t="b">
        <v>1</v>
      </c>
      <c r="G7" s="98"/>
      <c r="H7" s="99" t="s">
        <v>360</v>
      </c>
      <c r="I7" s="99" t="s">
        <v>361</v>
      </c>
      <c r="J7" s="99" t="s">
        <v>329</v>
      </c>
      <c r="K7" s="99" t="s">
        <v>355</v>
      </c>
      <c r="L7" s="99" t="s">
        <v>216</v>
      </c>
      <c r="M7" s="99"/>
      <c r="N7" s="99" t="s">
        <v>356</v>
      </c>
      <c r="O7" s="99"/>
      <c r="P7" s="99"/>
      <c r="Q7" s="99"/>
      <c r="R7" s="99" t="s">
        <v>129</v>
      </c>
      <c r="S7" s="99"/>
      <c r="T7" s="99"/>
      <c r="U7" s="99" t="s">
        <v>140</v>
      </c>
      <c r="V7" s="99"/>
      <c r="W7" s="99" t="s">
        <v>112</v>
      </c>
      <c r="X7" s="99" t="s">
        <v>112</v>
      </c>
      <c r="Y7" s="99" t="s">
        <v>141</v>
      </c>
      <c r="Z7" s="99" t="s">
        <v>142</v>
      </c>
      <c r="AA7" s="99" t="s">
        <v>115</v>
      </c>
      <c r="AB7" s="99"/>
      <c r="AC7" s="99"/>
      <c r="AD7" s="99" t="s">
        <v>115</v>
      </c>
      <c r="AE7" s="99" t="s">
        <v>116</v>
      </c>
      <c r="AF7" s="99"/>
      <c r="AG7" s="99"/>
      <c r="AH7" s="99" t="s">
        <v>116</v>
      </c>
      <c r="AI7" s="99" t="s">
        <v>357</v>
      </c>
      <c r="AJ7" s="99" t="s">
        <v>358</v>
      </c>
      <c r="AK7" s="99"/>
      <c r="AL7" s="99"/>
      <c r="AM7" s="99"/>
      <c r="AN7" s="99"/>
      <c r="AO7" s="99" t="s">
        <v>221</v>
      </c>
      <c r="AP7" s="99"/>
      <c r="AQ7" s="99"/>
      <c r="AR7" s="99" t="s">
        <v>212</v>
      </c>
      <c r="AS7" s="99" t="s">
        <v>144</v>
      </c>
      <c r="AT7" s="99" t="s">
        <v>359</v>
      </c>
      <c r="AU7" s="100" t="str">
        <f>IF($AT7="","",IFERROR(INDEX(InstructorMap!$B:$B, MATCH($AT7, InstructorMap!$A:$A, 0)),""))</f>
        <v>rpaquini@andrews.edu</v>
      </c>
      <c r="AV7" s="100" t="str">
        <f>IF($AT7="","",IFERROR(INDEX(InstructorMap!$C:$C, MATCH($AT7, InstructorMap!$A:$A, 0)),""))</f>
        <v>000105171</v>
      </c>
      <c r="AW7" s="99" t="s">
        <v>121</v>
      </c>
      <c r="AX7" s="99" t="s">
        <v>122</v>
      </c>
      <c r="AY7" s="99"/>
      <c r="AZ7" s="99"/>
      <c r="BA7" s="99"/>
      <c r="BB7" s="99"/>
      <c r="BC7" s="99"/>
      <c r="BD7" s="99"/>
      <c r="BE7" s="99"/>
      <c r="BF7" s="99"/>
      <c r="BG7" s="99"/>
      <c r="BH7" s="99" t="s">
        <v>329</v>
      </c>
      <c r="BI7" s="99" t="s">
        <v>124</v>
      </c>
      <c r="BJ7" s="99" t="s">
        <v>125</v>
      </c>
      <c r="BK7" s="99"/>
      <c r="BL7" s="99" t="s">
        <v>125</v>
      </c>
      <c r="BM7" s="99"/>
      <c r="BN7" s="99"/>
      <c r="BO7" s="99" t="s">
        <v>127</v>
      </c>
      <c r="BP7" s="99"/>
      <c r="BQ7" s="99"/>
      <c r="BR7" s="99"/>
      <c r="BS7" s="99"/>
      <c r="BT7" s="99" t="s">
        <v>128</v>
      </c>
      <c r="BU7" s="99" t="s">
        <v>129</v>
      </c>
      <c r="BV7" s="99" t="s">
        <v>129</v>
      </c>
      <c r="BW7" s="99" t="s">
        <v>130</v>
      </c>
      <c r="BX7" s="99"/>
      <c r="BY7" s="99"/>
      <c r="BZ7" s="99"/>
      <c r="CA7" s="99"/>
      <c r="CB7" s="99"/>
      <c r="CC7" s="99"/>
      <c r="CD7" s="99"/>
      <c r="CE7" s="99"/>
      <c r="CF7" s="99" t="s">
        <v>130</v>
      </c>
      <c r="CG7" s="99"/>
      <c r="CH7" s="99" t="s">
        <v>131</v>
      </c>
      <c r="CI7" s="99"/>
      <c r="CJ7" s="99"/>
      <c r="CK7" s="99"/>
      <c r="CL7" s="99"/>
      <c r="CM7" s="99"/>
      <c r="CN7" s="99"/>
      <c r="CO7" s="99"/>
      <c r="CP7" s="99"/>
      <c r="CQ7" s="99"/>
      <c r="CR7" s="99"/>
      <c r="CS7" s="99" t="s">
        <v>146</v>
      </c>
      <c r="CT7" s="99" t="s">
        <v>133</v>
      </c>
      <c r="CU7" s="99" t="s">
        <v>134</v>
      </c>
      <c r="CV7" s="99"/>
    </row>
    <row r="8" spans="1:100" s="108" customFormat="1" x14ac:dyDescent="0.2">
      <c r="A8" s="109" t="b">
        <v>0</v>
      </c>
      <c r="B8" s="109" t="b">
        <v>0</v>
      </c>
      <c r="C8" s="109" t="b">
        <v>1</v>
      </c>
      <c r="D8" s="109" t="b">
        <v>0</v>
      </c>
      <c r="E8" s="109" t="b">
        <v>0</v>
      </c>
      <c r="F8" s="109" t="b">
        <v>1</v>
      </c>
      <c r="G8" s="110" t="s">
        <v>362</v>
      </c>
      <c r="H8" s="110" t="s">
        <v>363</v>
      </c>
      <c r="I8" s="110" t="s">
        <v>364</v>
      </c>
      <c r="J8" s="110" t="s">
        <v>329</v>
      </c>
      <c r="K8" s="110" t="s">
        <v>355</v>
      </c>
      <c r="L8" s="110" t="s">
        <v>105</v>
      </c>
      <c r="M8" s="110"/>
      <c r="N8" s="110" t="s">
        <v>365</v>
      </c>
      <c r="O8" s="110"/>
      <c r="P8" s="110"/>
      <c r="Q8" s="110" t="s">
        <v>121</v>
      </c>
      <c r="R8" s="110" t="s">
        <v>108</v>
      </c>
      <c r="S8" s="110"/>
      <c r="T8" s="110"/>
      <c r="U8" s="110" t="s">
        <v>110</v>
      </c>
      <c r="V8" s="110"/>
      <c r="W8" s="110" t="s">
        <v>112</v>
      </c>
      <c r="X8" s="110"/>
      <c r="Y8" s="110" t="s">
        <v>132</v>
      </c>
      <c r="Z8" s="110" t="s">
        <v>114</v>
      </c>
      <c r="AA8" s="110" t="s">
        <v>115</v>
      </c>
      <c r="AB8" s="110"/>
      <c r="AC8" s="110"/>
      <c r="AD8" s="110" t="s">
        <v>115</v>
      </c>
      <c r="AE8" s="110" t="s">
        <v>116</v>
      </c>
      <c r="AF8" s="110"/>
      <c r="AG8" s="110"/>
      <c r="AH8" s="110" t="s">
        <v>116</v>
      </c>
      <c r="AI8" s="110" t="s">
        <v>366</v>
      </c>
      <c r="AJ8" s="110" t="s">
        <v>237</v>
      </c>
      <c r="AK8" s="110"/>
      <c r="AL8" s="110"/>
      <c r="AM8" s="110" t="s">
        <v>211</v>
      </c>
      <c r="AN8" s="110"/>
      <c r="AO8" s="110"/>
      <c r="AP8" s="110"/>
      <c r="AQ8" s="110"/>
      <c r="AR8" s="110"/>
      <c r="AS8" s="110"/>
      <c r="AT8" s="110" t="s">
        <v>359</v>
      </c>
      <c r="AU8" s="111" t="str">
        <f>IF($AT8="","",IFERROR(INDEX(InstructorMap!$B:$B, MATCH($AT8, InstructorMap!$A:$A, 0)),""))</f>
        <v>rpaquini@andrews.edu</v>
      </c>
      <c r="AV8" s="111" t="str">
        <f>IF($AT8="","",IFERROR(INDEX(InstructorMap!$C:$C, MATCH($AT8, InstructorMap!$A:$A, 0)),""))</f>
        <v>000105171</v>
      </c>
      <c r="AW8" s="110" t="s">
        <v>121</v>
      </c>
      <c r="AX8" s="110"/>
      <c r="AY8" s="110"/>
      <c r="AZ8" s="110"/>
      <c r="BA8" s="110"/>
      <c r="BB8" s="110"/>
      <c r="BC8" s="110"/>
      <c r="BD8" s="110"/>
      <c r="BE8" s="110"/>
      <c r="BF8" s="110"/>
      <c r="BG8" s="110"/>
      <c r="BH8" s="110" t="s">
        <v>351</v>
      </c>
      <c r="BI8" s="110" t="s">
        <v>124</v>
      </c>
      <c r="BJ8" s="110" t="s">
        <v>125</v>
      </c>
      <c r="BK8" s="110"/>
      <c r="BL8" s="110" t="s">
        <v>126</v>
      </c>
      <c r="BM8" s="110"/>
      <c r="BN8" s="110"/>
      <c r="BO8" s="110" t="s">
        <v>127</v>
      </c>
      <c r="BP8" s="110"/>
      <c r="BQ8" s="110"/>
      <c r="BR8" s="110"/>
      <c r="BS8" s="110"/>
      <c r="BT8" s="110" t="s">
        <v>128</v>
      </c>
      <c r="BU8" s="110" t="s">
        <v>129</v>
      </c>
      <c r="BV8" s="110" t="s">
        <v>129</v>
      </c>
      <c r="BW8" s="110" t="s">
        <v>130</v>
      </c>
      <c r="BX8" s="110" t="s">
        <v>131</v>
      </c>
      <c r="BY8" s="110"/>
      <c r="BZ8" s="110"/>
      <c r="CA8" s="110"/>
      <c r="CB8" s="110"/>
      <c r="CC8" s="110"/>
      <c r="CD8" s="110"/>
      <c r="CE8" s="110"/>
      <c r="CF8" s="110" t="s">
        <v>130</v>
      </c>
      <c r="CG8" s="110"/>
      <c r="CH8" s="110"/>
      <c r="CI8" s="110"/>
      <c r="CJ8" s="110"/>
      <c r="CK8" s="110"/>
      <c r="CL8" s="110"/>
      <c r="CM8" s="110"/>
      <c r="CN8" s="110"/>
      <c r="CO8" s="110"/>
      <c r="CP8" s="110"/>
      <c r="CQ8" s="110"/>
      <c r="CR8" s="110"/>
      <c r="CS8" s="110" t="s">
        <v>132</v>
      </c>
      <c r="CT8" s="110" t="s">
        <v>133</v>
      </c>
      <c r="CU8" s="110" t="s">
        <v>134</v>
      </c>
      <c r="CV8" s="110"/>
    </row>
    <row r="9" spans="1:100" s="108" customFormat="1" x14ac:dyDescent="0.2">
      <c r="A9" s="109" t="b">
        <v>0</v>
      </c>
      <c r="B9" s="109" t="b">
        <v>0</v>
      </c>
      <c r="C9" s="109" t="b">
        <v>1</v>
      </c>
      <c r="D9" s="109" t="b">
        <v>0</v>
      </c>
      <c r="E9" s="109" t="b">
        <v>0</v>
      </c>
      <c r="F9" s="109" t="b">
        <v>1</v>
      </c>
      <c r="G9" s="110" t="s">
        <v>362</v>
      </c>
      <c r="H9" s="110" t="s">
        <v>367</v>
      </c>
      <c r="I9" s="110" t="s">
        <v>368</v>
      </c>
      <c r="J9" s="110" t="s">
        <v>329</v>
      </c>
      <c r="K9" s="110" t="s">
        <v>355</v>
      </c>
      <c r="L9" s="110" t="s">
        <v>148</v>
      </c>
      <c r="M9" s="110"/>
      <c r="N9" s="110" t="s">
        <v>365</v>
      </c>
      <c r="O9" s="110"/>
      <c r="P9" s="110"/>
      <c r="Q9" s="110" t="s">
        <v>121</v>
      </c>
      <c r="R9" s="110" t="s">
        <v>108</v>
      </c>
      <c r="S9" s="110"/>
      <c r="T9" s="110"/>
      <c r="U9" s="110" t="s">
        <v>149</v>
      </c>
      <c r="V9" s="110"/>
      <c r="W9" s="110" t="s">
        <v>112</v>
      </c>
      <c r="X9" s="110"/>
      <c r="Y9" s="110" t="s">
        <v>217</v>
      </c>
      <c r="Z9" s="110" t="s">
        <v>114</v>
      </c>
      <c r="AA9" s="110" t="s">
        <v>115</v>
      </c>
      <c r="AB9" s="110"/>
      <c r="AC9" s="110"/>
      <c r="AD9" s="110" t="s">
        <v>115</v>
      </c>
      <c r="AE9" s="110" t="s">
        <v>116</v>
      </c>
      <c r="AF9" s="110"/>
      <c r="AG9" s="110"/>
      <c r="AH9" s="110" t="s">
        <v>116</v>
      </c>
      <c r="AI9" s="110"/>
      <c r="AJ9" s="110"/>
      <c r="AK9" s="110"/>
      <c r="AL9" s="110"/>
      <c r="AM9" s="110"/>
      <c r="AN9" s="110"/>
      <c r="AO9" s="110"/>
      <c r="AP9" s="110"/>
      <c r="AQ9" s="110"/>
      <c r="AR9" s="110"/>
      <c r="AS9" s="110"/>
      <c r="AT9" s="110" t="s">
        <v>359</v>
      </c>
      <c r="AU9" s="111" t="str">
        <f>IF($AT9="","",IFERROR(INDEX(InstructorMap!$B:$B, MATCH($AT9, InstructorMap!$A:$A, 0)),""))</f>
        <v>rpaquini@andrews.edu</v>
      </c>
      <c r="AV9" s="111" t="str">
        <f>IF($AT9="","",IFERROR(INDEX(InstructorMap!$C:$C, MATCH($AT9, InstructorMap!$A:$A, 0)),""))</f>
        <v>000105171</v>
      </c>
      <c r="AW9" s="110" t="s">
        <v>121</v>
      </c>
      <c r="AX9" s="110"/>
      <c r="AY9" s="110"/>
      <c r="AZ9" s="110"/>
      <c r="BA9" s="110"/>
      <c r="BB9" s="110"/>
      <c r="BC9" s="110"/>
      <c r="BD9" s="110"/>
      <c r="BE9" s="110"/>
      <c r="BF9" s="110"/>
      <c r="BG9" s="110"/>
      <c r="BH9" s="110" t="s">
        <v>351</v>
      </c>
      <c r="BI9" s="110" t="s">
        <v>124</v>
      </c>
      <c r="BJ9" s="110" t="s">
        <v>125</v>
      </c>
      <c r="BK9" s="110"/>
      <c r="BL9" s="110" t="s">
        <v>126</v>
      </c>
      <c r="BM9" s="110"/>
      <c r="BN9" s="110"/>
      <c r="BO9" s="110" t="s">
        <v>127</v>
      </c>
      <c r="BP9" s="110"/>
      <c r="BQ9" s="110"/>
      <c r="BR9" s="110"/>
      <c r="BS9" s="110"/>
      <c r="BT9" s="110" t="s">
        <v>128</v>
      </c>
      <c r="BU9" s="110" t="s">
        <v>129</v>
      </c>
      <c r="BV9" s="110" t="s">
        <v>145</v>
      </c>
      <c r="BW9" s="110" t="s">
        <v>130</v>
      </c>
      <c r="BX9" s="110"/>
      <c r="BY9" s="110"/>
      <c r="BZ9" s="110"/>
      <c r="CA9" s="110"/>
      <c r="CB9" s="110"/>
      <c r="CC9" s="110"/>
      <c r="CD9" s="110"/>
      <c r="CE9" s="110"/>
      <c r="CF9" s="110" t="s">
        <v>130</v>
      </c>
      <c r="CG9" s="110"/>
      <c r="CH9" s="110"/>
      <c r="CI9" s="110"/>
      <c r="CJ9" s="110"/>
      <c r="CK9" s="110"/>
      <c r="CL9" s="110"/>
      <c r="CM9" s="110"/>
      <c r="CN9" s="110"/>
      <c r="CO9" s="110"/>
      <c r="CP9" s="110"/>
      <c r="CQ9" s="110"/>
      <c r="CR9" s="110"/>
      <c r="CS9" s="110" t="s">
        <v>132</v>
      </c>
      <c r="CT9" s="110" t="s">
        <v>133</v>
      </c>
      <c r="CU9" s="110" t="s">
        <v>134</v>
      </c>
      <c r="CV9" s="110"/>
    </row>
    <row r="10" spans="1:100" x14ac:dyDescent="0.2">
      <c r="A10" s="97" t="b">
        <v>0</v>
      </c>
      <c r="B10" s="97" t="b">
        <v>0</v>
      </c>
      <c r="C10" s="97" t="b">
        <v>1</v>
      </c>
      <c r="D10" s="97" t="b">
        <v>0</v>
      </c>
      <c r="E10" s="97" t="b">
        <v>0</v>
      </c>
      <c r="F10" s="97" t="b">
        <v>1</v>
      </c>
      <c r="G10" s="98"/>
      <c r="H10" s="99" t="s">
        <v>369</v>
      </c>
      <c r="I10" s="99" t="s">
        <v>370</v>
      </c>
      <c r="J10" s="99" t="s">
        <v>329</v>
      </c>
      <c r="K10" s="99" t="s">
        <v>371</v>
      </c>
      <c r="L10" s="99" t="s">
        <v>216</v>
      </c>
      <c r="M10" s="99"/>
      <c r="N10" s="99" t="s">
        <v>372</v>
      </c>
      <c r="O10" s="99"/>
      <c r="P10" s="99"/>
      <c r="Q10" s="99" t="s">
        <v>373</v>
      </c>
      <c r="R10" s="99" t="s">
        <v>129</v>
      </c>
      <c r="S10" s="99"/>
      <c r="T10" s="99"/>
      <c r="U10" s="99" t="s">
        <v>140</v>
      </c>
      <c r="V10" s="99"/>
      <c r="W10" s="99" t="s">
        <v>112</v>
      </c>
      <c r="X10" s="99" t="s">
        <v>173</v>
      </c>
      <c r="Y10" s="99" t="s">
        <v>113</v>
      </c>
      <c r="Z10" s="99" t="s">
        <v>142</v>
      </c>
      <c r="AA10" s="99" t="s">
        <v>115</v>
      </c>
      <c r="AB10" s="99"/>
      <c r="AC10" s="99"/>
      <c r="AD10" s="99" t="s">
        <v>115</v>
      </c>
      <c r="AE10" s="99" t="s">
        <v>116</v>
      </c>
      <c r="AF10" s="99"/>
      <c r="AG10" s="99"/>
      <c r="AH10" s="99" t="s">
        <v>116</v>
      </c>
      <c r="AI10" s="99" t="s">
        <v>366</v>
      </c>
      <c r="AJ10" s="99" t="s">
        <v>358</v>
      </c>
      <c r="AK10" s="99"/>
      <c r="AL10" s="99" t="s">
        <v>119</v>
      </c>
      <c r="AM10" s="99"/>
      <c r="AN10" s="99"/>
      <c r="AO10" s="99"/>
      <c r="AP10" s="99"/>
      <c r="AQ10" s="99"/>
      <c r="AR10" s="99" t="s">
        <v>195</v>
      </c>
      <c r="AS10" s="99" t="s">
        <v>144</v>
      </c>
      <c r="AT10" s="99" t="s">
        <v>374</v>
      </c>
      <c r="AU10" s="100" t="str">
        <f>IF($AT10="","",IFERROR(INDEX(InstructorMap!$B:$B, MATCH($AT10, InstructorMap!$A:$A, 0)),""))</f>
        <v>kiddersj@andrews.edu</v>
      </c>
      <c r="AV10" s="100" t="str">
        <f>IF($AT10="","",IFERROR(INDEX(InstructorMap!$C:$C, MATCH($AT10, InstructorMap!$A:$A, 0)),""))</f>
        <v>000039170</v>
      </c>
      <c r="AW10" s="99" t="s">
        <v>121</v>
      </c>
      <c r="AX10" s="99" t="s">
        <v>122</v>
      </c>
      <c r="AY10" s="99"/>
      <c r="AZ10" s="99"/>
      <c r="BA10" s="99"/>
      <c r="BB10" s="99"/>
      <c r="BC10" s="99"/>
      <c r="BD10" s="99"/>
      <c r="BE10" s="99"/>
      <c r="BF10" s="99"/>
      <c r="BG10" s="99"/>
      <c r="BH10" s="99" t="s">
        <v>329</v>
      </c>
      <c r="BI10" s="99" t="s">
        <v>124</v>
      </c>
      <c r="BJ10" s="99" t="s">
        <v>125</v>
      </c>
      <c r="BK10" s="99" t="s">
        <v>173</v>
      </c>
      <c r="BL10" s="99" t="s">
        <v>125</v>
      </c>
      <c r="BM10" s="99"/>
      <c r="BN10" s="99"/>
      <c r="BO10" s="99" t="s">
        <v>127</v>
      </c>
      <c r="BP10" s="99"/>
      <c r="BQ10" s="99"/>
      <c r="BR10" s="99"/>
      <c r="BS10" s="99"/>
      <c r="BT10" s="99" t="s">
        <v>128</v>
      </c>
      <c r="BU10" s="99" t="s">
        <v>129</v>
      </c>
      <c r="BV10" s="99" t="s">
        <v>145</v>
      </c>
      <c r="BW10" s="99" t="s">
        <v>130</v>
      </c>
      <c r="BX10" s="99" t="s">
        <v>131</v>
      </c>
      <c r="BY10" s="99"/>
      <c r="BZ10" s="99"/>
      <c r="CA10" s="99"/>
      <c r="CB10" s="99"/>
      <c r="CC10" s="99"/>
      <c r="CD10" s="99"/>
      <c r="CE10" s="99"/>
      <c r="CF10" s="99" t="s">
        <v>130</v>
      </c>
      <c r="CG10" s="99"/>
      <c r="CH10" s="99"/>
      <c r="CI10" s="99"/>
      <c r="CJ10" s="99"/>
      <c r="CK10" s="99"/>
      <c r="CL10" s="99"/>
      <c r="CM10" s="99"/>
      <c r="CN10" s="99"/>
      <c r="CO10" s="99"/>
      <c r="CP10" s="99"/>
      <c r="CQ10" s="99"/>
      <c r="CR10" s="99"/>
      <c r="CS10" s="99" t="s">
        <v>146</v>
      </c>
      <c r="CT10" s="99" t="s">
        <v>133</v>
      </c>
      <c r="CU10" s="99" t="s">
        <v>134</v>
      </c>
      <c r="CV10" s="99"/>
    </row>
    <row r="11" spans="1:100" x14ac:dyDescent="0.2">
      <c r="A11" s="97" t="b">
        <v>0</v>
      </c>
      <c r="B11" s="97" t="b">
        <v>0</v>
      </c>
      <c r="C11" s="97" t="b">
        <v>1</v>
      </c>
      <c r="D11" s="97" t="b">
        <v>0</v>
      </c>
      <c r="E11" s="97" t="b">
        <v>0</v>
      </c>
      <c r="F11" s="97" t="b">
        <v>1</v>
      </c>
      <c r="G11" s="98"/>
      <c r="H11" s="99" t="s">
        <v>375</v>
      </c>
      <c r="I11" s="99" t="s">
        <v>376</v>
      </c>
      <c r="J11" s="99" t="s">
        <v>329</v>
      </c>
      <c r="K11" s="99" t="s">
        <v>371</v>
      </c>
      <c r="L11" s="99" t="s">
        <v>234</v>
      </c>
      <c r="M11" s="99"/>
      <c r="N11" s="99" t="s">
        <v>372</v>
      </c>
      <c r="O11" s="99"/>
      <c r="P11" s="99"/>
      <c r="Q11" s="99"/>
      <c r="R11" s="99" t="s">
        <v>129</v>
      </c>
      <c r="S11" s="99"/>
      <c r="T11" s="99"/>
      <c r="U11" s="99" t="s">
        <v>140</v>
      </c>
      <c r="V11" s="99"/>
      <c r="W11" s="99" t="s">
        <v>112</v>
      </c>
      <c r="X11" s="99" t="s">
        <v>173</v>
      </c>
      <c r="Y11" s="99" t="s">
        <v>151</v>
      </c>
      <c r="Z11" s="99" t="s">
        <v>142</v>
      </c>
      <c r="AA11" s="99" t="s">
        <v>115</v>
      </c>
      <c r="AB11" s="99"/>
      <c r="AC11" s="99"/>
      <c r="AD11" s="99" t="s">
        <v>115</v>
      </c>
      <c r="AE11" s="99" t="s">
        <v>116</v>
      </c>
      <c r="AF11" s="99"/>
      <c r="AG11" s="99"/>
      <c r="AH11" s="99" t="s">
        <v>116</v>
      </c>
      <c r="AI11" s="99" t="s">
        <v>117</v>
      </c>
      <c r="AJ11" s="99" t="s">
        <v>118</v>
      </c>
      <c r="AK11" s="99"/>
      <c r="AL11" s="99" t="s">
        <v>119</v>
      </c>
      <c r="AM11" s="99"/>
      <c r="AN11" s="99"/>
      <c r="AO11" s="99"/>
      <c r="AP11" s="99"/>
      <c r="AQ11" s="99"/>
      <c r="AR11" s="99" t="s">
        <v>195</v>
      </c>
      <c r="AS11" s="99" t="s">
        <v>144</v>
      </c>
      <c r="AT11" s="99" t="s">
        <v>374</v>
      </c>
      <c r="AU11" s="100" t="str">
        <f>IF($AT11="","",IFERROR(INDEX(InstructorMap!$B:$B, MATCH($AT11, InstructorMap!$A:$A, 0)),""))</f>
        <v>kiddersj@andrews.edu</v>
      </c>
      <c r="AV11" s="100" t="str">
        <f>IF($AT11="","",IFERROR(INDEX(InstructorMap!$C:$C, MATCH($AT11, InstructorMap!$A:$A, 0)),""))</f>
        <v>000039170</v>
      </c>
      <c r="AW11" s="99" t="s">
        <v>121</v>
      </c>
      <c r="AX11" s="99" t="s">
        <v>122</v>
      </c>
      <c r="AY11" s="99"/>
      <c r="AZ11" s="99"/>
      <c r="BA11" s="99"/>
      <c r="BB11" s="99"/>
      <c r="BC11" s="99"/>
      <c r="BD11" s="99"/>
      <c r="BE11" s="99"/>
      <c r="BF11" s="99"/>
      <c r="BG11" s="99"/>
      <c r="BH11" s="99" t="s">
        <v>329</v>
      </c>
      <c r="BI11" s="99" t="s">
        <v>124</v>
      </c>
      <c r="BJ11" s="99" t="s">
        <v>125</v>
      </c>
      <c r="BK11" s="99" t="s">
        <v>173</v>
      </c>
      <c r="BL11" s="99" t="s">
        <v>125</v>
      </c>
      <c r="BM11" s="99"/>
      <c r="BN11" s="99"/>
      <c r="BO11" s="99" t="s">
        <v>127</v>
      </c>
      <c r="BP11" s="99"/>
      <c r="BQ11" s="99"/>
      <c r="BR11" s="99"/>
      <c r="BS11" s="99"/>
      <c r="BT11" s="99" t="s">
        <v>128</v>
      </c>
      <c r="BU11" s="99" t="s">
        <v>129</v>
      </c>
      <c r="BV11" s="99" t="s">
        <v>129</v>
      </c>
      <c r="BW11" s="99" t="s">
        <v>130</v>
      </c>
      <c r="BX11" s="99" t="s">
        <v>131</v>
      </c>
      <c r="BY11" s="99"/>
      <c r="BZ11" s="99"/>
      <c r="CA11" s="99"/>
      <c r="CB11" s="99"/>
      <c r="CC11" s="99"/>
      <c r="CD11" s="99"/>
      <c r="CE11" s="99"/>
      <c r="CF11" s="99" t="s">
        <v>130</v>
      </c>
      <c r="CG11" s="99"/>
      <c r="CH11" s="99" t="s">
        <v>131</v>
      </c>
      <c r="CI11" s="99"/>
      <c r="CJ11" s="99"/>
      <c r="CK11" s="99"/>
      <c r="CL11" s="99"/>
      <c r="CM11" s="99"/>
      <c r="CN11" s="99"/>
      <c r="CO11" s="99"/>
      <c r="CP11" s="99"/>
      <c r="CQ11" s="99"/>
      <c r="CR11" s="99"/>
      <c r="CS11" s="99" t="s">
        <v>146</v>
      </c>
      <c r="CT11" s="99" t="s">
        <v>133</v>
      </c>
      <c r="CU11" s="99" t="s">
        <v>134</v>
      </c>
      <c r="CV11" s="99"/>
    </row>
    <row r="12" spans="1:100" x14ac:dyDescent="0.2">
      <c r="A12" s="97" t="b">
        <v>0</v>
      </c>
      <c r="B12" s="97" t="b">
        <v>0</v>
      </c>
      <c r="C12" s="97" t="b">
        <v>1</v>
      </c>
      <c r="D12" s="97" t="b">
        <v>0</v>
      </c>
      <c r="E12" s="97" t="b">
        <v>0</v>
      </c>
      <c r="F12" s="97" t="b">
        <v>1</v>
      </c>
      <c r="G12" s="27"/>
      <c r="H12" s="99" t="s">
        <v>377</v>
      </c>
      <c r="I12" s="99" t="s">
        <v>378</v>
      </c>
      <c r="J12" s="99" t="s">
        <v>329</v>
      </c>
      <c r="K12" s="99" t="s">
        <v>371</v>
      </c>
      <c r="L12" s="99" t="s">
        <v>137</v>
      </c>
      <c r="M12" s="99"/>
      <c r="N12" s="99" t="s">
        <v>372</v>
      </c>
      <c r="O12" s="99"/>
      <c r="P12" s="99"/>
      <c r="Q12" s="99"/>
      <c r="R12" s="99" t="s">
        <v>129</v>
      </c>
      <c r="S12" s="99"/>
      <c r="T12" s="99"/>
      <c r="U12" s="99" t="s">
        <v>140</v>
      </c>
      <c r="V12" s="99"/>
      <c r="W12" s="99" t="s">
        <v>112</v>
      </c>
      <c r="X12" s="99" t="s">
        <v>173</v>
      </c>
      <c r="Y12" s="99" t="s">
        <v>151</v>
      </c>
      <c r="Z12" s="99" t="s">
        <v>142</v>
      </c>
      <c r="AA12" s="99" t="s">
        <v>115</v>
      </c>
      <c r="AB12" s="99"/>
      <c r="AC12" s="99"/>
      <c r="AD12" s="99" t="s">
        <v>115</v>
      </c>
      <c r="AE12" s="99" t="s">
        <v>116</v>
      </c>
      <c r="AF12" s="99"/>
      <c r="AG12" s="99"/>
      <c r="AH12" s="99" t="s">
        <v>116</v>
      </c>
      <c r="AI12" s="99" t="s">
        <v>117</v>
      </c>
      <c r="AJ12" s="99" t="s">
        <v>118</v>
      </c>
      <c r="AK12" s="99"/>
      <c r="AL12" s="99" t="s">
        <v>119</v>
      </c>
      <c r="AM12" s="99"/>
      <c r="AN12" s="99"/>
      <c r="AO12" s="99"/>
      <c r="AP12" s="99"/>
      <c r="AQ12" s="99"/>
      <c r="AR12" s="99" t="s">
        <v>232</v>
      </c>
      <c r="AS12" s="99" t="s">
        <v>144</v>
      </c>
      <c r="AT12" s="99" t="s">
        <v>379</v>
      </c>
      <c r="AU12" s="100" t="str">
        <f>IF($AT12="","",IFERROR(INDEX(InstructorMap!$B:$B, MATCH($AT12, InstructorMap!$A:$A, 0)),""))</f>
        <v>sward@andrews.edu</v>
      </c>
      <c r="AV12" s="100" t="str">
        <f>IF($AT12="","",IFERROR(INDEX(InstructorMap!$C:$C, MATCH($AT12, InstructorMap!$A:$A, 0)),""))</f>
        <v>000077973</v>
      </c>
      <c r="AW12" s="99" t="s">
        <v>121</v>
      </c>
      <c r="AX12" s="99" t="s">
        <v>122</v>
      </c>
      <c r="AY12" s="99"/>
      <c r="AZ12" s="99"/>
      <c r="BA12" s="99"/>
      <c r="BB12" s="99"/>
      <c r="BC12" s="99"/>
      <c r="BD12" s="99"/>
      <c r="BE12" s="99"/>
      <c r="BF12" s="99"/>
      <c r="BG12" s="99"/>
      <c r="BH12" s="99" t="s">
        <v>329</v>
      </c>
      <c r="BI12" s="99" t="s">
        <v>124</v>
      </c>
      <c r="BJ12" s="99" t="s">
        <v>125</v>
      </c>
      <c r="BK12" s="99" t="s">
        <v>173</v>
      </c>
      <c r="BL12" s="99" t="s">
        <v>125</v>
      </c>
      <c r="BM12" s="99"/>
      <c r="BN12" s="99"/>
      <c r="BO12" s="99" t="s">
        <v>127</v>
      </c>
      <c r="BP12" s="99"/>
      <c r="BQ12" s="99"/>
      <c r="BR12" s="99"/>
      <c r="BS12" s="99"/>
      <c r="BT12" s="99" t="s">
        <v>128</v>
      </c>
      <c r="BU12" s="99" t="s">
        <v>129</v>
      </c>
      <c r="BV12" s="99" t="s">
        <v>129</v>
      </c>
      <c r="BW12" s="99" t="s">
        <v>130</v>
      </c>
      <c r="BX12" s="99" t="s">
        <v>131</v>
      </c>
      <c r="BY12" s="99"/>
      <c r="BZ12" s="99"/>
      <c r="CA12" s="99"/>
      <c r="CB12" s="99"/>
      <c r="CC12" s="99"/>
      <c r="CD12" s="99"/>
      <c r="CE12" s="99"/>
      <c r="CF12" s="99" t="s">
        <v>130</v>
      </c>
      <c r="CG12" s="99"/>
      <c r="CH12" s="99" t="s">
        <v>131</v>
      </c>
      <c r="CI12" s="99"/>
      <c r="CJ12" s="99"/>
      <c r="CK12" s="99"/>
      <c r="CL12" s="99"/>
      <c r="CM12" s="99"/>
      <c r="CN12" s="99"/>
      <c r="CO12" s="99"/>
      <c r="CP12" s="99"/>
      <c r="CQ12" s="99"/>
      <c r="CR12" s="99"/>
      <c r="CS12" s="99" t="s">
        <v>146</v>
      </c>
      <c r="CT12" s="99" t="s">
        <v>133</v>
      </c>
      <c r="CU12" s="99" t="s">
        <v>134</v>
      </c>
      <c r="CV12" s="99"/>
    </row>
    <row r="13" spans="1:100" x14ac:dyDescent="0.2">
      <c r="A13" s="175" t="b">
        <v>0</v>
      </c>
      <c r="B13" s="175" t="b">
        <v>0</v>
      </c>
      <c r="C13" s="175" t="b">
        <v>1</v>
      </c>
      <c r="D13" s="175" t="b">
        <v>0</v>
      </c>
      <c r="E13" s="175" t="b">
        <v>0</v>
      </c>
      <c r="F13" s="175" t="b">
        <v>1</v>
      </c>
      <c r="G13" s="113" t="s">
        <v>380</v>
      </c>
      <c r="H13" s="99" t="s">
        <v>381</v>
      </c>
      <c r="I13" s="99" t="s">
        <v>382</v>
      </c>
      <c r="J13" s="99" t="s">
        <v>329</v>
      </c>
      <c r="K13" s="99" t="s">
        <v>371</v>
      </c>
      <c r="L13" s="99" t="s">
        <v>148</v>
      </c>
      <c r="M13" s="99"/>
      <c r="N13" s="99" t="s">
        <v>383</v>
      </c>
      <c r="O13" s="99"/>
      <c r="P13" s="99"/>
      <c r="Q13" s="99" t="s">
        <v>373</v>
      </c>
      <c r="R13" s="99" t="s">
        <v>108</v>
      </c>
      <c r="S13" s="99"/>
      <c r="T13" s="99"/>
      <c r="U13" s="99" t="s">
        <v>149</v>
      </c>
      <c r="V13" s="99"/>
      <c r="W13" s="99" t="s">
        <v>112</v>
      </c>
      <c r="X13" s="99" t="s">
        <v>173</v>
      </c>
      <c r="Y13" s="99" t="s">
        <v>151</v>
      </c>
      <c r="Z13" s="99" t="s">
        <v>114</v>
      </c>
      <c r="AA13" s="99" t="s">
        <v>115</v>
      </c>
      <c r="AB13" s="99"/>
      <c r="AC13" s="99"/>
      <c r="AD13" s="99" t="s">
        <v>115</v>
      </c>
      <c r="AE13" s="99" t="s">
        <v>116</v>
      </c>
      <c r="AF13" s="99"/>
      <c r="AG13" s="99"/>
      <c r="AH13" s="99" t="s">
        <v>116</v>
      </c>
      <c r="AI13" s="99"/>
      <c r="AJ13" s="99"/>
      <c r="AK13" s="99"/>
      <c r="AL13" s="99"/>
      <c r="AM13" s="99"/>
      <c r="AN13" s="99"/>
      <c r="AO13" s="99"/>
      <c r="AP13" s="99"/>
      <c r="AQ13" s="99"/>
      <c r="AR13" s="99"/>
      <c r="AS13" s="99"/>
      <c r="AT13" s="99" t="s">
        <v>374</v>
      </c>
      <c r="AU13" s="100" t="str">
        <f>IF($AT13="","",IFERROR(INDEX(InstructorMap!$B:$B, MATCH($AT13, InstructorMap!$A:$A, 0)),""))</f>
        <v>kiddersj@andrews.edu</v>
      </c>
      <c r="AV13" s="100" t="str">
        <f>IF($AT13="","",IFERROR(INDEX(InstructorMap!$C:$C, MATCH($AT13, InstructorMap!$A:$A, 0)),""))</f>
        <v>000039170</v>
      </c>
      <c r="AW13" s="99" t="s">
        <v>121</v>
      </c>
      <c r="AX13" s="99" t="s">
        <v>384</v>
      </c>
      <c r="AY13" s="99"/>
      <c r="AZ13" s="99"/>
      <c r="BA13" s="99"/>
      <c r="BB13" s="99"/>
      <c r="BC13" s="194" t="s">
        <v>349</v>
      </c>
      <c r="BD13" s="194" t="s">
        <v>350</v>
      </c>
      <c r="BE13" s="194" t="s">
        <v>111</v>
      </c>
      <c r="BF13" s="99"/>
      <c r="BG13" s="99"/>
      <c r="BH13" s="99" t="s">
        <v>351</v>
      </c>
      <c r="BI13" s="99" t="s">
        <v>124</v>
      </c>
      <c r="BJ13" s="99" t="s">
        <v>125</v>
      </c>
      <c r="BK13" s="99" t="s">
        <v>173</v>
      </c>
      <c r="BL13" s="99" t="s">
        <v>126</v>
      </c>
      <c r="BM13" s="99"/>
      <c r="BN13" s="99"/>
      <c r="BO13" s="99" t="s">
        <v>127</v>
      </c>
      <c r="BP13" s="99"/>
      <c r="BQ13" s="99"/>
      <c r="BR13" s="99"/>
      <c r="BS13" s="99"/>
      <c r="BT13" s="99" t="s">
        <v>128</v>
      </c>
      <c r="BU13" s="99" t="s">
        <v>129</v>
      </c>
      <c r="BV13" s="99" t="s">
        <v>145</v>
      </c>
      <c r="BW13" s="99" t="s">
        <v>130</v>
      </c>
      <c r="BX13" s="99"/>
      <c r="BY13" s="99"/>
      <c r="BZ13" s="99"/>
      <c r="CA13" s="99"/>
      <c r="CB13" s="99"/>
      <c r="CC13" s="99"/>
      <c r="CD13" s="99"/>
      <c r="CE13" s="99"/>
      <c r="CF13" s="99" t="s">
        <v>130</v>
      </c>
      <c r="CG13" s="99"/>
      <c r="CH13" s="99"/>
      <c r="CI13" s="99"/>
      <c r="CJ13" s="99"/>
      <c r="CK13" s="99"/>
      <c r="CL13" s="99"/>
      <c r="CM13" s="99"/>
      <c r="CN13" s="99"/>
      <c r="CO13" s="99"/>
      <c r="CP13" s="99"/>
      <c r="CQ13" s="99"/>
      <c r="CR13" s="99"/>
      <c r="CS13" s="99" t="s">
        <v>132</v>
      </c>
      <c r="CT13" s="99" t="s">
        <v>133</v>
      </c>
      <c r="CU13" s="99" t="s">
        <v>134</v>
      </c>
      <c r="CV13" s="99"/>
    </row>
    <row r="14" spans="1:100" x14ac:dyDescent="0.2">
      <c r="A14" s="175" t="b">
        <v>0</v>
      </c>
      <c r="B14" s="175" t="b">
        <v>0</v>
      </c>
      <c r="C14" s="175" t="b">
        <v>1</v>
      </c>
      <c r="D14" s="175" t="b">
        <v>0</v>
      </c>
      <c r="E14" s="175" t="b">
        <v>0</v>
      </c>
      <c r="F14" s="175" t="b">
        <v>1</v>
      </c>
      <c r="G14" s="60" t="s">
        <v>385</v>
      </c>
      <c r="H14" s="99" t="s">
        <v>386</v>
      </c>
      <c r="I14" s="99" t="s">
        <v>387</v>
      </c>
      <c r="J14" s="99" t="s">
        <v>329</v>
      </c>
      <c r="K14" s="99" t="s">
        <v>371</v>
      </c>
      <c r="L14" s="99" t="s">
        <v>105</v>
      </c>
      <c r="M14" s="99"/>
      <c r="N14" s="99" t="s">
        <v>383</v>
      </c>
      <c r="O14" s="99"/>
      <c r="P14" s="99"/>
      <c r="Q14" s="99" t="s">
        <v>373</v>
      </c>
      <c r="R14" s="99" t="s">
        <v>108</v>
      </c>
      <c r="S14" s="113" t="s">
        <v>108</v>
      </c>
      <c r="T14" s="99"/>
      <c r="U14" s="99" t="s">
        <v>110</v>
      </c>
      <c r="V14" s="99"/>
      <c r="W14" s="99" t="s">
        <v>112</v>
      </c>
      <c r="X14" s="99" t="s">
        <v>173</v>
      </c>
      <c r="Y14" s="99" t="s">
        <v>132</v>
      </c>
      <c r="Z14" s="99" t="s">
        <v>114</v>
      </c>
      <c r="AA14" s="99" t="s">
        <v>115</v>
      </c>
      <c r="AB14" s="99"/>
      <c r="AC14" s="99"/>
      <c r="AD14" s="99" t="s">
        <v>115</v>
      </c>
      <c r="AE14" s="99" t="s">
        <v>116</v>
      </c>
      <c r="AF14" s="99"/>
      <c r="AG14" s="99"/>
      <c r="AH14" s="99" t="s">
        <v>116</v>
      </c>
      <c r="AI14" s="99" t="s">
        <v>366</v>
      </c>
      <c r="AJ14" s="99" t="s">
        <v>358</v>
      </c>
      <c r="AK14" s="99"/>
      <c r="AL14" s="99" t="s">
        <v>119</v>
      </c>
      <c r="AM14" s="99"/>
      <c r="AN14" s="99"/>
      <c r="AO14" s="99"/>
      <c r="AP14" s="99"/>
      <c r="AQ14" s="99"/>
      <c r="AR14" s="99"/>
      <c r="AS14" s="99"/>
      <c r="AT14" s="99" t="s">
        <v>374</v>
      </c>
      <c r="AU14" s="100" t="str">
        <f>IF($AT14="","",IFERROR(INDEX(InstructorMap!$B:$B, MATCH($AT14, InstructorMap!$A:$A, 0)),""))</f>
        <v>kiddersj@andrews.edu</v>
      </c>
      <c r="AV14" s="100" t="str">
        <f>IF($AT14="","",IFERROR(INDEX(InstructorMap!$C:$C, MATCH($AT14, InstructorMap!$A:$A, 0)),""))</f>
        <v>000039170</v>
      </c>
      <c r="AW14" s="99" t="s">
        <v>121</v>
      </c>
      <c r="AX14" s="99" t="s">
        <v>348</v>
      </c>
      <c r="AY14" s="99"/>
      <c r="AZ14" s="99"/>
      <c r="BA14" s="99"/>
      <c r="BB14" s="99"/>
      <c r="BC14" s="194" t="s">
        <v>349</v>
      </c>
      <c r="BD14" s="194" t="s">
        <v>350</v>
      </c>
      <c r="BE14" s="194" t="s">
        <v>111</v>
      </c>
      <c r="BF14" s="99"/>
      <c r="BG14" s="99"/>
      <c r="BH14" s="99" t="s">
        <v>351</v>
      </c>
      <c r="BI14" s="99" t="s">
        <v>124</v>
      </c>
      <c r="BJ14" s="99" t="s">
        <v>125</v>
      </c>
      <c r="BK14" s="99" t="s">
        <v>173</v>
      </c>
      <c r="BL14" s="99" t="s">
        <v>126</v>
      </c>
      <c r="BM14" s="99"/>
      <c r="BN14" s="99"/>
      <c r="BO14" s="99" t="s">
        <v>127</v>
      </c>
      <c r="BP14" s="99"/>
      <c r="BQ14" s="99"/>
      <c r="BR14" s="99"/>
      <c r="BS14" s="99"/>
      <c r="BT14" s="99" t="s">
        <v>128</v>
      </c>
      <c r="BU14" s="99" t="s">
        <v>129</v>
      </c>
      <c r="BV14" s="99" t="s">
        <v>129</v>
      </c>
      <c r="BW14" s="99" t="s">
        <v>130</v>
      </c>
      <c r="BX14" s="99" t="s">
        <v>131</v>
      </c>
      <c r="BY14" s="99"/>
      <c r="BZ14" s="99"/>
      <c r="CA14" s="99"/>
      <c r="CB14" s="99"/>
      <c r="CC14" s="99"/>
      <c r="CD14" s="99"/>
      <c r="CE14" s="99"/>
      <c r="CF14" s="99" t="s">
        <v>130</v>
      </c>
      <c r="CG14" s="99"/>
      <c r="CH14" s="99"/>
      <c r="CI14" s="99"/>
      <c r="CJ14" s="99"/>
      <c r="CK14" s="99"/>
      <c r="CL14" s="99"/>
      <c r="CM14" s="99"/>
      <c r="CN14" s="99"/>
      <c r="CO14" s="99"/>
      <c r="CP14" s="99"/>
      <c r="CQ14" s="99"/>
      <c r="CR14" s="99"/>
      <c r="CS14" s="99" t="s">
        <v>132</v>
      </c>
      <c r="CT14" s="99" t="s">
        <v>133</v>
      </c>
      <c r="CU14" s="99" t="s">
        <v>134</v>
      </c>
      <c r="CV14" s="99"/>
    </row>
    <row r="15" spans="1:100" x14ac:dyDescent="0.2">
      <c r="A15" s="175" t="b">
        <v>0</v>
      </c>
      <c r="B15" s="175" t="b">
        <v>0</v>
      </c>
      <c r="C15" s="175" t="b">
        <v>1</v>
      </c>
      <c r="D15" s="175" t="b">
        <v>0</v>
      </c>
      <c r="E15" s="175" t="b">
        <v>0</v>
      </c>
      <c r="F15" s="175" t="b">
        <v>0</v>
      </c>
      <c r="G15" s="174" t="s">
        <v>388</v>
      </c>
      <c r="H15" s="99" t="s">
        <v>389</v>
      </c>
      <c r="I15" s="99" t="s">
        <v>390</v>
      </c>
      <c r="J15" s="99" t="s">
        <v>329</v>
      </c>
      <c r="K15" s="99" t="s">
        <v>391</v>
      </c>
      <c r="L15" s="99" t="s">
        <v>137</v>
      </c>
      <c r="M15" s="99"/>
      <c r="N15" s="99" t="s">
        <v>392</v>
      </c>
      <c r="O15" s="99"/>
      <c r="P15" s="113" t="s">
        <v>393</v>
      </c>
      <c r="Q15" s="114" t="s">
        <v>394</v>
      </c>
      <c r="R15" s="99" t="s">
        <v>129</v>
      </c>
      <c r="S15" s="99"/>
      <c r="T15" s="99"/>
      <c r="U15" s="99" t="s">
        <v>140</v>
      </c>
      <c r="V15" s="99"/>
      <c r="W15" s="99" t="s">
        <v>112</v>
      </c>
      <c r="X15" s="99" t="s">
        <v>112</v>
      </c>
      <c r="Y15" s="99" t="s">
        <v>151</v>
      </c>
      <c r="Z15" s="99" t="s">
        <v>142</v>
      </c>
      <c r="AA15" s="99" t="s">
        <v>115</v>
      </c>
      <c r="AB15" s="99"/>
      <c r="AC15" s="99"/>
      <c r="AD15" s="99" t="s">
        <v>115</v>
      </c>
      <c r="AE15" s="99" t="s">
        <v>116</v>
      </c>
      <c r="AF15" s="99"/>
      <c r="AG15" s="99"/>
      <c r="AH15" s="99" t="s">
        <v>116</v>
      </c>
      <c r="AI15" s="99" t="s">
        <v>175</v>
      </c>
      <c r="AJ15" s="99" t="s">
        <v>176</v>
      </c>
      <c r="AK15" s="99"/>
      <c r="AL15" s="99"/>
      <c r="AM15" s="99"/>
      <c r="AN15" s="99" t="s">
        <v>177</v>
      </c>
      <c r="AO15" s="99"/>
      <c r="AP15" s="99"/>
      <c r="AQ15" s="99"/>
      <c r="AR15" s="99" t="s">
        <v>333</v>
      </c>
      <c r="AS15" s="99" t="s">
        <v>144</v>
      </c>
      <c r="AT15" s="99" t="s">
        <v>379</v>
      </c>
      <c r="AU15" s="100" t="str">
        <f>IF($AT15="","",IFERROR(INDEX(InstructorMap!$B:$B, MATCH($AT15, InstructorMap!$A:$A, 0)),""))</f>
        <v>sward@andrews.edu</v>
      </c>
      <c r="AV15" s="100" t="str">
        <f>IF($AT15="","",IFERROR(INDEX(InstructorMap!$C:$C, MATCH($AT15, InstructorMap!$A:$A, 0)),""))</f>
        <v>000077973</v>
      </c>
      <c r="AW15" s="99" t="s">
        <v>121</v>
      </c>
      <c r="AX15" s="99" t="s">
        <v>122</v>
      </c>
      <c r="AY15" s="99"/>
      <c r="AZ15" s="99"/>
      <c r="BA15" s="99"/>
      <c r="BB15" s="99"/>
      <c r="BC15" s="99"/>
      <c r="BD15" s="99"/>
      <c r="BE15" s="99"/>
      <c r="BF15" s="99"/>
      <c r="BG15" s="99"/>
      <c r="BH15" s="99" t="s">
        <v>329</v>
      </c>
      <c r="BI15" s="99" t="s">
        <v>124</v>
      </c>
      <c r="BJ15" s="99" t="s">
        <v>125</v>
      </c>
      <c r="BK15" s="99"/>
      <c r="BL15" s="99" t="s">
        <v>125</v>
      </c>
      <c r="BM15" s="99"/>
      <c r="BN15" s="99"/>
      <c r="BO15" s="99" t="s">
        <v>127</v>
      </c>
      <c r="BP15" s="99"/>
      <c r="BQ15" s="99"/>
      <c r="BR15" s="99"/>
      <c r="BS15" s="99"/>
      <c r="BT15" s="99" t="s">
        <v>128</v>
      </c>
      <c r="BU15" s="99" t="s">
        <v>129</v>
      </c>
      <c r="BV15" s="99" t="s">
        <v>145</v>
      </c>
      <c r="BW15" s="99" t="s">
        <v>130</v>
      </c>
      <c r="BX15" s="99" t="s">
        <v>131</v>
      </c>
      <c r="BY15" s="99"/>
      <c r="BZ15" s="99"/>
      <c r="CA15" s="99"/>
      <c r="CB15" s="99"/>
      <c r="CC15" s="99"/>
      <c r="CD15" s="99"/>
      <c r="CE15" s="99"/>
      <c r="CF15" s="99" t="s">
        <v>130</v>
      </c>
      <c r="CG15" s="99"/>
      <c r="CH15" s="99" t="s">
        <v>131</v>
      </c>
      <c r="CI15" s="99"/>
      <c r="CJ15" s="99"/>
      <c r="CK15" s="99"/>
      <c r="CL15" s="99"/>
      <c r="CM15" s="99"/>
      <c r="CN15" s="99"/>
      <c r="CO15" s="99"/>
      <c r="CP15" s="99"/>
      <c r="CQ15" s="99"/>
      <c r="CR15" s="99"/>
      <c r="CS15" s="99" t="s">
        <v>146</v>
      </c>
      <c r="CT15" s="99" t="s">
        <v>133</v>
      </c>
      <c r="CU15" s="99" t="s">
        <v>134</v>
      </c>
      <c r="CV15" s="99"/>
    </row>
    <row r="16" spans="1:100" x14ac:dyDescent="0.2">
      <c r="A16" s="175" t="b">
        <v>0</v>
      </c>
      <c r="B16" s="175" t="b">
        <v>0</v>
      </c>
      <c r="C16" s="175" t="b">
        <v>1</v>
      </c>
      <c r="D16" s="175" t="b">
        <v>0</v>
      </c>
      <c r="E16" s="175" t="b">
        <v>0</v>
      </c>
      <c r="F16" s="175" t="b">
        <v>1</v>
      </c>
      <c r="G16" s="112" t="s">
        <v>395</v>
      </c>
      <c r="H16" s="99" t="s">
        <v>396</v>
      </c>
      <c r="I16" s="99" t="s">
        <v>397</v>
      </c>
      <c r="J16" s="99" t="s">
        <v>329</v>
      </c>
      <c r="K16" s="99" t="s">
        <v>391</v>
      </c>
      <c r="L16" s="99" t="s">
        <v>148</v>
      </c>
      <c r="M16" s="99"/>
      <c r="N16" s="99" t="s">
        <v>398</v>
      </c>
      <c r="O16" s="99"/>
      <c r="P16" s="113" t="s">
        <v>393</v>
      </c>
      <c r="Q16" s="114" t="s">
        <v>394</v>
      </c>
      <c r="R16" s="99" t="s">
        <v>108</v>
      </c>
      <c r="S16" s="99"/>
      <c r="T16" s="99"/>
      <c r="U16" s="99" t="s">
        <v>149</v>
      </c>
      <c r="V16" s="99"/>
      <c r="W16" s="99" t="s">
        <v>112</v>
      </c>
      <c r="X16" s="99"/>
      <c r="Y16" s="99" t="s">
        <v>217</v>
      </c>
      <c r="Z16" s="99" t="s">
        <v>114</v>
      </c>
      <c r="AA16" s="99" t="s">
        <v>115</v>
      </c>
      <c r="AB16" s="99"/>
      <c r="AC16" s="99"/>
      <c r="AD16" s="99" t="s">
        <v>115</v>
      </c>
      <c r="AE16" s="99" t="s">
        <v>116</v>
      </c>
      <c r="AF16" s="99"/>
      <c r="AG16" s="99"/>
      <c r="AH16" s="99" t="s">
        <v>116</v>
      </c>
      <c r="AI16" s="99"/>
      <c r="AJ16" s="99"/>
      <c r="AK16" s="99"/>
      <c r="AL16" s="99"/>
      <c r="AM16" s="99"/>
      <c r="AN16" s="99"/>
      <c r="AO16" s="99"/>
      <c r="AP16" s="99"/>
      <c r="AQ16" s="99"/>
      <c r="AR16" s="99"/>
      <c r="AS16" s="99"/>
      <c r="AT16" s="99" t="s">
        <v>379</v>
      </c>
      <c r="AU16" s="100" t="str">
        <f>IF($AT16="","",IFERROR(INDEX(InstructorMap!$B:$B, MATCH($AT16, InstructorMap!$A:$A, 0)),""))</f>
        <v>sward@andrews.edu</v>
      </c>
      <c r="AV16" s="100" t="str">
        <f>IF($AT16="","",IFERROR(INDEX(InstructorMap!$C:$C, MATCH($AT16, InstructorMap!$A:$A, 0)),""))</f>
        <v>000077973</v>
      </c>
      <c r="AW16" s="99" t="s">
        <v>121</v>
      </c>
      <c r="AX16" s="99" t="s">
        <v>122</v>
      </c>
      <c r="AY16" s="99"/>
      <c r="AZ16" s="99"/>
      <c r="BA16" s="99"/>
      <c r="BB16" s="99"/>
      <c r="BC16" s="194" t="s">
        <v>349</v>
      </c>
      <c r="BD16" s="194" t="s">
        <v>350</v>
      </c>
      <c r="BE16" s="194" t="s">
        <v>111</v>
      </c>
      <c r="BF16" s="99"/>
      <c r="BG16" s="99"/>
      <c r="BH16" s="99" t="s">
        <v>351</v>
      </c>
      <c r="BI16" s="99" t="s">
        <v>124</v>
      </c>
      <c r="BJ16" s="99" t="s">
        <v>125</v>
      </c>
      <c r="BK16" s="99"/>
      <c r="BL16" s="99" t="s">
        <v>126</v>
      </c>
      <c r="BM16" s="99"/>
      <c r="BN16" s="99"/>
      <c r="BO16" s="99" t="s">
        <v>127</v>
      </c>
      <c r="BP16" s="99"/>
      <c r="BQ16" s="99"/>
      <c r="BR16" s="99"/>
      <c r="BS16" s="99"/>
      <c r="BT16" s="99" t="s">
        <v>128</v>
      </c>
      <c r="BU16" s="99" t="s">
        <v>129</v>
      </c>
      <c r="BV16" s="99" t="s">
        <v>145</v>
      </c>
      <c r="BW16" s="99" t="s">
        <v>130</v>
      </c>
      <c r="BX16" s="99"/>
      <c r="BY16" s="99"/>
      <c r="BZ16" s="99"/>
      <c r="CA16" s="99"/>
      <c r="CB16" s="99"/>
      <c r="CC16" s="99"/>
      <c r="CD16" s="99"/>
      <c r="CE16" s="99"/>
      <c r="CF16" s="99" t="s">
        <v>130</v>
      </c>
      <c r="CG16" s="99"/>
      <c r="CH16" s="99"/>
      <c r="CI16" s="99"/>
      <c r="CJ16" s="99"/>
      <c r="CK16" s="99"/>
      <c r="CL16" s="99"/>
      <c r="CM16" s="99"/>
      <c r="CN16" s="99"/>
      <c r="CO16" s="99"/>
      <c r="CP16" s="99"/>
      <c r="CQ16" s="99"/>
      <c r="CR16" s="99"/>
      <c r="CS16" s="99" t="s">
        <v>132</v>
      </c>
      <c r="CT16" s="99" t="s">
        <v>133</v>
      </c>
      <c r="CU16" s="99" t="s">
        <v>134</v>
      </c>
      <c r="CV16" s="99"/>
    </row>
    <row r="17" spans="1:100" s="108" customFormat="1" x14ac:dyDescent="0.2">
      <c r="A17" s="109" t="b">
        <v>0</v>
      </c>
      <c r="B17" s="109" t="b">
        <v>0</v>
      </c>
      <c r="C17" s="109" t="b">
        <v>1</v>
      </c>
      <c r="D17" s="109" t="b">
        <v>0</v>
      </c>
      <c r="E17" s="109" t="b">
        <v>0</v>
      </c>
      <c r="F17" s="109" t="b">
        <v>1</v>
      </c>
      <c r="G17" s="110" t="s">
        <v>362</v>
      </c>
      <c r="H17" s="110" t="s">
        <v>399</v>
      </c>
      <c r="I17" s="110" t="s">
        <v>400</v>
      </c>
      <c r="J17" s="110" t="s">
        <v>329</v>
      </c>
      <c r="K17" s="110" t="s">
        <v>391</v>
      </c>
      <c r="L17" s="110" t="s">
        <v>105</v>
      </c>
      <c r="M17" s="110"/>
      <c r="N17" s="110" t="s">
        <v>398</v>
      </c>
      <c r="O17" s="110"/>
      <c r="P17" s="110"/>
      <c r="Q17" s="110" t="s">
        <v>394</v>
      </c>
      <c r="R17" s="110" t="s">
        <v>108</v>
      </c>
      <c r="S17" s="110"/>
      <c r="T17" s="110"/>
      <c r="U17" s="110" t="s">
        <v>110</v>
      </c>
      <c r="V17" s="110"/>
      <c r="W17" s="110" t="s">
        <v>112</v>
      </c>
      <c r="X17" s="110"/>
      <c r="Y17" s="110" t="s">
        <v>203</v>
      </c>
      <c r="Z17" s="110" t="s">
        <v>114</v>
      </c>
      <c r="AA17" s="110" t="s">
        <v>115</v>
      </c>
      <c r="AB17" s="110"/>
      <c r="AC17" s="110"/>
      <c r="AD17" s="110" t="s">
        <v>115</v>
      </c>
      <c r="AE17" s="110" t="s">
        <v>116</v>
      </c>
      <c r="AF17" s="110"/>
      <c r="AG17" s="110"/>
      <c r="AH17" s="110" t="s">
        <v>116</v>
      </c>
      <c r="AI17" s="110" t="s">
        <v>277</v>
      </c>
      <c r="AJ17" s="110" t="s">
        <v>278</v>
      </c>
      <c r="AK17" s="110"/>
      <c r="AL17" s="110"/>
      <c r="AM17" s="110" t="s">
        <v>211</v>
      </c>
      <c r="AN17" s="110"/>
      <c r="AO17" s="110"/>
      <c r="AP17" s="110"/>
      <c r="AQ17" s="110"/>
      <c r="AR17" s="110"/>
      <c r="AS17" s="110"/>
      <c r="AT17" s="110" t="s">
        <v>379</v>
      </c>
      <c r="AU17" s="111" t="str">
        <f>IF($AT17="","",IFERROR(INDEX(InstructorMap!$B:$B, MATCH($AT17, InstructorMap!$A:$A, 0)),""))</f>
        <v>sward@andrews.edu</v>
      </c>
      <c r="AV17" s="111" t="str">
        <f>IF($AT17="","",IFERROR(INDEX(InstructorMap!$C:$C, MATCH($AT17, InstructorMap!$A:$A, 0)),""))</f>
        <v>000077973</v>
      </c>
      <c r="AW17" s="110" t="s">
        <v>121</v>
      </c>
      <c r="AX17" s="110"/>
      <c r="AY17" s="110"/>
      <c r="AZ17" s="110"/>
      <c r="BA17" s="110"/>
      <c r="BB17" s="110"/>
      <c r="BC17" s="110"/>
      <c r="BD17" s="110"/>
      <c r="BE17" s="110"/>
      <c r="BF17" s="110"/>
      <c r="BG17" s="110"/>
      <c r="BH17" s="110" t="s">
        <v>351</v>
      </c>
      <c r="BI17" s="110" t="s">
        <v>124</v>
      </c>
      <c r="BJ17" s="110" t="s">
        <v>125</v>
      </c>
      <c r="BK17" s="110"/>
      <c r="BL17" s="110" t="s">
        <v>126</v>
      </c>
      <c r="BM17" s="110"/>
      <c r="BN17" s="110"/>
      <c r="BO17" s="110" t="s">
        <v>127</v>
      </c>
      <c r="BP17" s="110"/>
      <c r="BQ17" s="110"/>
      <c r="BR17" s="110"/>
      <c r="BS17" s="110"/>
      <c r="BT17" s="110" t="s">
        <v>128</v>
      </c>
      <c r="BU17" s="110" t="s">
        <v>129</v>
      </c>
      <c r="BV17" s="110" t="s">
        <v>129</v>
      </c>
      <c r="BW17" s="110" t="s">
        <v>130</v>
      </c>
      <c r="BX17" s="110" t="s">
        <v>131</v>
      </c>
      <c r="BY17" s="110"/>
      <c r="BZ17" s="110"/>
      <c r="CA17" s="110"/>
      <c r="CB17" s="110"/>
      <c r="CC17" s="110"/>
      <c r="CD17" s="110"/>
      <c r="CE17" s="110"/>
      <c r="CF17" s="110" t="s">
        <v>130</v>
      </c>
      <c r="CG17" s="110"/>
      <c r="CH17" s="110"/>
      <c r="CI17" s="110"/>
      <c r="CJ17" s="110"/>
      <c r="CK17" s="110"/>
      <c r="CL17" s="110"/>
      <c r="CM17" s="110"/>
      <c r="CN17" s="110"/>
      <c r="CO17" s="110"/>
      <c r="CP17" s="110"/>
      <c r="CQ17" s="110"/>
      <c r="CR17" s="110"/>
      <c r="CS17" s="110" t="s">
        <v>132</v>
      </c>
      <c r="CT17" s="110" t="s">
        <v>133</v>
      </c>
      <c r="CU17" s="110" t="s">
        <v>134</v>
      </c>
      <c r="CV17" s="110"/>
    </row>
    <row r="18" spans="1:100" x14ac:dyDescent="0.2">
      <c r="A18" s="97" t="b">
        <v>0</v>
      </c>
      <c r="B18" s="97" t="b">
        <v>0</v>
      </c>
      <c r="C18" s="97" t="b">
        <v>1</v>
      </c>
      <c r="D18" s="97" t="b">
        <v>0</v>
      </c>
      <c r="E18" s="97" t="b">
        <v>0</v>
      </c>
      <c r="F18" s="97" t="b">
        <v>1</v>
      </c>
      <c r="G18" s="98"/>
      <c r="H18" s="99" t="s">
        <v>401</v>
      </c>
      <c r="I18" s="99" t="s">
        <v>402</v>
      </c>
      <c r="J18" s="99" t="s">
        <v>329</v>
      </c>
      <c r="K18" s="99" t="s">
        <v>403</v>
      </c>
      <c r="L18" s="99" t="s">
        <v>137</v>
      </c>
      <c r="M18" s="99"/>
      <c r="N18" s="99" t="s">
        <v>404</v>
      </c>
      <c r="O18" s="99"/>
      <c r="P18" s="99"/>
      <c r="Q18" s="99"/>
      <c r="R18" s="99" t="s">
        <v>129</v>
      </c>
      <c r="S18" s="99"/>
      <c r="T18" s="99"/>
      <c r="U18" s="99" t="s">
        <v>140</v>
      </c>
      <c r="V18" s="99"/>
      <c r="W18" s="99" t="s">
        <v>129</v>
      </c>
      <c r="X18" s="99" t="s">
        <v>129</v>
      </c>
      <c r="Y18" s="99" t="s">
        <v>332</v>
      </c>
      <c r="Z18" s="99" t="s">
        <v>142</v>
      </c>
      <c r="AA18" s="99" t="s">
        <v>115</v>
      </c>
      <c r="AB18" s="99"/>
      <c r="AC18" s="99"/>
      <c r="AD18" s="99" t="s">
        <v>115</v>
      </c>
      <c r="AE18" s="99" t="s">
        <v>116</v>
      </c>
      <c r="AF18" s="99"/>
      <c r="AG18" s="99"/>
      <c r="AH18" s="99" t="s">
        <v>116</v>
      </c>
      <c r="AI18" s="101"/>
      <c r="AJ18" s="101"/>
      <c r="AK18" s="99"/>
      <c r="AL18" s="101"/>
      <c r="AM18" s="101"/>
      <c r="AN18" s="101"/>
      <c r="AO18" s="101"/>
      <c r="AP18" s="99"/>
      <c r="AQ18" s="99"/>
      <c r="AR18" s="99"/>
      <c r="AS18" s="99"/>
      <c r="AT18" s="99" t="s">
        <v>334</v>
      </c>
      <c r="AU18" s="100" t="str">
        <f>IF($AT18="","",IFERROR(INDEX(InstructorMap!$B:$B, MATCH($AT18, InstructorMap!$A:$A, 0)),""))</f>
        <v>fraserj@andrews.edu</v>
      </c>
      <c r="AV18" s="100" t="str">
        <f>IF($AT18="","",IFERROR(INDEX(InstructorMap!$C:$C, MATCH($AT18, InstructorMap!$A:$A, 0)),""))</f>
        <v>000129106</v>
      </c>
      <c r="AW18" s="99" t="s">
        <v>121</v>
      </c>
      <c r="AX18" s="99" t="s">
        <v>405</v>
      </c>
      <c r="AY18" s="99"/>
      <c r="AZ18" s="99"/>
      <c r="BA18" s="99"/>
      <c r="BB18" s="99"/>
      <c r="BC18" s="99"/>
      <c r="BD18" s="99"/>
      <c r="BE18" s="99"/>
      <c r="BF18" s="99"/>
      <c r="BG18" s="99"/>
      <c r="BH18" s="99" t="s">
        <v>329</v>
      </c>
      <c r="BI18" s="99" t="s">
        <v>124</v>
      </c>
      <c r="BJ18" s="99" t="s">
        <v>125</v>
      </c>
      <c r="BK18" s="99"/>
      <c r="BL18" s="99" t="s">
        <v>249</v>
      </c>
      <c r="BM18" s="99"/>
      <c r="BN18" s="99"/>
      <c r="BO18" s="99" t="s">
        <v>127</v>
      </c>
      <c r="BP18" s="99"/>
      <c r="BQ18" s="99"/>
      <c r="BR18" s="99"/>
      <c r="BS18" s="99"/>
      <c r="BT18" s="99" t="s">
        <v>128</v>
      </c>
      <c r="BU18" s="99" t="s">
        <v>129</v>
      </c>
      <c r="BV18" s="99" t="s">
        <v>129</v>
      </c>
      <c r="BW18" s="99" t="s">
        <v>130</v>
      </c>
      <c r="BX18" s="99"/>
      <c r="BY18" s="99"/>
      <c r="BZ18" s="99"/>
      <c r="CA18" s="99"/>
      <c r="CB18" s="99"/>
      <c r="CC18" s="99"/>
      <c r="CD18" s="99"/>
      <c r="CE18" s="99"/>
      <c r="CF18" s="99" t="s">
        <v>130</v>
      </c>
      <c r="CG18" s="99"/>
      <c r="CH18" s="99"/>
      <c r="CI18" s="99"/>
      <c r="CJ18" s="99"/>
      <c r="CK18" s="99"/>
      <c r="CL18" s="99"/>
      <c r="CM18" s="99"/>
      <c r="CN18" s="99"/>
      <c r="CO18" s="99"/>
      <c r="CP18" s="99"/>
      <c r="CQ18" s="99"/>
      <c r="CR18" s="99"/>
      <c r="CS18" s="101" t="s">
        <v>147</v>
      </c>
      <c r="CT18" s="99" t="s">
        <v>133</v>
      </c>
      <c r="CU18" s="99" t="s">
        <v>134</v>
      </c>
      <c r="CV18" s="99"/>
    </row>
    <row r="19" spans="1:100" x14ac:dyDescent="0.2">
      <c r="A19" s="175" t="b">
        <v>0</v>
      </c>
      <c r="B19" s="175" t="b">
        <v>0</v>
      </c>
      <c r="C19" s="175" t="b">
        <v>1</v>
      </c>
      <c r="D19" s="175" t="b">
        <v>0</v>
      </c>
      <c r="E19" s="175" t="b">
        <v>0</v>
      </c>
      <c r="F19" s="175" t="b">
        <v>0</v>
      </c>
      <c r="G19" s="174" t="s">
        <v>406</v>
      </c>
      <c r="H19" s="99" t="s">
        <v>407</v>
      </c>
      <c r="I19" s="99" t="s">
        <v>408</v>
      </c>
      <c r="J19" s="99" t="s">
        <v>329</v>
      </c>
      <c r="K19" s="99" t="s">
        <v>409</v>
      </c>
      <c r="L19" s="99" t="s">
        <v>137</v>
      </c>
      <c r="M19" s="99"/>
      <c r="N19" s="99" t="s">
        <v>410</v>
      </c>
      <c r="O19" s="99"/>
      <c r="P19" s="99"/>
      <c r="Q19" s="99" t="s">
        <v>411</v>
      </c>
      <c r="R19" s="99" t="s">
        <v>129</v>
      </c>
      <c r="S19" s="99"/>
      <c r="T19" s="99"/>
      <c r="U19" s="99" t="s">
        <v>140</v>
      </c>
      <c r="V19" s="99"/>
      <c r="W19" s="99" t="s">
        <v>112</v>
      </c>
      <c r="X19" s="99"/>
      <c r="Y19" s="99" t="s">
        <v>132</v>
      </c>
      <c r="Z19" s="99" t="s">
        <v>142</v>
      </c>
      <c r="AA19" s="99" t="s">
        <v>115</v>
      </c>
      <c r="AB19" s="99"/>
      <c r="AC19" s="99"/>
      <c r="AD19" s="99" t="s">
        <v>115</v>
      </c>
      <c r="AE19" s="99" t="s">
        <v>116</v>
      </c>
      <c r="AF19" s="99"/>
      <c r="AG19" s="99"/>
      <c r="AH19" s="99" t="s">
        <v>116</v>
      </c>
      <c r="AI19" s="177" t="s">
        <v>412</v>
      </c>
      <c r="AJ19" s="177" t="s">
        <v>413</v>
      </c>
      <c r="AK19" s="99"/>
      <c r="AL19" s="99" t="s">
        <v>119</v>
      </c>
      <c r="AM19" s="99"/>
      <c r="AN19" s="99"/>
      <c r="AO19" s="99"/>
      <c r="AP19" s="99"/>
      <c r="AQ19" s="99"/>
      <c r="AR19" s="99" t="s">
        <v>414</v>
      </c>
      <c r="AS19" s="99" t="s">
        <v>144</v>
      </c>
      <c r="AT19" s="113" t="s">
        <v>196</v>
      </c>
      <c r="AU19" s="100" t="str">
        <f>IF($AT19="","",IFERROR(INDEX(InstructorMap!$B:$B, MATCH($AT19, InstructorMap!$A:$A, 0)),""))</f>
        <v/>
      </c>
      <c r="AV19" s="100" t="str">
        <f>IF($AT19="","",IFERROR(INDEX(InstructorMap!$C:$C, MATCH($AT19, InstructorMap!$A:$A, 0)),""))</f>
        <v/>
      </c>
      <c r="AW19" s="99" t="s">
        <v>121</v>
      </c>
      <c r="AX19" s="99" t="s">
        <v>415</v>
      </c>
      <c r="AY19" s="99"/>
      <c r="AZ19" s="99"/>
      <c r="BA19" s="99"/>
      <c r="BB19" s="99"/>
      <c r="BC19" s="99"/>
      <c r="BD19" s="99"/>
      <c r="BE19" s="99"/>
      <c r="BF19" s="99"/>
      <c r="BG19" s="99"/>
      <c r="BH19" s="99" t="s">
        <v>329</v>
      </c>
      <c r="BI19" s="99" t="s">
        <v>124</v>
      </c>
      <c r="BJ19" s="99" t="s">
        <v>125</v>
      </c>
      <c r="BK19" s="99"/>
      <c r="BL19" s="99" t="s">
        <v>125</v>
      </c>
      <c r="BM19" s="99"/>
      <c r="BN19" s="99"/>
      <c r="BO19" s="99" t="s">
        <v>127</v>
      </c>
      <c r="BP19" s="99"/>
      <c r="BQ19" s="99"/>
      <c r="BR19" s="99"/>
      <c r="BS19" s="99"/>
      <c r="BT19" s="99" t="s">
        <v>128</v>
      </c>
      <c r="BU19" s="99" t="s">
        <v>129</v>
      </c>
      <c r="BV19" s="99" t="s">
        <v>129</v>
      </c>
      <c r="BW19" s="99" t="s">
        <v>130</v>
      </c>
      <c r="BX19" s="99"/>
      <c r="BY19" s="99"/>
      <c r="BZ19" s="99"/>
      <c r="CA19" s="99"/>
      <c r="CB19" s="99"/>
      <c r="CC19" s="99"/>
      <c r="CD19" s="99"/>
      <c r="CE19" s="99"/>
      <c r="CF19" s="99" t="s">
        <v>130</v>
      </c>
      <c r="CG19" s="99"/>
      <c r="CH19" s="99"/>
      <c r="CI19" s="99"/>
      <c r="CJ19" s="99"/>
      <c r="CK19" s="99"/>
      <c r="CL19" s="99"/>
      <c r="CM19" s="99"/>
      <c r="CN19" s="99"/>
      <c r="CO19" s="99"/>
      <c r="CP19" s="99"/>
      <c r="CQ19" s="99"/>
      <c r="CR19" s="99"/>
      <c r="CS19" s="101" t="s">
        <v>147</v>
      </c>
      <c r="CT19" s="99" t="s">
        <v>133</v>
      </c>
      <c r="CU19" s="99" t="s">
        <v>134</v>
      </c>
      <c r="CV19" s="99"/>
    </row>
    <row r="20" spans="1:100" x14ac:dyDescent="0.2">
      <c r="A20" s="175" t="b">
        <v>0</v>
      </c>
      <c r="B20" s="175" t="b">
        <v>0</v>
      </c>
      <c r="C20" s="175" t="b">
        <v>1</v>
      </c>
      <c r="D20" s="175" t="b">
        <v>0</v>
      </c>
      <c r="E20" s="175" t="b">
        <v>0</v>
      </c>
      <c r="F20" s="175" t="b">
        <v>0</v>
      </c>
      <c r="G20" s="174" t="s">
        <v>416</v>
      </c>
      <c r="H20" s="99" t="s">
        <v>417</v>
      </c>
      <c r="I20" s="99" t="s">
        <v>418</v>
      </c>
      <c r="J20" s="99" t="s">
        <v>329</v>
      </c>
      <c r="K20" s="99" t="s">
        <v>419</v>
      </c>
      <c r="L20" s="99" t="s">
        <v>137</v>
      </c>
      <c r="M20" s="99"/>
      <c r="N20" s="99" t="s">
        <v>420</v>
      </c>
      <c r="O20" s="99"/>
      <c r="P20" s="99"/>
      <c r="Q20" s="99" t="s">
        <v>421</v>
      </c>
      <c r="R20" s="99" t="s">
        <v>129</v>
      </c>
      <c r="S20" s="99"/>
      <c r="T20" s="99"/>
      <c r="U20" s="99" t="s">
        <v>140</v>
      </c>
      <c r="V20" s="99"/>
      <c r="W20" s="99" t="s">
        <v>112</v>
      </c>
      <c r="X20" s="99" t="s">
        <v>173</v>
      </c>
      <c r="Y20" s="99" t="s">
        <v>132</v>
      </c>
      <c r="Z20" s="99" t="s">
        <v>142</v>
      </c>
      <c r="AA20" s="99" t="s">
        <v>115</v>
      </c>
      <c r="AB20" s="99"/>
      <c r="AC20" s="99"/>
      <c r="AD20" s="99" t="s">
        <v>115</v>
      </c>
      <c r="AE20" s="99" t="s">
        <v>116</v>
      </c>
      <c r="AF20" s="99"/>
      <c r="AG20" s="99"/>
      <c r="AH20" s="99" t="s">
        <v>116</v>
      </c>
      <c r="AI20" s="99" t="s">
        <v>366</v>
      </c>
      <c r="AJ20" s="99" t="s">
        <v>237</v>
      </c>
      <c r="AK20" s="99"/>
      <c r="AL20" s="99"/>
      <c r="AM20" s="99" t="s">
        <v>211</v>
      </c>
      <c r="AN20" s="99"/>
      <c r="AO20" s="99"/>
      <c r="AP20" s="99"/>
      <c r="AQ20" s="99"/>
      <c r="AR20" s="99" t="s">
        <v>422</v>
      </c>
      <c r="AS20" s="99" t="s">
        <v>144</v>
      </c>
      <c r="AT20" s="113" t="s">
        <v>379</v>
      </c>
      <c r="AU20" s="100" t="str">
        <f>IF($AT20="","",IFERROR(INDEX(InstructorMap!$B:$B, MATCH($AT20, InstructorMap!$A:$A, 0)),""))</f>
        <v>sward@andrews.edu</v>
      </c>
      <c r="AV20" s="100" t="str">
        <f>IF($AT20="","",IFERROR(INDEX(InstructorMap!$C:$C, MATCH($AT20, InstructorMap!$A:$A, 0)),""))</f>
        <v>000077973</v>
      </c>
      <c r="AW20" s="99" t="s">
        <v>121</v>
      </c>
      <c r="AX20" s="99" t="s">
        <v>122</v>
      </c>
      <c r="AY20" s="99"/>
      <c r="AZ20" s="99"/>
      <c r="BA20" s="99"/>
      <c r="BB20" s="99"/>
      <c r="BC20" s="99"/>
      <c r="BD20" s="99"/>
      <c r="BE20" s="99"/>
      <c r="BF20" s="99"/>
      <c r="BG20" s="99"/>
      <c r="BH20" s="99" t="s">
        <v>329</v>
      </c>
      <c r="BI20" s="99" t="s">
        <v>124</v>
      </c>
      <c r="BJ20" s="99" t="s">
        <v>125</v>
      </c>
      <c r="BK20" s="99"/>
      <c r="BL20" s="99" t="s">
        <v>125</v>
      </c>
      <c r="BM20" s="99"/>
      <c r="BN20" s="99"/>
      <c r="BO20" s="99" t="s">
        <v>127</v>
      </c>
      <c r="BP20" s="99"/>
      <c r="BQ20" s="99"/>
      <c r="BR20" s="99"/>
      <c r="BS20" s="99"/>
      <c r="BT20" s="99" t="s">
        <v>128</v>
      </c>
      <c r="BU20" s="99" t="s">
        <v>129</v>
      </c>
      <c r="BV20" s="99" t="s">
        <v>129</v>
      </c>
      <c r="BW20" s="99" t="s">
        <v>130</v>
      </c>
      <c r="BX20" s="99" t="s">
        <v>131</v>
      </c>
      <c r="BY20" s="99"/>
      <c r="BZ20" s="99"/>
      <c r="CA20" s="99"/>
      <c r="CB20" s="99"/>
      <c r="CC20" s="99"/>
      <c r="CD20" s="99"/>
      <c r="CE20" s="99"/>
      <c r="CF20" s="99" t="s">
        <v>130</v>
      </c>
      <c r="CG20" s="99"/>
      <c r="CH20" s="99"/>
      <c r="CI20" s="99"/>
      <c r="CJ20" s="99"/>
      <c r="CK20" s="99"/>
      <c r="CL20" s="99"/>
      <c r="CM20" s="99"/>
      <c r="CN20" s="99"/>
      <c r="CO20" s="99"/>
      <c r="CP20" s="99"/>
      <c r="CQ20" s="99"/>
      <c r="CR20" s="99"/>
      <c r="CS20" s="99" t="s">
        <v>146</v>
      </c>
      <c r="CT20" s="99" t="s">
        <v>133</v>
      </c>
      <c r="CU20" s="99" t="s">
        <v>134</v>
      </c>
      <c r="CV20" s="99"/>
    </row>
    <row r="21" spans="1:100" x14ac:dyDescent="0.2">
      <c r="A21" s="175" t="b">
        <v>0</v>
      </c>
      <c r="B21" s="175" t="b">
        <v>0</v>
      </c>
      <c r="C21" s="175" t="b">
        <v>1</v>
      </c>
      <c r="D21" s="175" t="b">
        <v>0</v>
      </c>
      <c r="E21" s="175" t="b">
        <v>0</v>
      </c>
      <c r="F21" s="175" t="b">
        <v>1</v>
      </c>
      <c r="G21" s="174" t="s">
        <v>380</v>
      </c>
      <c r="H21" s="99" t="s">
        <v>423</v>
      </c>
      <c r="I21" s="99" t="s">
        <v>424</v>
      </c>
      <c r="J21" s="99" t="s">
        <v>329</v>
      </c>
      <c r="K21" s="99" t="s">
        <v>419</v>
      </c>
      <c r="L21" s="99" t="s">
        <v>148</v>
      </c>
      <c r="M21" s="99"/>
      <c r="N21" s="99" t="s">
        <v>420</v>
      </c>
      <c r="O21" s="99"/>
      <c r="P21" s="99"/>
      <c r="Q21" s="99" t="s">
        <v>421</v>
      </c>
      <c r="R21" s="99" t="s">
        <v>108</v>
      </c>
      <c r="S21" s="99"/>
      <c r="T21" s="99"/>
      <c r="U21" s="99" t="s">
        <v>149</v>
      </c>
      <c r="V21" s="99"/>
      <c r="W21" s="99" t="s">
        <v>112</v>
      </c>
      <c r="X21" s="99"/>
      <c r="Y21" s="99" t="s">
        <v>217</v>
      </c>
      <c r="Z21" s="99" t="s">
        <v>114</v>
      </c>
      <c r="AA21" s="99" t="s">
        <v>115</v>
      </c>
      <c r="AB21" s="99"/>
      <c r="AC21" s="99"/>
      <c r="AD21" s="99" t="s">
        <v>115</v>
      </c>
      <c r="AE21" s="99" t="s">
        <v>116</v>
      </c>
      <c r="AF21" s="99"/>
      <c r="AG21" s="99"/>
      <c r="AH21" s="99" t="s">
        <v>116</v>
      </c>
      <c r="AI21" s="101"/>
      <c r="AJ21" s="101"/>
      <c r="AK21" s="99"/>
      <c r="AL21" s="99"/>
      <c r="AM21" s="99"/>
      <c r="AN21" s="99"/>
      <c r="AO21" s="99"/>
      <c r="AP21" s="99"/>
      <c r="AQ21" s="99"/>
      <c r="AR21" s="99"/>
      <c r="AS21" s="99"/>
      <c r="AT21" s="113" t="s">
        <v>379</v>
      </c>
      <c r="AU21" s="100" t="str">
        <f>IF($AT21="","",IFERROR(INDEX(InstructorMap!$B:$B, MATCH($AT21, InstructorMap!$A:$A, 0)),""))</f>
        <v>sward@andrews.edu</v>
      </c>
      <c r="AV21" s="100" t="str">
        <f>IF($AT21="","",IFERROR(INDEX(InstructorMap!$C:$C, MATCH($AT21, InstructorMap!$A:$A, 0)),""))</f>
        <v>000077973</v>
      </c>
      <c r="AW21" s="99" t="s">
        <v>121</v>
      </c>
      <c r="AX21" s="99" t="s">
        <v>348</v>
      </c>
      <c r="AY21" s="99"/>
      <c r="AZ21" s="99"/>
      <c r="BA21" s="99"/>
      <c r="BB21" s="99"/>
      <c r="BC21" s="194" t="s">
        <v>349</v>
      </c>
      <c r="BD21" s="194" t="s">
        <v>350</v>
      </c>
      <c r="BE21" s="194" t="s">
        <v>111</v>
      </c>
      <c r="BF21" s="99"/>
      <c r="BG21" s="99"/>
      <c r="BH21" s="99" t="s">
        <v>329</v>
      </c>
      <c r="BI21" s="99" t="s">
        <v>124</v>
      </c>
      <c r="BJ21" s="99" t="s">
        <v>125</v>
      </c>
      <c r="BK21" s="99"/>
      <c r="BL21" s="99" t="s">
        <v>126</v>
      </c>
      <c r="BM21" s="99"/>
      <c r="BN21" s="99"/>
      <c r="BO21" s="99" t="s">
        <v>127</v>
      </c>
      <c r="BP21" s="99"/>
      <c r="BQ21" s="99"/>
      <c r="BR21" s="99"/>
      <c r="BS21" s="99"/>
      <c r="BT21" s="99" t="s">
        <v>128</v>
      </c>
      <c r="BU21" s="99" t="s">
        <v>129</v>
      </c>
      <c r="BV21" s="99" t="s">
        <v>129</v>
      </c>
      <c r="BW21" s="99" t="s">
        <v>130</v>
      </c>
      <c r="BX21" s="99"/>
      <c r="BY21" s="99"/>
      <c r="BZ21" s="99"/>
      <c r="CA21" s="99"/>
      <c r="CB21" s="99"/>
      <c r="CC21" s="99"/>
      <c r="CD21" s="99"/>
      <c r="CE21" s="99"/>
      <c r="CF21" s="99" t="s">
        <v>130</v>
      </c>
      <c r="CG21" s="99"/>
      <c r="CH21" s="99"/>
      <c r="CI21" s="99"/>
      <c r="CJ21" s="99"/>
      <c r="CK21" s="99"/>
      <c r="CL21" s="99"/>
      <c r="CM21" s="99"/>
      <c r="CN21" s="99"/>
      <c r="CO21" s="99"/>
      <c r="CP21" s="99"/>
      <c r="CQ21" s="99"/>
      <c r="CR21" s="99"/>
      <c r="CS21" s="101" t="s">
        <v>147</v>
      </c>
      <c r="CT21" s="99" t="s">
        <v>133</v>
      </c>
      <c r="CU21" s="99" t="s">
        <v>134</v>
      </c>
      <c r="CV21" s="99"/>
    </row>
    <row r="22" spans="1:100" x14ac:dyDescent="0.2">
      <c r="A22" s="179" t="b">
        <v>0</v>
      </c>
      <c r="B22" s="179" t="b">
        <v>0</v>
      </c>
      <c r="C22" s="179" t="b">
        <v>1</v>
      </c>
      <c r="D22" s="179" t="b">
        <v>0</v>
      </c>
      <c r="E22" s="179" t="b">
        <v>0</v>
      </c>
      <c r="F22" s="179" t="b">
        <v>1</v>
      </c>
      <c r="G22" s="112" t="s">
        <v>425</v>
      </c>
      <c r="H22" s="99" t="s">
        <v>426</v>
      </c>
      <c r="I22" s="99" t="s">
        <v>427</v>
      </c>
      <c r="J22" s="99" t="s">
        <v>329</v>
      </c>
      <c r="K22" s="99" t="s">
        <v>419</v>
      </c>
      <c r="L22" s="99" t="s">
        <v>105</v>
      </c>
      <c r="M22" s="99"/>
      <c r="N22" s="99" t="s">
        <v>420</v>
      </c>
      <c r="O22" s="99"/>
      <c r="P22" s="99"/>
      <c r="Q22" s="99" t="s">
        <v>421</v>
      </c>
      <c r="R22" s="99" t="s">
        <v>108</v>
      </c>
      <c r="S22" s="113" t="s">
        <v>108</v>
      </c>
      <c r="T22" s="99"/>
      <c r="U22" s="99" t="s">
        <v>110</v>
      </c>
      <c r="V22" s="99"/>
      <c r="W22" s="99" t="s">
        <v>112</v>
      </c>
      <c r="X22" s="99"/>
      <c r="Y22" s="99" t="s">
        <v>217</v>
      </c>
      <c r="Z22" s="99" t="s">
        <v>114</v>
      </c>
      <c r="AA22" s="99" t="s">
        <v>115</v>
      </c>
      <c r="AB22" s="99"/>
      <c r="AC22" s="99"/>
      <c r="AD22" s="99" t="s">
        <v>115</v>
      </c>
      <c r="AE22" s="99" t="s">
        <v>116</v>
      </c>
      <c r="AF22" s="99"/>
      <c r="AG22" s="99"/>
      <c r="AH22" s="99" t="s">
        <v>116</v>
      </c>
      <c r="AI22" s="112" t="s">
        <v>366</v>
      </c>
      <c r="AJ22" s="112" t="s">
        <v>237</v>
      </c>
      <c r="AK22" s="99"/>
      <c r="AL22" s="99"/>
      <c r="AM22" s="113" t="s">
        <v>211</v>
      </c>
      <c r="AN22" s="99"/>
      <c r="AO22" s="180" t="s">
        <v>221</v>
      </c>
      <c r="AP22" s="99"/>
      <c r="AQ22" s="99"/>
      <c r="AR22" s="99"/>
      <c r="AS22" s="99"/>
      <c r="AT22" s="113" t="s">
        <v>379</v>
      </c>
      <c r="AU22" s="100" t="str">
        <f>IF($AT22="","",IFERROR(INDEX(InstructorMap!$B:$B, MATCH($AT22, InstructorMap!$A:$A, 0)),""))</f>
        <v>sward@andrews.edu</v>
      </c>
      <c r="AV22" s="100" t="str">
        <f>IF($AT22="","",IFERROR(INDEX(InstructorMap!$C:$C, MATCH($AT22, InstructorMap!$A:$A, 0)),""))</f>
        <v>000077973</v>
      </c>
      <c r="AW22" s="99" t="s">
        <v>121</v>
      </c>
      <c r="AX22" s="99" t="s">
        <v>348</v>
      </c>
      <c r="AY22" s="99"/>
      <c r="AZ22" s="99"/>
      <c r="BA22" s="99"/>
      <c r="BB22" s="99"/>
      <c r="BC22" s="194" t="s">
        <v>349</v>
      </c>
      <c r="BD22" s="194" t="s">
        <v>350</v>
      </c>
      <c r="BE22" s="194" t="s">
        <v>111</v>
      </c>
      <c r="BF22" s="99"/>
      <c r="BG22" s="99"/>
      <c r="BH22" s="99" t="s">
        <v>351</v>
      </c>
      <c r="BI22" s="99" t="s">
        <v>124</v>
      </c>
      <c r="BJ22" s="99" t="s">
        <v>125</v>
      </c>
      <c r="BK22" s="99"/>
      <c r="BL22" s="99" t="s">
        <v>126</v>
      </c>
      <c r="BM22" s="99"/>
      <c r="BN22" s="99"/>
      <c r="BO22" s="99" t="s">
        <v>127</v>
      </c>
      <c r="BP22" s="99"/>
      <c r="BQ22" s="99"/>
      <c r="BR22" s="99"/>
      <c r="BS22" s="99"/>
      <c r="BT22" s="99" t="s">
        <v>128</v>
      </c>
      <c r="BU22" s="99" t="s">
        <v>129</v>
      </c>
      <c r="BV22" s="99" t="s">
        <v>129</v>
      </c>
      <c r="BW22" s="99" t="s">
        <v>130</v>
      </c>
      <c r="BX22" s="99"/>
      <c r="BY22" s="99"/>
      <c r="BZ22" s="99"/>
      <c r="CA22" s="99"/>
      <c r="CB22" s="99"/>
      <c r="CC22" s="99"/>
      <c r="CD22" s="99"/>
      <c r="CE22" s="99"/>
      <c r="CF22" s="99" t="s">
        <v>130</v>
      </c>
      <c r="CG22" s="99"/>
      <c r="CH22" s="99"/>
      <c r="CI22" s="99"/>
      <c r="CJ22" s="99"/>
      <c r="CK22" s="99"/>
      <c r="CL22" s="99"/>
      <c r="CM22" s="99"/>
      <c r="CN22" s="99"/>
      <c r="CO22" s="99"/>
      <c r="CP22" s="99"/>
      <c r="CQ22" s="99"/>
      <c r="CR22" s="99"/>
      <c r="CS22" s="99" t="s">
        <v>132</v>
      </c>
      <c r="CT22" s="99" t="s">
        <v>133</v>
      </c>
      <c r="CU22" s="99" t="s">
        <v>134</v>
      </c>
      <c r="CV22" s="99"/>
    </row>
    <row r="23" spans="1:100" x14ac:dyDescent="0.2">
      <c r="A23" s="97" t="b">
        <v>0</v>
      </c>
      <c r="B23" s="97" t="b">
        <v>0</v>
      </c>
      <c r="C23" s="97" t="b">
        <v>1</v>
      </c>
      <c r="D23" s="97" t="b">
        <v>0</v>
      </c>
      <c r="E23" s="97" t="b">
        <v>0</v>
      </c>
      <c r="F23" s="97" t="b">
        <v>1</v>
      </c>
      <c r="G23" s="98"/>
      <c r="H23" s="99" t="s">
        <v>428</v>
      </c>
      <c r="I23" s="99" t="s">
        <v>429</v>
      </c>
      <c r="J23" s="99" t="s">
        <v>329</v>
      </c>
      <c r="K23" s="99" t="s">
        <v>430</v>
      </c>
      <c r="L23" s="99" t="s">
        <v>137</v>
      </c>
      <c r="M23" s="99"/>
      <c r="N23" s="99" t="s">
        <v>431</v>
      </c>
      <c r="O23" s="99"/>
      <c r="P23" s="99"/>
      <c r="Q23" s="99" t="s">
        <v>432</v>
      </c>
      <c r="R23" s="99" t="s">
        <v>129</v>
      </c>
      <c r="S23" s="99"/>
      <c r="T23" s="99"/>
      <c r="U23" s="99" t="s">
        <v>140</v>
      </c>
      <c r="V23" s="99"/>
      <c r="W23" s="99" t="s">
        <v>173</v>
      </c>
      <c r="X23" s="99" t="s">
        <v>173</v>
      </c>
      <c r="Y23" s="99" t="s">
        <v>113</v>
      </c>
      <c r="Z23" s="99" t="s">
        <v>142</v>
      </c>
      <c r="AA23" s="99" t="s">
        <v>115</v>
      </c>
      <c r="AB23" s="99"/>
      <c r="AC23" s="99"/>
      <c r="AD23" s="99" t="s">
        <v>115</v>
      </c>
      <c r="AE23" s="99" t="s">
        <v>116</v>
      </c>
      <c r="AF23" s="99"/>
      <c r="AG23" s="99"/>
      <c r="AH23" s="99" t="s">
        <v>116</v>
      </c>
      <c r="AI23" s="99" t="s">
        <v>117</v>
      </c>
      <c r="AJ23" s="99" t="s">
        <v>118</v>
      </c>
      <c r="AK23" s="99"/>
      <c r="AL23" s="99"/>
      <c r="AM23" s="99"/>
      <c r="AN23" s="99" t="s">
        <v>177</v>
      </c>
      <c r="AO23" s="99"/>
      <c r="AP23" s="99"/>
      <c r="AQ23" s="99"/>
      <c r="AR23" s="99" t="s">
        <v>422</v>
      </c>
      <c r="AS23" s="99" t="s">
        <v>144</v>
      </c>
      <c r="AT23" s="99" t="s">
        <v>334</v>
      </c>
      <c r="AU23" s="100" t="str">
        <f>IF($AT23="","",IFERROR(INDEX(InstructorMap!$B:$B, MATCH($AT23, InstructorMap!$A:$A, 0)),""))</f>
        <v>fraserj@andrews.edu</v>
      </c>
      <c r="AV23" s="100" t="str">
        <f>IF($AT23="","",IFERROR(INDEX(InstructorMap!$C:$C, MATCH($AT23, InstructorMap!$A:$A, 0)),""))</f>
        <v>000129106</v>
      </c>
      <c r="AW23" s="99" t="s">
        <v>121</v>
      </c>
      <c r="AX23" s="99" t="s">
        <v>122</v>
      </c>
      <c r="AY23" s="99"/>
      <c r="AZ23" s="99"/>
      <c r="BA23" s="99"/>
      <c r="BB23" s="99"/>
      <c r="BC23" s="99"/>
      <c r="BD23" s="99"/>
      <c r="BE23" s="99"/>
      <c r="BF23" s="99"/>
      <c r="BG23" s="99"/>
      <c r="BH23" s="99" t="s">
        <v>329</v>
      </c>
      <c r="BI23" s="99" t="s">
        <v>124</v>
      </c>
      <c r="BJ23" s="99" t="s">
        <v>125</v>
      </c>
      <c r="BK23" s="99"/>
      <c r="BL23" s="99" t="s">
        <v>125</v>
      </c>
      <c r="BM23" s="99"/>
      <c r="BN23" s="99"/>
      <c r="BO23" s="99" t="s">
        <v>127</v>
      </c>
      <c r="BP23" s="99"/>
      <c r="BQ23" s="99"/>
      <c r="BR23" s="99"/>
      <c r="BS23" s="99"/>
      <c r="BT23" s="99" t="s">
        <v>128</v>
      </c>
      <c r="BU23" s="99" t="s">
        <v>129</v>
      </c>
      <c r="BV23" s="99" t="s">
        <v>129</v>
      </c>
      <c r="BW23" s="99" t="s">
        <v>130</v>
      </c>
      <c r="BX23" s="99" t="s">
        <v>131</v>
      </c>
      <c r="BY23" s="99"/>
      <c r="BZ23" s="99"/>
      <c r="CA23" s="99"/>
      <c r="CB23" s="99"/>
      <c r="CC23" s="99"/>
      <c r="CD23" s="99"/>
      <c r="CE23" s="99"/>
      <c r="CF23" s="99" t="s">
        <v>130</v>
      </c>
      <c r="CG23" s="99"/>
      <c r="CH23" s="99"/>
      <c r="CI23" s="99"/>
      <c r="CJ23" s="99"/>
      <c r="CK23" s="99"/>
      <c r="CL23" s="99"/>
      <c r="CM23" s="99"/>
      <c r="CN23" s="99"/>
      <c r="CO23" s="99"/>
      <c r="CP23" s="99"/>
      <c r="CQ23" s="99"/>
      <c r="CR23" s="99"/>
      <c r="CS23" s="99" t="s">
        <v>146</v>
      </c>
      <c r="CT23" s="99" t="s">
        <v>133</v>
      </c>
      <c r="CU23" s="99" t="s">
        <v>134</v>
      </c>
      <c r="CV23" s="99"/>
    </row>
    <row r="24" spans="1:100" x14ac:dyDescent="0.2">
      <c r="A24" s="175" t="b">
        <v>0</v>
      </c>
      <c r="B24" s="175" t="b">
        <v>0</v>
      </c>
      <c r="C24" s="175" t="b">
        <v>1</v>
      </c>
      <c r="D24" s="175" t="b">
        <v>0</v>
      </c>
      <c r="E24" s="175" t="b">
        <v>0</v>
      </c>
      <c r="F24" s="175" t="b">
        <v>1</v>
      </c>
      <c r="G24" s="195" t="s">
        <v>380</v>
      </c>
      <c r="H24" s="99" t="s">
        <v>433</v>
      </c>
      <c r="I24" s="99" t="s">
        <v>434</v>
      </c>
      <c r="J24" s="99" t="s">
        <v>329</v>
      </c>
      <c r="K24" s="99" t="s">
        <v>430</v>
      </c>
      <c r="L24" s="99" t="s">
        <v>148</v>
      </c>
      <c r="M24" s="99"/>
      <c r="N24" s="99" t="s">
        <v>431</v>
      </c>
      <c r="O24" s="99"/>
      <c r="P24" s="99"/>
      <c r="Q24" s="99" t="s">
        <v>432</v>
      </c>
      <c r="R24" s="99" t="s">
        <v>108</v>
      </c>
      <c r="S24" s="99"/>
      <c r="T24" s="99"/>
      <c r="U24" s="99" t="s">
        <v>149</v>
      </c>
      <c r="V24" s="99"/>
      <c r="W24" s="99" t="s">
        <v>173</v>
      </c>
      <c r="X24" s="99" t="s">
        <v>173</v>
      </c>
      <c r="Y24" s="99" t="s">
        <v>217</v>
      </c>
      <c r="Z24" s="99" t="s">
        <v>114</v>
      </c>
      <c r="AA24" s="99" t="s">
        <v>115</v>
      </c>
      <c r="AB24" s="99"/>
      <c r="AC24" s="99"/>
      <c r="AD24" s="99" t="s">
        <v>115</v>
      </c>
      <c r="AE24" s="99" t="s">
        <v>116</v>
      </c>
      <c r="AF24" s="99"/>
      <c r="AG24" s="99"/>
      <c r="AH24" s="99" t="s">
        <v>116</v>
      </c>
      <c r="AI24" s="101"/>
      <c r="AJ24" s="101"/>
      <c r="AK24" s="99"/>
      <c r="AL24" s="99"/>
      <c r="AM24" s="99"/>
      <c r="AN24" s="99"/>
      <c r="AO24" s="99"/>
      <c r="AP24" s="99"/>
      <c r="AQ24" s="99"/>
      <c r="AR24" s="99"/>
      <c r="AS24" s="99"/>
      <c r="AT24" s="99" t="s">
        <v>334</v>
      </c>
      <c r="AU24" s="100" t="str">
        <f>IF($AT24="","",IFERROR(INDEX(InstructorMap!$B:$B, MATCH($AT24, InstructorMap!$A:$A, 0)),""))</f>
        <v>fraserj@andrews.edu</v>
      </c>
      <c r="AV24" s="100" t="str">
        <f>IF($AT24="","",IFERROR(INDEX(InstructorMap!$C:$C, MATCH($AT24, InstructorMap!$A:$A, 0)),""))</f>
        <v>000129106</v>
      </c>
      <c r="AW24" s="99" t="s">
        <v>121</v>
      </c>
      <c r="AX24" s="99" t="s">
        <v>348</v>
      </c>
      <c r="AY24" s="99"/>
      <c r="AZ24" s="99"/>
      <c r="BA24" s="99"/>
      <c r="BB24" s="99"/>
      <c r="BC24" s="194" t="s">
        <v>349</v>
      </c>
      <c r="BD24" s="194" t="s">
        <v>350</v>
      </c>
      <c r="BE24" s="194" t="s">
        <v>111</v>
      </c>
      <c r="BF24" s="99"/>
      <c r="BG24" s="99"/>
      <c r="BH24" s="99" t="s">
        <v>329</v>
      </c>
      <c r="BI24" s="99" t="s">
        <v>124</v>
      </c>
      <c r="BJ24" s="99" t="s">
        <v>125</v>
      </c>
      <c r="BK24" s="99"/>
      <c r="BL24" s="99" t="s">
        <v>126</v>
      </c>
      <c r="BM24" s="99"/>
      <c r="BN24" s="99"/>
      <c r="BO24" s="99" t="s">
        <v>127</v>
      </c>
      <c r="BP24" s="99"/>
      <c r="BQ24" s="99"/>
      <c r="BR24" s="99"/>
      <c r="BS24" s="99"/>
      <c r="BT24" s="99" t="s">
        <v>128</v>
      </c>
      <c r="BU24" s="99" t="s">
        <v>129</v>
      </c>
      <c r="BV24" s="99" t="s">
        <v>129</v>
      </c>
      <c r="BW24" s="99" t="s">
        <v>130</v>
      </c>
      <c r="BX24" s="99"/>
      <c r="BY24" s="99"/>
      <c r="BZ24" s="99"/>
      <c r="CA24" s="99"/>
      <c r="CB24" s="99"/>
      <c r="CC24" s="99"/>
      <c r="CD24" s="99"/>
      <c r="CE24" s="99"/>
      <c r="CF24" s="99" t="s">
        <v>130</v>
      </c>
      <c r="CG24" s="99"/>
      <c r="CH24" s="99"/>
      <c r="CI24" s="99"/>
      <c r="CJ24" s="99"/>
      <c r="CK24" s="99"/>
      <c r="CL24" s="99"/>
      <c r="CM24" s="99"/>
      <c r="CN24" s="99"/>
      <c r="CO24" s="99"/>
      <c r="CP24" s="99"/>
      <c r="CQ24" s="99"/>
      <c r="CR24" s="99"/>
      <c r="CS24" s="101" t="s">
        <v>147</v>
      </c>
      <c r="CT24" s="99" t="s">
        <v>133</v>
      </c>
      <c r="CU24" s="99" t="s">
        <v>134</v>
      </c>
      <c r="CV24" s="99"/>
    </row>
    <row r="25" spans="1:100" s="108" customFormat="1" x14ac:dyDescent="0.2">
      <c r="A25" s="109" t="s">
        <v>435</v>
      </c>
      <c r="B25" s="109" t="b">
        <v>0</v>
      </c>
      <c r="C25" s="109" t="b">
        <v>1</v>
      </c>
      <c r="D25" s="109" t="b">
        <v>0</v>
      </c>
      <c r="E25" s="109" t="b">
        <v>0</v>
      </c>
      <c r="F25" s="109" t="b">
        <v>1</v>
      </c>
      <c r="G25" s="110" t="s">
        <v>362</v>
      </c>
      <c r="H25" s="110" t="s">
        <v>436</v>
      </c>
      <c r="I25" s="110" t="s">
        <v>437</v>
      </c>
      <c r="J25" s="110" t="s">
        <v>329</v>
      </c>
      <c r="K25" s="110" t="s">
        <v>430</v>
      </c>
      <c r="L25" s="110" t="s">
        <v>105</v>
      </c>
      <c r="M25" s="110"/>
      <c r="N25" s="110" t="s">
        <v>431</v>
      </c>
      <c r="O25" s="110"/>
      <c r="P25" s="110"/>
      <c r="Q25" s="110" t="s">
        <v>432</v>
      </c>
      <c r="R25" s="110" t="s">
        <v>108</v>
      </c>
      <c r="S25" s="110"/>
      <c r="T25" s="110"/>
      <c r="U25" s="110" t="s">
        <v>110</v>
      </c>
      <c r="V25" s="110"/>
      <c r="W25" s="110" t="s">
        <v>173</v>
      </c>
      <c r="X25" s="110"/>
      <c r="Y25" s="110" t="s">
        <v>217</v>
      </c>
      <c r="Z25" s="110" t="s">
        <v>114</v>
      </c>
      <c r="AA25" s="110" t="s">
        <v>115</v>
      </c>
      <c r="AB25" s="110"/>
      <c r="AC25" s="110"/>
      <c r="AD25" s="110" t="s">
        <v>115</v>
      </c>
      <c r="AE25" s="110" t="s">
        <v>116</v>
      </c>
      <c r="AF25" s="110"/>
      <c r="AG25" s="110"/>
      <c r="AH25" s="110" t="s">
        <v>116</v>
      </c>
      <c r="AI25" s="110" t="s">
        <v>277</v>
      </c>
      <c r="AJ25" s="110" t="s">
        <v>194</v>
      </c>
      <c r="AK25" s="110"/>
      <c r="AL25" s="110"/>
      <c r="AM25" s="110"/>
      <c r="AN25" s="110"/>
      <c r="AO25" s="110" t="s">
        <v>221</v>
      </c>
      <c r="AP25" s="110"/>
      <c r="AQ25" s="110"/>
      <c r="AR25" s="110"/>
      <c r="AS25" s="110"/>
      <c r="AT25" s="110" t="s">
        <v>334</v>
      </c>
      <c r="AU25" s="111" t="str">
        <f>IF($AT25="","",IFERROR(INDEX(InstructorMap!$B:$B, MATCH($AT25, InstructorMap!$A:$A, 0)),""))</f>
        <v>fraserj@andrews.edu</v>
      </c>
      <c r="AV25" s="111" t="str">
        <f>IF($AT25="","",IFERROR(INDEX(InstructorMap!$C:$C, MATCH($AT25, InstructorMap!$A:$A, 0)),""))</f>
        <v>000129106</v>
      </c>
      <c r="AW25" s="110" t="s">
        <v>121</v>
      </c>
      <c r="AX25" s="110"/>
      <c r="AY25" s="110"/>
      <c r="AZ25" s="110"/>
      <c r="BA25" s="110"/>
      <c r="BB25" s="110"/>
      <c r="BC25" s="110"/>
      <c r="BD25" s="110"/>
      <c r="BE25" s="110"/>
      <c r="BF25" s="110"/>
      <c r="BG25" s="110"/>
      <c r="BH25" s="110" t="s">
        <v>351</v>
      </c>
      <c r="BI25" s="110" t="s">
        <v>124</v>
      </c>
      <c r="BJ25" s="110" t="s">
        <v>125</v>
      </c>
      <c r="BK25" s="110"/>
      <c r="BL25" s="110" t="s">
        <v>126</v>
      </c>
      <c r="BM25" s="110"/>
      <c r="BN25" s="110"/>
      <c r="BO25" s="110" t="s">
        <v>127</v>
      </c>
      <c r="BP25" s="110"/>
      <c r="BQ25" s="110"/>
      <c r="BR25" s="110"/>
      <c r="BS25" s="110"/>
      <c r="BT25" s="110" t="s">
        <v>128</v>
      </c>
      <c r="BU25" s="110" t="s">
        <v>129</v>
      </c>
      <c r="BV25" s="110" t="s">
        <v>129</v>
      </c>
      <c r="BW25" s="110" t="s">
        <v>130</v>
      </c>
      <c r="BX25" s="110" t="s">
        <v>131</v>
      </c>
      <c r="BY25" s="110"/>
      <c r="BZ25" s="110"/>
      <c r="CA25" s="110"/>
      <c r="CB25" s="110"/>
      <c r="CC25" s="110"/>
      <c r="CD25" s="110"/>
      <c r="CE25" s="110"/>
      <c r="CF25" s="110" t="s">
        <v>130</v>
      </c>
      <c r="CG25" s="110"/>
      <c r="CH25" s="110"/>
      <c r="CI25" s="110"/>
      <c r="CJ25" s="110"/>
      <c r="CK25" s="110"/>
      <c r="CL25" s="110"/>
      <c r="CM25" s="110"/>
      <c r="CN25" s="110"/>
      <c r="CO25" s="110"/>
      <c r="CP25" s="110"/>
      <c r="CQ25" s="110"/>
      <c r="CR25" s="110"/>
      <c r="CS25" s="110" t="s">
        <v>132</v>
      </c>
      <c r="CT25" s="110" t="s">
        <v>133</v>
      </c>
      <c r="CU25" s="110" t="s">
        <v>134</v>
      </c>
      <c r="CV25" s="110"/>
    </row>
    <row r="26" spans="1:100" x14ac:dyDescent="0.2">
      <c r="A26" s="175" t="b">
        <v>0</v>
      </c>
      <c r="B26" s="175" t="b">
        <v>0</v>
      </c>
      <c r="C26" s="175" t="b">
        <v>1</v>
      </c>
      <c r="D26" s="175" t="b">
        <v>0</v>
      </c>
      <c r="E26" s="175" t="b">
        <v>0</v>
      </c>
      <c r="F26" s="175" t="b">
        <v>0</v>
      </c>
      <c r="G26" s="174" t="s">
        <v>438</v>
      </c>
      <c r="H26" s="99" t="s">
        <v>439</v>
      </c>
      <c r="I26" s="99" t="s">
        <v>440</v>
      </c>
      <c r="J26" s="99" t="s">
        <v>329</v>
      </c>
      <c r="K26" s="99" t="s">
        <v>441</v>
      </c>
      <c r="L26" s="99" t="s">
        <v>137</v>
      </c>
      <c r="M26" s="99"/>
      <c r="N26" s="99" t="s">
        <v>442</v>
      </c>
      <c r="O26" s="99"/>
      <c r="P26" s="99"/>
      <c r="Q26" s="99" t="s">
        <v>443</v>
      </c>
      <c r="R26" s="99" t="s">
        <v>129</v>
      </c>
      <c r="S26" s="99"/>
      <c r="T26" s="99"/>
      <c r="U26" s="99" t="s">
        <v>140</v>
      </c>
      <c r="V26" s="99"/>
      <c r="W26" s="99" t="s">
        <v>112</v>
      </c>
      <c r="X26" s="99" t="s">
        <v>112</v>
      </c>
      <c r="Y26" s="99" t="s">
        <v>113</v>
      </c>
      <c r="Z26" s="99" t="s">
        <v>142</v>
      </c>
      <c r="AA26" s="99" t="s">
        <v>115</v>
      </c>
      <c r="AB26" s="99"/>
      <c r="AC26" s="99"/>
      <c r="AD26" s="99" t="s">
        <v>115</v>
      </c>
      <c r="AE26" s="99" t="s">
        <v>116</v>
      </c>
      <c r="AF26" s="99"/>
      <c r="AG26" s="99"/>
      <c r="AH26" s="99" t="s">
        <v>116</v>
      </c>
      <c r="AI26" s="113" t="s">
        <v>175</v>
      </c>
      <c r="AJ26" s="113" t="s">
        <v>176</v>
      </c>
      <c r="AK26" s="99"/>
      <c r="AL26" s="99"/>
      <c r="AM26" s="99"/>
      <c r="AN26" s="99" t="s">
        <v>177</v>
      </c>
      <c r="AO26" s="99"/>
      <c r="AP26" s="99"/>
      <c r="AQ26" s="99"/>
      <c r="AR26" s="99" t="s">
        <v>422</v>
      </c>
      <c r="AS26" s="99" t="s">
        <v>144</v>
      </c>
      <c r="AT26" s="99" t="s">
        <v>341</v>
      </c>
      <c r="AU26" s="100" t="str">
        <f>IF($AT26="","",IFERROR(INDEX(InstructorMap!$B:$B, MATCH($AT26, InstructorMap!$A:$A, 0)),""))</f>
        <v>ainsworj@andrews.edu</v>
      </c>
      <c r="AV26" s="100" t="str">
        <f>IF($AT26="","",IFERROR(INDEX(InstructorMap!$C:$C, MATCH($AT26, InstructorMap!$A:$A, 0)),""))</f>
        <v>000079312</v>
      </c>
      <c r="AW26" s="99" t="s">
        <v>121</v>
      </c>
      <c r="AX26" s="99" t="s">
        <v>122</v>
      </c>
      <c r="AY26" s="99"/>
      <c r="AZ26" s="99"/>
      <c r="BA26" s="99"/>
      <c r="BB26" s="99"/>
      <c r="BC26" s="99"/>
      <c r="BD26" s="99"/>
      <c r="BE26" s="99"/>
      <c r="BF26" s="99"/>
      <c r="BG26" s="99"/>
      <c r="BH26" s="99" t="s">
        <v>329</v>
      </c>
      <c r="BI26" s="99" t="s">
        <v>124</v>
      </c>
      <c r="BJ26" s="99" t="s">
        <v>125</v>
      </c>
      <c r="BK26" s="99"/>
      <c r="BL26" s="99" t="s">
        <v>125</v>
      </c>
      <c r="BM26" s="99"/>
      <c r="BN26" s="99"/>
      <c r="BO26" s="99" t="s">
        <v>127</v>
      </c>
      <c r="BP26" s="99"/>
      <c r="BQ26" s="99"/>
      <c r="BR26" s="99"/>
      <c r="BS26" s="99"/>
      <c r="BT26" s="99" t="s">
        <v>128</v>
      </c>
      <c r="BU26" s="99" t="s">
        <v>129</v>
      </c>
      <c r="BV26" s="99" t="s">
        <v>129</v>
      </c>
      <c r="BW26" s="99" t="s">
        <v>130</v>
      </c>
      <c r="BX26" s="99"/>
      <c r="BY26" s="99"/>
      <c r="BZ26" s="99"/>
      <c r="CA26" s="99"/>
      <c r="CB26" s="99"/>
      <c r="CC26" s="99"/>
      <c r="CD26" s="99"/>
      <c r="CE26" s="99"/>
      <c r="CF26" s="99" t="s">
        <v>130</v>
      </c>
      <c r="CG26" s="99"/>
      <c r="CH26" s="99" t="s">
        <v>131</v>
      </c>
      <c r="CI26" s="99"/>
      <c r="CJ26" s="99"/>
      <c r="CK26" s="99"/>
      <c r="CL26" s="99"/>
      <c r="CM26" s="99"/>
      <c r="CN26" s="99"/>
      <c r="CO26" s="99"/>
      <c r="CP26" s="99"/>
      <c r="CQ26" s="99"/>
      <c r="CR26" s="99"/>
      <c r="CS26" s="99" t="s">
        <v>146</v>
      </c>
      <c r="CT26" s="99" t="s">
        <v>133</v>
      </c>
      <c r="CU26" s="99" t="s">
        <v>134</v>
      </c>
      <c r="CV26" s="99"/>
    </row>
    <row r="27" spans="1:100" x14ac:dyDescent="0.2">
      <c r="A27" s="175" t="b">
        <v>0</v>
      </c>
      <c r="B27" s="175" t="b">
        <v>0</v>
      </c>
      <c r="C27" s="175" t="b">
        <v>1</v>
      </c>
      <c r="D27" s="175" t="b">
        <v>0</v>
      </c>
      <c r="E27" s="175" t="b">
        <v>0</v>
      </c>
      <c r="F27" s="175" t="b">
        <v>1</v>
      </c>
      <c r="G27" s="195" t="s">
        <v>380</v>
      </c>
      <c r="H27" s="99" t="s">
        <v>444</v>
      </c>
      <c r="I27" s="99" t="s">
        <v>445</v>
      </c>
      <c r="J27" s="99" t="s">
        <v>329</v>
      </c>
      <c r="K27" s="99" t="s">
        <v>441</v>
      </c>
      <c r="L27" s="99" t="s">
        <v>148</v>
      </c>
      <c r="M27" s="99"/>
      <c r="N27" s="99" t="s">
        <v>442</v>
      </c>
      <c r="O27" s="99"/>
      <c r="P27" s="99"/>
      <c r="Q27" s="99" t="s">
        <v>443</v>
      </c>
      <c r="R27" s="99" t="s">
        <v>108</v>
      </c>
      <c r="S27" s="99"/>
      <c r="T27" s="99"/>
      <c r="U27" s="99" t="s">
        <v>149</v>
      </c>
      <c r="V27" s="99"/>
      <c r="W27" s="99" t="s">
        <v>112</v>
      </c>
      <c r="X27" s="99" t="s">
        <v>112</v>
      </c>
      <c r="Y27" s="99" t="s">
        <v>217</v>
      </c>
      <c r="Z27" s="99" t="s">
        <v>114</v>
      </c>
      <c r="AA27" s="99" t="s">
        <v>115</v>
      </c>
      <c r="AB27" s="99"/>
      <c r="AC27" s="99"/>
      <c r="AD27" s="99" t="s">
        <v>115</v>
      </c>
      <c r="AE27" s="99" t="s">
        <v>116</v>
      </c>
      <c r="AF27" s="99"/>
      <c r="AG27" s="99"/>
      <c r="AH27" s="99" t="s">
        <v>116</v>
      </c>
      <c r="AI27" s="101"/>
      <c r="AJ27" s="101" t="s">
        <v>446</v>
      </c>
      <c r="AK27" s="99"/>
      <c r="AL27" s="99"/>
      <c r="AM27" s="99"/>
      <c r="AN27" s="99"/>
      <c r="AO27" s="99"/>
      <c r="AP27" s="99"/>
      <c r="AQ27" s="99"/>
      <c r="AR27" s="99"/>
      <c r="AS27" s="99"/>
      <c r="AT27" s="99" t="s">
        <v>341</v>
      </c>
      <c r="AU27" s="100" t="str">
        <f>IF($AT27="","",IFERROR(INDEX(InstructorMap!$B:$B, MATCH($AT27, InstructorMap!$A:$A, 0)),""))</f>
        <v>ainsworj@andrews.edu</v>
      </c>
      <c r="AV27" s="100" t="str">
        <f>IF($AT27="","",IFERROR(INDEX(InstructorMap!$C:$C, MATCH($AT27, InstructorMap!$A:$A, 0)),""))</f>
        <v>000079312</v>
      </c>
      <c r="AW27" s="99" t="s">
        <v>121</v>
      </c>
      <c r="AX27" s="99" t="s">
        <v>348</v>
      </c>
      <c r="AY27" s="99"/>
      <c r="AZ27" s="99"/>
      <c r="BA27" s="99"/>
      <c r="BB27" s="99"/>
      <c r="BC27" s="194" t="s">
        <v>349</v>
      </c>
      <c r="BD27" s="194" t="s">
        <v>350</v>
      </c>
      <c r="BE27" s="194" t="s">
        <v>111</v>
      </c>
      <c r="BF27" s="99"/>
      <c r="BG27" s="99"/>
      <c r="BH27" s="99" t="s">
        <v>329</v>
      </c>
      <c r="BI27" s="99" t="s">
        <v>124</v>
      </c>
      <c r="BJ27" s="99" t="s">
        <v>125</v>
      </c>
      <c r="BK27" s="99"/>
      <c r="BL27" s="99" t="s">
        <v>126</v>
      </c>
      <c r="BM27" s="99"/>
      <c r="BN27" s="99"/>
      <c r="BO27" s="99" t="s">
        <v>127</v>
      </c>
      <c r="BP27" s="99"/>
      <c r="BQ27" s="99"/>
      <c r="BR27" s="99"/>
      <c r="BS27" s="99"/>
      <c r="BT27" s="99" t="s">
        <v>128</v>
      </c>
      <c r="BU27" s="99" t="s">
        <v>129</v>
      </c>
      <c r="BV27" s="99" t="s">
        <v>129</v>
      </c>
      <c r="BW27" s="99" t="s">
        <v>130</v>
      </c>
      <c r="BX27" s="99"/>
      <c r="BY27" s="99"/>
      <c r="BZ27" s="99"/>
      <c r="CA27" s="99"/>
      <c r="CB27" s="99"/>
      <c r="CC27" s="99"/>
      <c r="CD27" s="99"/>
      <c r="CE27" s="99"/>
      <c r="CF27" s="99" t="s">
        <v>130</v>
      </c>
      <c r="CG27" s="99"/>
      <c r="CH27" s="99"/>
      <c r="CI27" s="99"/>
      <c r="CJ27" s="99"/>
      <c r="CK27" s="99"/>
      <c r="CL27" s="99"/>
      <c r="CM27" s="99"/>
      <c r="CN27" s="99"/>
      <c r="CO27" s="99"/>
      <c r="CP27" s="99"/>
      <c r="CQ27" s="99"/>
      <c r="CR27" s="99"/>
      <c r="CS27" s="101" t="s">
        <v>147</v>
      </c>
      <c r="CT27" s="99" t="s">
        <v>133</v>
      </c>
      <c r="CU27" s="99" t="s">
        <v>134</v>
      </c>
      <c r="CV27" s="99"/>
    </row>
    <row r="28" spans="1:100" x14ac:dyDescent="0.2">
      <c r="A28" s="175" t="b">
        <v>0</v>
      </c>
      <c r="B28" s="175" t="b">
        <v>0</v>
      </c>
      <c r="C28" s="175" t="b">
        <v>1</v>
      </c>
      <c r="D28" s="175" t="b">
        <v>0</v>
      </c>
      <c r="E28" s="175" t="b">
        <v>0</v>
      </c>
      <c r="F28" s="175" t="b">
        <v>1</v>
      </c>
      <c r="G28" s="113" t="s">
        <v>447</v>
      </c>
      <c r="H28" s="99" t="s">
        <v>448</v>
      </c>
      <c r="I28" s="99" t="s">
        <v>449</v>
      </c>
      <c r="J28" s="99" t="s">
        <v>329</v>
      </c>
      <c r="K28" s="99" t="s">
        <v>441</v>
      </c>
      <c r="L28" s="99" t="s">
        <v>105</v>
      </c>
      <c r="M28" s="99"/>
      <c r="N28" s="99" t="s">
        <v>442</v>
      </c>
      <c r="O28" s="99"/>
      <c r="P28" s="99"/>
      <c r="Q28" s="99" t="s">
        <v>443</v>
      </c>
      <c r="R28" s="99" t="s">
        <v>108</v>
      </c>
      <c r="S28" s="113" t="s">
        <v>108</v>
      </c>
      <c r="T28" s="99"/>
      <c r="U28" s="99" t="s">
        <v>110</v>
      </c>
      <c r="V28" s="99"/>
      <c r="W28" s="99" t="s">
        <v>112</v>
      </c>
      <c r="X28" s="99"/>
      <c r="Y28" s="113" t="s">
        <v>203</v>
      </c>
      <c r="Z28" s="99" t="s">
        <v>114</v>
      </c>
      <c r="AA28" s="99" t="s">
        <v>115</v>
      </c>
      <c r="AB28" s="99"/>
      <c r="AC28" s="99"/>
      <c r="AD28" s="99" t="s">
        <v>115</v>
      </c>
      <c r="AE28" s="99" t="s">
        <v>116</v>
      </c>
      <c r="AF28" s="99"/>
      <c r="AG28" s="99"/>
      <c r="AH28" s="99" t="s">
        <v>116</v>
      </c>
      <c r="AI28" s="113" t="s">
        <v>175</v>
      </c>
      <c r="AJ28" s="113" t="s">
        <v>176</v>
      </c>
      <c r="AK28" s="99"/>
      <c r="AL28" s="99"/>
      <c r="AM28" s="99"/>
      <c r="AN28" s="99" t="s">
        <v>177</v>
      </c>
      <c r="AO28" s="99"/>
      <c r="AP28" s="99"/>
      <c r="AQ28" s="99"/>
      <c r="AR28" s="99"/>
      <c r="AS28" s="99"/>
      <c r="AT28" s="99" t="s">
        <v>341</v>
      </c>
      <c r="AU28" s="100" t="str">
        <f>IF($AT28="","",IFERROR(INDEX(InstructorMap!$B:$B, MATCH($AT28, InstructorMap!$A:$A, 0)),""))</f>
        <v>ainsworj@andrews.edu</v>
      </c>
      <c r="AV28" s="100" t="str">
        <f>IF($AT28="","",IFERROR(INDEX(InstructorMap!$C:$C, MATCH($AT28, InstructorMap!$A:$A, 0)),""))</f>
        <v>000079312</v>
      </c>
      <c r="AW28" s="99" t="s">
        <v>121</v>
      </c>
      <c r="AX28" s="99" t="s">
        <v>348</v>
      </c>
      <c r="AY28" s="99"/>
      <c r="AZ28" s="99"/>
      <c r="BA28" s="99"/>
      <c r="BB28" s="99"/>
      <c r="BC28" s="194" t="s">
        <v>349</v>
      </c>
      <c r="BD28" s="194" t="s">
        <v>350</v>
      </c>
      <c r="BE28" s="194" t="s">
        <v>111</v>
      </c>
      <c r="BF28" s="99"/>
      <c r="BG28" s="99"/>
      <c r="BH28" s="99" t="s">
        <v>351</v>
      </c>
      <c r="BI28" s="99" t="s">
        <v>124</v>
      </c>
      <c r="BJ28" s="99" t="s">
        <v>125</v>
      </c>
      <c r="BK28" s="99"/>
      <c r="BL28" s="99" t="s">
        <v>126</v>
      </c>
      <c r="BM28" s="99"/>
      <c r="BN28" s="99"/>
      <c r="BO28" s="99" t="s">
        <v>127</v>
      </c>
      <c r="BP28" s="99"/>
      <c r="BQ28" s="99"/>
      <c r="BR28" s="99"/>
      <c r="BS28" s="99"/>
      <c r="BT28" s="99" t="s">
        <v>128</v>
      </c>
      <c r="BU28" s="99" t="s">
        <v>129</v>
      </c>
      <c r="BV28" s="99" t="s">
        <v>129</v>
      </c>
      <c r="BW28" s="99" t="s">
        <v>130</v>
      </c>
      <c r="BX28" s="99" t="s">
        <v>131</v>
      </c>
      <c r="BY28" s="99"/>
      <c r="BZ28" s="99"/>
      <c r="CA28" s="99"/>
      <c r="CB28" s="99"/>
      <c r="CC28" s="99"/>
      <c r="CD28" s="99"/>
      <c r="CE28" s="99"/>
      <c r="CF28" s="99" t="s">
        <v>130</v>
      </c>
      <c r="CG28" s="99"/>
      <c r="CH28" s="99"/>
      <c r="CI28" s="99"/>
      <c r="CJ28" s="99"/>
      <c r="CK28" s="99"/>
      <c r="CL28" s="99"/>
      <c r="CM28" s="99"/>
      <c r="CN28" s="99"/>
      <c r="CO28" s="99"/>
      <c r="CP28" s="99"/>
      <c r="CQ28" s="99"/>
      <c r="CR28" s="99"/>
      <c r="CS28" s="99" t="s">
        <v>132</v>
      </c>
      <c r="CT28" s="99" t="s">
        <v>133</v>
      </c>
      <c r="CU28" s="99" t="s">
        <v>134</v>
      </c>
      <c r="CV28" s="99"/>
    </row>
    <row r="29" spans="1:100" x14ac:dyDescent="0.2">
      <c r="A29" s="97" t="b">
        <v>0</v>
      </c>
      <c r="B29" s="97" t="b">
        <v>0</v>
      </c>
      <c r="C29" s="97" t="b">
        <v>1</v>
      </c>
      <c r="D29" s="97" t="b">
        <v>0</v>
      </c>
      <c r="E29" s="97" t="b">
        <v>0</v>
      </c>
      <c r="F29" s="97" t="b">
        <v>1</v>
      </c>
      <c r="G29" s="98"/>
      <c r="H29" s="99"/>
      <c r="I29" s="99" t="s">
        <v>450</v>
      </c>
      <c r="J29" s="99" t="s">
        <v>329</v>
      </c>
      <c r="K29" s="99" t="s">
        <v>207</v>
      </c>
      <c r="L29" s="99" t="s">
        <v>137</v>
      </c>
      <c r="M29" s="99"/>
      <c r="N29" s="99" t="s">
        <v>451</v>
      </c>
      <c r="O29" s="99"/>
      <c r="P29" s="99"/>
      <c r="Q29" s="99"/>
      <c r="R29" s="99"/>
      <c r="S29" s="99"/>
      <c r="T29" s="99"/>
      <c r="U29" s="99"/>
      <c r="V29" s="99"/>
      <c r="W29" s="99"/>
      <c r="X29" s="99" t="s">
        <v>290</v>
      </c>
      <c r="Y29" s="101"/>
      <c r="Z29" s="99"/>
      <c r="AA29" s="99" t="s">
        <v>115</v>
      </c>
      <c r="AB29" s="99"/>
      <c r="AC29" s="99"/>
      <c r="AD29" s="99" t="s">
        <v>115</v>
      </c>
      <c r="AE29" s="99" t="s">
        <v>116</v>
      </c>
      <c r="AF29" s="99"/>
      <c r="AG29" s="99"/>
      <c r="AH29" s="99" t="s">
        <v>116</v>
      </c>
      <c r="AI29" s="101"/>
      <c r="AJ29" s="101"/>
      <c r="AK29" s="99"/>
      <c r="AL29" s="101"/>
      <c r="AM29" s="101"/>
      <c r="AN29" s="101"/>
      <c r="AO29" s="101"/>
      <c r="AP29" s="99"/>
      <c r="AQ29" s="99"/>
      <c r="AR29" s="99"/>
      <c r="AS29" s="99"/>
      <c r="AT29" s="99" t="s">
        <v>379</v>
      </c>
      <c r="AU29" s="100" t="str">
        <f>IF($AT29="","",IFERROR(INDEX(InstructorMap!$B:$B, MATCH($AT29, InstructorMap!$A:$A, 0)),""))</f>
        <v>sward@andrews.edu</v>
      </c>
      <c r="AV29" s="100" t="str">
        <f>IF($AT29="","",IFERROR(INDEX(InstructorMap!$C:$C, MATCH($AT29, InstructorMap!$A:$A, 0)),""))</f>
        <v>000077973</v>
      </c>
      <c r="AW29" s="99"/>
      <c r="AX29" s="99"/>
      <c r="AY29" s="99"/>
      <c r="AZ29" s="99"/>
      <c r="BA29" s="99"/>
      <c r="BB29" s="99"/>
      <c r="BC29" s="99"/>
      <c r="BD29" s="99"/>
      <c r="BE29" s="99"/>
      <c r="BF29" s="99"/>
      <c r="BG29" s="99"/>
      <c r="BH29" s="99" t="s">
        <v>329</v>
      </c>
      <c r="BI29" s="99"/>
      <c r="BJ29" s="99"/>
      <c r="BK29" s="99"/>
      <c r="BL29" s="99"/>
      <c r="BM29" s="99"/>
      <c r="BN29" s="99"/>
      <c r="BO29" s="99"/>
      <c r="BP29" s="99"/>
      <c r="BQ29" s="99"/>
      <c r="BR29" s="99"/>
      <c r="BS29" s="99"/>
      <c r="BT29" s="99"/>
      <c r="BU29" s="99"/>
      <c r="BV29" s="99"/>
      <c r="BW29" s="99"/>
      <c r="BX29" s="99"/>
      <c r="BY29" s="99"/>
      <c r="BZ29" s="99"/>
      <c r="CA29" s="99"/>
      <c r="CB29" s="99"/>
      <c r="CC29" s="99"/>
      <c r="CD29" s="99"/>
      <c r="CE29" s="99"/>
      <c r="CF29" s="99"/>
      <c r="CG29" s="99"/>
      <c r="CH29" s="99"/>
      <c r="CI29" s="99"/>
      <c r="CJ29" s="99"/>
      <c r="CK29" s="99"/>
      <c r="CL29" s="99"/>
      <c r="CM29" s="99"/>
      <c r="CN29" s="99"/>
      <c r="CO29" s="99"/>
      <c r="CP29" s="99"/>
      <c r="CQ29" s="99"/>
      <c r="CR29" s="99"/>
      <c r="CS29" s="101" t="s">
        <v>147</v>
      </c>
      <c r="CT29" s="99" t="s">
        <v>133</v>
      </c>
      <c r="CU29" s="99"/>
      <c r="CV29" s="99"/>
    </row>
    <row r="30" spans="1:100" x14ac:dyDescent="0.2">
      <c r="A30" s="105" t="b">
        <v>0</v>
      </c>
      <c r="B30" s="105" t="b">
        <v>0</v>
      </c>
      <c r="C30" s="105" t="b">
        <v>1</v>
      </c>
      <c r="D30" s="105" t="b">
        <v>0</v>
      </c>
      <c r="E30" s="105" t="b">
        <v>0</v>
      </c>
      <c r="F30" s="105" t="b">
        <v>1</v>
      </c>
      <c r="G30" s="106"/>
      <c r="H30" s="106" t="s">
        <v>452</v>
      </c>
      <c r="I30" s="106" t="s">
        <v>453</v>
      </c>
      <c r="J30" s="106" t="s">
        <v>329</v>
      </c>
      <c r="K30" s="106" t="s">
        <v>454</v>
      </c>
      <c r="L30" s="106" t="s">
        <v>137</v>
      </c>
      <c r="M30" s="106"/>
      <c r="N30" s="106" t="s">
        <v>455</v>
      </c>
      <c r="O30" s="106" t="s">
        <v>456</v>
      </c>
      <c r="P30" s="106"/>
      <c r="Q30" s="106"/>
      <c r="R30" s="106" t="s">
        <v>129</v>
      </c>
      <c r="S30" s="106"/>
      <c r="T30" s="106"/>
      <c r="U30" s="106"/>
      <c r="V30" s="106"/>
      <c r="W30" s="106" t="s">
        <v>247</v>
      </c>
      <c r="X30" s="106" t="s">
        <v>134</v>
      </c>
      <c r="Y30" s="106" t="s">
        <v>113</v>
      </c>
      <c r="Z30" s="106" t="s">
        <v>142</v>
      </c>
      <c r="AA30" s="106" t="s">
        <v>115</v>
      </c>
      <c r="AB30" s="106"/>
      <c r="AC30" s="106"/>
      <c r="AD30" s="106" t="s">
        <v>115</v>
      </c>
      <c r="AE30" s="106" t="s">
        <v>116</v>
      </c>
      <c r="AF30" s="106"/>
      <c r="AG30" s="106"/>
      <c r="AH30" s="106" t="s">
        <v>116</v>
      </c>
      <c r="AI30" s="106"/>
      <c r="AJ30" s="106"/>
      <c r="AK30" s="106"/>
      <c r="AL30" s="106"/>
      <c r="AM30" s="106"/>
      <c r="AN30" s="106"/>
      <c r="AO30" s="106"/>
      <c r="AP30" s="106"/>
      <c r="AQ30" s="106"/>
      <c r="AR30" s="106"/>
      <c r="AS30" s="106"/>
      <c r="AT30" s="106" t="s">
        <v>359</v>
      </c>
      <c r="AU30" s="107" t="str">
        <f>IF($AT30="","",IFERROR(INDEX(InstructorMap!$B:$B, MATCH($AT30, InstructorMap!$A:$A, 0)),""))</f>
        <v>rpaquini@andrews.edu</v>
      </c>
      <c r="AV30" s="107" t="str">
        <f>IF($AT30="","",IFERROR(INDEX(InstructorMap!$C:$C, MATCH($AT30, InstructorMap!$A:$A, 0)),""))</f>
        <v>000105171</v>
      </c>
      <c r="AW30" s="106" t="s">
        <v>121</v>
      </c>
      <c r="AX30" s="106"/>
      <c r="AY30" s="106"/>
      <c r="AZ30" s="106"/>
      <c r="BA30" s="106"/>
      <c r="BB30" s="106"/>
      <c r="BC30" s="106"/>
      <c r="BD30" s="106"/>
      <c r="BE30" s="106"/>
      <c r="BF30" s="106"/>
      <c r="BG30" s="106"/>
      <c r="BH30" s="106" t="s">
        <v>351</v>
      </c>
      <c r="BI30" s="106" t="s">
        <v>124</v>
      </c>
      <c r="BJ30" s="106" t="s">
        <v>125</v>
      </c>
      <c r="BK30" s="106" t="s">
        <v>134</v>
      </c>
      <c r="BL30" s="106" t="s">
        <v>125</v>
      </c>
      <c r="BM30" s="106"/>
      <c r="BN30" s="106"/>
      <c r="BO30" s="106" t="s">
        <v>127</v>
      </c>
      <c r="BP30" s="106"/>
      <c r="BQ30" s="106"/>
      <c r="BR30" s="106"/>
      <c r="BS30" s="106"/>
      <c r="BT30" s="106" t="s">
        <v>128</v>
      </c>
      <c r="BU30" s="106" t="s">
        <v>129</v>
      </c>
      <c r="BV30" s="106" t="s">
        <v>129</v>
      </c>
      <c r="BW30" s="106" t="s">
        <v>130</v>
      </c>
      <c r="BX30" s="106"/>
      <c r="BY30" s="106"/>
      <c r="BZ30" s="106"/>
      <c r="CA30" s="106"/>
      <c r="CB30" s="106"/>
      <c r="CC30" s="106"/>
      <c r="CD30" s="106"/>
      <c r="CE30" s="106"/>
      <c r="CF30" s="106" t="s">
        <v>130</v>
      </c>
      <c r="CG30" s="106"/>
      <c r="CH30" s="106"/>
      <c r="CI30" s="106"/>
      <c r="CJ30" s="106"/>
      <c r="CK30" s="106"/>
      <c r="CL30" s="106"/>
      <c r="CM30" s="106"/>
      <c r="CN30" s="106"/>
      <c r="CO30" s="106"/>
      <c r="CP30" s="106"/>
      <c r="CQ30" s="106"/>
      <c r="CR30" s="106"/>
      <c r="CS30" s="106" t="s">
        <v>132</v>
      </c>
      <c r="CT30" s="106" t="s">
        <v>133</v>
      </c>
      <c r="CU30" s="106" t="s">
        <v>134</v>
      </c>
      <c r="CV30" s="106"/>
    </row>
    <row r="31" spans="1:100" x14ac:dyDescent="0.2">
      <c r="A31" s="175" t="b">
        <v>0</v>
      </c>
      <c r="B31" s="175" t="b">
        <v>0</v>
      </c>
      <c r="C31" s="175" t="b">
        <v>1</v>
      </c>
      <c r="D31" s="175" t="b">
        <v>0</v>
      </c>
      <c r="E31" s="175" t="b">
        <v>0</v>
      </c>
      <c r="F31" s="175" t="b">
        <v>0</v>
      </c>
      <c r="G31" s="174" t="s">
        <v>457</v>
      </c>
      <c r="H31" s="99" t="s">
        <v>458</v>
      </c>
      <c r="I31" s="99" t="s">
        <v>459</v>
      </c>
      <c r="J31" s="99" t="s">
        <v>329</v>
      </c>
      <c r="K31" s="99" t="s">
        <v>460</v>
      </c>
      <c r="L31" s="99" t="s">
        <v>137</v>
      </c>
      <c r="M31" s="99"/>
      <c r="N31" s="99" t="s">
        <v>461</v>
      </c>
      <c r="O31" s="99"/>
      <c r="P31" s="99"/>
      <c r="Q31" s="99"/>
      <c r="R31" s="99" t="s">
        <v>129</v>
      </c>
      <c r="S31" s="99"/>
      <c r="T31" s="99"/>
      <c r="U31" s="99" t="s">
        <v>140</v>
      </c>
      <c r="V31" s="99"/>
      <c r="W31" s="99" t="s">
        <v>112</v>
      </c>
      <c r="X31" s="113" t="s">
        <v>150</v>
      </c>
      <c r="Y31" s="99" t="s">
        <v>174</v>
      </c>
      <c r="Z31" s="99" t="s">
        <v>142</v>
      </c>
      <c r="AA31" s="99" t="s">
        <v>115</v>
      </c>
      <c r="AB31" s="99"/>
      <c r="AC31" s="99"/>
      <c r="AD31" s="99" t="s">
        <v>115</v>
      </c>
      <c r="AE31" s="99" t="s">
        <v>116</v>
      </c>
      <c r="AF31" s="99"/>
      <c r="AG31" s="99"/>
      <c r="AH31" s="99" t="s">
        <v>116</v>
      </c>
      <c r="AI31" s="99" t="s">
        <v>357</v>
      </c>
      <c r="AJ31" s="99" t="s">
        <v>358</v>
      </c>
      <c r="AK31" s="99"/>
      <c r="AL31" s="99"/>
      <c r="AM31" s="99"/>
      <c r="AN31" s="99" t="s">
        <v>177</v>
      </c>
      <c r="AO31" s="99"/>
      <c r="AP31" s="99"/>
      <c r="AQ31" s="99"/>
      <c r="AR31" s="99" t="s">
        <v>422</v>
      </c>
      <c r="AS31" s="99" t="s">
        <v>144</v>
      </c>
      <c r="AT31" s="113" t="s">
        <v>462</v>
      </c>
      <c r="AU31" s="100" t="str">
        <f>IF($AT31="","",IFERROR(INDEX(InstructorMap!$B:$B, MATCH($AT31, InstructorMap!$A:$A, 0)),""))</f>
        <v>benjaminm@andrews.edu</v>
      </c>
      <c r="AV31" s="100" t="str">
        <f>IF($AT31="","",IFERROR(INDEX(InstructorMap!$C:$C, MATCH($AT31, InstructorMap!$A:$A, 0)),""))</f>
        <v>000155484</v>
      </c>
      <c r="AW31" s="99" t="s">
        <v>121</v>
      </c>
      <c r="AX31" s="113" t="s">
        <v>160</v>
      </c>
      <c r="AY31" s="113" t="s">
        <v>161</v>
      </c>
      <c r="AZ31" s="113" t="s">
        <v>463</v>
      </c>
      <c r="BA31" s="99"/>
      <c r="BB31" s="99"/>
      <c r="BC31" s="99"/>
      <c r="BD31" s="99"/>
      <c r="BE31" s="99"/>
      <c r="BF31" s="99"/>
      <c r="BG31" s="99"/>
      <c r="BH31" s="99" t="s">
        <v>329</v>
      </c>
      <c r="BI31" s="99" t="s">
        <v>124</v>
      </c>
      <c r="BJ31" s="99" t="s">
        <v>125</v>
      </c>
      <c r="BK31" s="99"/>
      <c r="BL31" s="99" t="s">
        <v>125</v>
      </c>
      <c r="BM31" s="99"/>
      <c r="BN31" s="99"/>
      <c r="BO31" s="99" t="s">
        <v>127</v>
      </c>
      <c r="BP31" s="99"/>
      <c r="BQ31" s="99"/>
      <c r="BR31" s="99"/>
      <c r="BS31" s="99"/>
      <c r="BT31" s="99" t="s">
        <v>128</v>
      </c>
      <c r="BU31" s="99" t="s">
        <v>129</v>
      </c>
      <c r="BV31" s="99" t="s">
        <v>129</v>
      </c>
      <c r="BW31" s="99"/>
      <c r="BX31" s="99"/>
      <c r="BY31" s="99"/>
      <c r="BZ31" s="99"/>
      <c r="CA31" s="99"/>
      <c r="CB31" s="99"/>
      <c r="CC31" s="99"/>
      <c r="CD31" s="99"/>
      <c r="CE31" s="99"/>
      <c r="CF31" s="99" t="s">
        <v>130</v>
      </c>
      <c r="CG31" s="99"/>
      <c r="CH31" s="99"/>
      <c r="CI31" s="99"/>
      <c r="CJ31" s="99"/>
      <c r="CK31" s="99"/>
      <c r="CL31" s="99"/>
      <c r="CM31" s="99"/>
      <c r="CN31" s="99"/>
      <c r="CO31" s="99"/>
      <c r="CP31" s="99"/>
      <c r="CQ31" s="99"/>
      <c r="CR31" s="99"/>
      <c r="CS31" s="99" t="s">
        <v>146</v>
      </c>
      <c r="CT31" s="99" t="s">
        <v>133</v>
      </c>
      <c r="CU31" s="99" t="s">
        <v>134</v>
      </c>
      <c r="CV31" s="99"/>
    </row>
    <row r="32" spans="1:100" x14ac:dyDescent="0.2">
      <c r="A32" s="175" t="b">
        <v>0</v>
      </c>
      <c r="B32" s="175" t="b">
        <v>0</v>
      </c>
      <c r="C32" s="175" t="b">
        <v>1</v>
      </c>
      <c r="D32" s="175" t="b">
        <v>0</v>
      </c>
      <c r="E32" s="175" t="b">
        <v>0</v>
      </c>
      <c r="F32" s="175" t="b">
        <v>1</v>
      </c>
      <c r="G32" s="174" t="s">
        <v>464</v>
      </c>
      <c r="H32" s="99" t="s">
        <v>465</v>
      </c>
      <c r="I32" s="99" t="s">
        <v>466</v>
      </c>
      <c r="J32" s="99" t="s">
        <v>329</v>
      </c>
      <c r="K32" s="99" t="s">
        <v>460</v>
      </c>
      <c r="L32" s="99" t="s">
        <v>148</v>
      </c>
      <c r="M32" s="99"/>
      <c r="N32" s="99" t="s">
        <v>461</v>
      </c>
      <c r="O32" s="99"/>
      <c r="P32" s="99"/>
      <c r="Q32" s="99"/>
      <c r="R32" s="99" t="s">
        <v>108</v>
      </c>
      <c r="S32" s="99"/>
      <c r="T32" s="99"/>
      <c r="U32" s="99" t="s">
        <v>149</v>
      </c>
      <c r="V32" s="99"/>
      <c r="W32" s="99" t="s">
        <v>112</v>
      </c>
      <c r="X32" s="101"/>
      <c r="Y32" s="101"/>
      <c r="Z32" s="99" t="s">
        <v>114</v>
      </c>
      <c r="AA32" s="99" t="s">
        <v>115</v>
      </c>
      <c r="AB32" s="99"/>
      <c r="AC32" s="99"/>
      <c r="AD32" s="99" t="s">
        <v>115</v>
      </c>
      <c r="AE32" s="99" t="s">
        <v>116</v>
      </c>
      <c r="AF32" s="99"/>
      <c r="AG32" s="99"/>
      <c r="AH32" s="99" t="s">
        <v>116</v>
      </c>
      <c r="AI32" s="101"/>
      <c r="AJ32" s="101"/>
      <c r="AK32" s="99"/>
      <c r="AL32" s="99"/>
      <c r="AM32" s="99"/>
      <c r="AN32" s="99"/>
      <c r="AO32" s="99"/>
      <c r="AP32" s="99"/>
      <c r="AQ32" s="99"/>
      <c r="AR32" s="99"/>
      <c r="AS32" s="99"/>
      <c r="AT32" s="112" t="s">
        <v>462</v>
      </c>
      <c r="AU32" s="100" t="str">
        <f>IF($AT32="","",IFERROR(INDEX(InstructorMap!$B:$B, MATCH($AT32, InstructorMap!$A:$A, 0)),""))</f>
        <v>benjaminm@andrews.edu</v>
      </c>
      <c r="AV32" s="100" t="str">
        <f>IF($AT32="","",IFERROR(INDEX(InstructorMap!$C:$C, MATCH($AT32, InstructorMap!$A:$A, 0)),""))</f>
        <v>000155484</v>
      </c>
      <c r="AW32" s="99" t="s">
        <v>121</v>
      </c>
      <c r="AX32" s="113" t="s">
        <v>348</v>
      </c>
      <c r="AY32" s="99"/>
      <c r="AZ32" s="99"/>
      <c r="BA32" s="99"/>
      <c r="BB32" s="99"/>
      <c r="BC32" s="194" t="s">
        <v>349</v>
      </c>
      <c r="BD32" s="194" t="s">
        <v>350</v>
      </c>
      <c r="BE32" s="194" t="s">
        <v>111</v>
      </c>
      <c r="BF32" s="99"/>
      <c r="BG32" s="99"/>
      <c r="BH32" s="99" t="s">
        <v>329</v>
      </c>
      <c r="BI32" s="99" t="s">
        <v>124</v>
      </c>
      <c r="BJ32" s="99" t="s">
        <v>125</v>
      </c>
      <c r="BK32" s="99"/>
      <c r="BL32" s="99" t="s">
        <v>126</v>
      </c>
      <c r="BM32" s="99"/>
      <c r="BN32" s="99"/>
      <c r="BO32" s="99" t="s">
        <v>127</v>
      </c>
      <c r="BP32" s="99"/>
      <c r="BQ32" s="99"/>
      <c r="BR32" s="99"/>
      <c r="BS32" s="99"/>
      <c r="BT32" s="99" t="s">
        <v>128</v>
      </c>
      <c r="BU32" s="99" t="s">
        <v>129</v>
      </c>
      <c r="BV32" s="99" t="s">
        <v>129</v>
      </c>
      <c r="BW32" s="99"/>
      <c r="BX32" s="99"/>
      <c r="BY32" s="99"/>
      <c r="BZ32" s="99"/>
      <c r="CA32" s="99"/>
      <c r="CB32" s="99"/>
      <c r="CC32" s="99"/>
      <c r="CD32" s="99"/>
      <c r="CE32" s="99"/>
      <c r="CF32" s="99" t="s">
        <v>130</v>
      </c>
      <c r="CG32" s="99"/>
      <c r="CH32" s="99"/>
      <c r="CI32" s="99"/>
      <c r="CJ32" s="99"/>
      <c r="CK32" s="99"/>
      <c r="CL32" s="99"/>
      <c r="CM32" s="99"/>
      <c r="CN32" s="99"/>
      <c r="CO32" s="99"/>
      <c r="CP32" s="99"/>
      <c r="CQ32" s="99"/>
      <c r="CR32" s="99"/>
      <c r="CS32" s="101" t="s">
        <v>147</v>
      </c>
      <c r="CT32" s="99" t="s">
        <v>133</v>
      </c>
      <c r="CU32" s="99" t="s">
        <v>134</v>
      </c>
      <c r="CV32" s="99"/>
    </row>
    <row r="33" spans="1:100" x14ac:dyDescent="0.2">
      <c r="A33" s="175" t="b">
        <v>0</v>
      </c>
      <c r="B33" s="175" t="b">
        <v>0</v>
      </c>
      <c r="C33" s="175" t="b">
        <v>1</v>
      </c>
      <c r="D33" s="175" t="b">
        <v>0</v>
      </c>
      <c r="E33" s="175" t="b">
        <v>0</v>
      </c>
      <c r="F33" s="175" t="b">
        <v>1</v>
      </c>
      <c r="G33" s="113" t="s">
        <v>467</v>
      </c>
      <c r="H33" s="99" t="s">
        <v>468</v>
      </c>
      <c r="I33" s="99" t="s">
        <v>469</v>
      </c>
      <c r="J33" s="99" t="s">
        <v>329</v>
      </c>
      <c r="K33" s="99" t="s">
        <v>460</v>
      </c>
      <c r="L33" s="99" t="s">
        <v>105</v>
      </c>
      <c r="M33" s="99"/>
      <c r="N33" s="99" t="s">
        <v>461</v>
      </c>
      <c r="O33" s="99"/>
      <c r="P33" s="99"/>
      <c r="Q33" s="99"/>
      <c r="R33" s="99" t="s">
        <v>108</v>
      </c>
      <c r="S33" s="113" t="s">
        <v>108</v>
      </c>
      <c r="T33" s="99"/>
      <c r="U33" s="99" t="s">
        <v>110</v>
      </c>
      <c r="V33" s="99"/>
      <c r="W33" s="99" t="s">
        <v>112</v>
      </c>
      <c r="X33" s="99"/>
      <c r="Y33" s="99" t="s">
        <v>217</v>
      </c>
      <c r="Z33" s="99" t="s">
        <v>114</v>
      </c>
      <c r="AA33" s="99" t="s">
        <v>115</v>
      </c>
      <c r="AB33" s="99"/>
      <c r="AC33" s="99"/>
      <c r="AD33" s="99" t="s">
        <v>115</v>
      </c>
      <c r="AE33" s="99" t="s">
        <v>116</v>
      </c>
      <c r="AF33" s="99"/>
      <c r="AG33" s="99"/>
      <c r="AH33" s="99" t="s">
        <v>116</v>
      </c>
      <c r="AI33" s="113" t="s">
        <v>357</v>
      </c>
      <c r="AJ33" s="113" t="s">
        <v>358</v>
      </c>
      <c r="AK33" s="99"/>
      <c r="AL33" s="99"/>
      <c r="AM33" s="99"/>
      <c r="AN33" s="113" t="s">
        <v>470</v>
      </c>
      <c r="AO33" s="99" t="s">
        <v>446</v>
      </c>
      <c r="AP33" s="99"/>
      <c r="AQ33" s="99"/>
      <c r="AR33" s="99"/>
      <c r="AS33" s="99"/>
      <c r="AT33" s="113" t="s">
        <v>462</v>
      </c>
      <c r="AU33" s="100" t="str">
        <f>IF($AT33="","",IFERROR(INDEX(InstructorMap!$B:$B, MATCH($AT33, InstructorMap!$A:$A, 0)),""))</f>
        <v>benjaminm@andrews.edu</v>
      </c>
      <c r="AV33" s="100" t="str">
        <f>IF($AT33="","",IFERROR(INDEX(InstructorMap!$C:$C, MATCH($AT33, InstructorMap!$A:$A, 0)),""))</f>
        <v>000155484</v>
      </c>
      <c r="AW33" s="99" t="s">
        <v>121</v>
      </c>
      <c r="AX33" s="113" t="s">
        <v>348</v>
      </c>
      <c r="AY33" s="99"/>
      <c r="AZ33" s="99"/>
      <c r="BA33" s="99"/>
      <c r="BB33" s="99"/>
      <c r="BC33" s="194" t="s">
        <v>349</v>
      </c>
      <c r="BD33" s="194" t="s">
        <v>350</v>
      </c>
      <c r="BE33" s="194" t="s">
        <v>111</v>
      </c>
      <c r="BF33" s="99"/>
      <c r="BG33" s="99"/>
      <c r="BH33" s="99" t="s">
        <v>351</v>
      </c>
      <c r="BI33" s="99" t="s">
        <v>124</v>
      </c>
      <c r="BJ33" s="99" t="s">
        <v>125</v>
      </c>
      <c r="BK33" s="99"/>
      <c r="BL33" s="99" t="s">
        <v>126</v>
      </c>
      <c r="BM33" s="99"/>
      <c r="BN33" s="99"/>
      <c r="BO33" s="99" t="s">
        <v>127</v>
      </c>
      <c r="BP33" s="99"/>
      <c r="BQ33" s="99"/>
      <c r="BR33" s="99"/>
      <c r="BS33" s="99"/>
      <c r="BT33" s="99" t="s">
        <v>128</v>
      </c>
      <c r="BU33" s="99" t="s">
        <v>129</v>
      </c>
      <c r="BV33" s="99" t="s">
        <v>129</v>
      </c>
      <c r="BW33" s="99"/>
      <c r="BX33" s="99"/>
      <c r="BY33" s="99"/>
      <c r="BZ33" s="99"/>
      <c r="CA33" s="99"/>
      <c r="CB33" s="99"/>
      <c r="CC33" s="99"/>
      <c r="CD33" s="99"/>
      <c r="CE33" s="99"/>
      <c r="CF33" s="99" t="s">
        <v>130</v>
      </c>
      <c r="CG33" s="99"/>
      <c r="CH33" s="99"/>
      <c r="CI33" s="99"/>
      <c r="CJ33" s="99"/>
      <c r="CK33" s="99"/>
      <c r="CL33" s="99"/>
      <c r="CM33" s="99"/>
      <c r="CN33" s="99"/>
      <c r="CO33" s="99"/>
      <c r="CP33" s="99"/>
      <c r="CQ33" s="99"/>
      <c r="CR33" s="99"/>
      <c r="CS33" s="99" t="s">
        <v>132</v>
      </c>
      <c r="CT33" s="99" t="s">
        <v>133</v>
      </c>
      <c r="CU33" s="99" t="s">
        <v>134</v>
      </c>
      <c r="CV33" s="99"/>
    </row>
    <row r="34" spans="1:100" x14ac:dyDescent="0.2">
      <c r="A34" s="97" t="b">
        <v>0</v>
      </c>
      <c r="B34" s="97" t="b">
        <v>0</v>
      </c>
      <c r="C34" s="97" t="b">
        <v>1</v>
      </c>
      <c r="D34" s="97" t="b">
        <v>0</v>
      </c>
      <c r="E34" s="97" t="b">
        <v>0</v>
      </c>
      <c r="F34" s="97" t="b">
        <v>1</v>
      </c>
      <c r="G34" s="98"/>
      <c r="H34" s="99"/>
      <c r="I34" s="99" t="s">
        <v>471</v>
      </c>
      <c r="J34" s="99" t="s">
        <v>329</v>
      </c>
      <c r="K34" s="99" t="s">
        <v>472</v>
      </c>
      <c r="L34" s="99" t="s">
        <v>137</v>
      </c>
      <c r="M34" s="99"/>
      <c r="N34" s="99" t="s">
        <v>473</v>
      </c>
      <c r="O34" s="99"/>
      <c r="P34" s="99"/>
      <c r="Q34" s="99"/>
      <c r="R34" s="99"/>
      <c r="S34" s="99"/>
      <c r="T34" s="99"/>
      <c r="U34" s="99"/>
      <c r="V34" s="99"/>
      <c r="W34" s="99"/>
      <c r="X34" s="99" t="s">
        <v>290</v>
      </c>
      <c r="Y34" s="101"/>
      <c r="Z34" s="99"/>
      <c r="AA34" s="99" t="s">
        <v>115</v>
      </c>
      <c r="AB34" s="99"/>
      <c r="AC34" s="99"/>
      <c r="AD34" s="99" t="s">
        <v>115</v>
      </c>
      <c r="AE34" s="99" t="s">
        <v>116</v>
      </c>
      <c r="AF34" s="99"/>
      <c r="AG34" s="99"/>
      <c r="AH34" s="99" t="s">
        <v>116</v>
      </c>
      <c r="AI34" s="101"/>
      <c r="AJ34" s="101"/>
      <c r="AK34" s="99"/>
      <c r="AL34" s="101"/>
      <c r="AM34" s="101"/>
      <c r="AN34" s="101"/>
      <c r="AO34" s="101"/>
      <c r="AP34" s="99"/>
      <c r="AQ34" s="99"/>
      <c r="AR34" s="99"/>
      <c r="AS34" s="99"/>
      <c r="AT34" s="99" t="s">
        <v>359</v>
      </c>
      <c r="AU34" s="100" t="str">
        <f>IF($AT34="","",IFERROR(INDEX(InstructorMap!$B:$B, MATCH($AT34, InstructorMap!$A:$A, 0)),""))</f>
        <v>rpaquini@andrews.edu</v>
      </c>
      <c r="AV34" s="100" t="str">
        <f>IF($AT34="","",IFERROR(INDEX(InstructorMap!$C:$C, MATCH($AT34, InstructorMap!$A:$A, 0)),""))</f>
        <v>000105171</v>
      </c>
      <c r="AW34" s="99"/>
      <c r="AX34" s="99"/>
      <c r="AY34" s="99"/>
      <c r="AZ34" s="99"/>
      <c r="BA34" s="99"/>
      <c r="BB34" s="99"/>
      <c r="BC34" s="99"/>
      <c r="BD34" s="99"/>
      <c r="BE34" s="99"/>
      <c r="BF34" s="99"/>
      <c r="BG34" s="99"/>
      <c r="BH34" s="99" t="s">
        <v>329</v>
      </c>
      <c r="BI34" s="99"/>
      <c r="BJ34" s="99"/>
      <c r="BK34" s="99"/>
      <c r="BL34" s="99"/>
      <c r="BM34" s="99"/>
      <c r="BN34" s="99"/>
      <c r="BO34" s="99"/>
      <c r="BP34" s="99"/>
      <c r="BQ34" s="99"/>
      <c r="BR34" s="99"/>
      <c r="BS34" s="99"/>
      <c r="BT34" s="99"/>
      <c r="BU34" s="99"/>
      <c r="BV34" s="99"/>
      <c r="BW34" s="99"/>
      <c r="BX34" s="99"/>
      <c r="BY34" s="99"/>
      <c r="BZ34" s="99"/>
      <c r="CA34" s="99"/>
      <c r="CB34" s="99"/>
      <c r="CC34" s="99"/>
      <c r="CD34" s="99"/>
      <c r="CE34" s="99"/>
      <c r="CF34" s="99"/>
      <c r="CG34" s="99"/>
      <c r="CH34" s="99"/>
      <c r="CI34" s="99"/>
      <c r="CJ34" s="99"/>
      <c r="CK34" s="99"/>
      <c r="CL34" s="99"/>
      <c r="CM34" s="99"/>
      <c r="CN34" s="99"/>
      <c r="CO34" s="99"/>
      <c r="CP34" s="99"/>
      <c r="CQ34" s="99"/>
      <c r="CR34" s="99"/>
      <c r="CS34" s="101" t="s">
        <v>147</v>
      </c>
      <c r="CT34" s="99" t="s">
        <v>133</v>
      </c>
      <c r="CU34" s="99"/>
      <c r="CV34" s="99"/>
    </row>
    <row r="35" spans="1:100" x14ac:dyDescent="0.2">
      <c r="A35" s="97" t="b">
        <v>0</v>
      </c>
      <c r="B35" s="97" t="b">
        <v>0</v>
      </c>
      <c r="C35" s="97" t="b">
        <v>1</v>
      </c>
      <c r="D35" s="97" t="b">
        <v>0</v>
      </c>
      <c r="E35" s="97" t="b">
        <v>0</v>
      </c>
      <c r="F35" s="97" t="b">
        <v>1</v>
      </c>
      <c r="G35" s="98"/>
      <c r="H35" s="99" t="s">
        <v>474</v>
      </c>
      <c r="I35" s="99" t="s">
        <v>475</v>
      </c>
      <c r="J35" s="99" t="s">
        <v>329</v>
      </c>
      <c r="K35" s="99" t="s">
        <v>476</v>
      </c>
      <c r="L35" s="99" t="s">
        <v>137</v>
      </c>
      <c r="M35" s="99"/>
      <c r="N35" s="99" t="s">
        <v>477</v>
      </c>
      <c r="O35" s="99"/>
      <c r="P35" s="99"/>
      <c r="Q35" s="99"/>
      <c r="R35" s="99" t="s">
        <v>129</v>
      </c>
      <c r="S35" s="99"/>
      <c r="T35" s="99"/>
      <c r="U35" s="99" t="s">
        <v>140</v>
      </c>
      <c r="V35" s="99"/>
      <c r="W35" s="99" t="s">
        <v>478</v>
      </c>
      <c r="X35" s="99" t="s">
        <v>479</v>
      </c>
      <c r="Y35" s="101"/>
      <c r="Z35" s="99" t="s">
        <v>142</v>
      </c>
      <c r="AA35" s="99" t="s">
        <v>115</v>
      </c>
      <c r="AB35" s="99"/>
      <c r="AC35" s="99"/>
      <c r="AD35" s="99" t="s">
        <v>480</v>
      </c>
      <c r="AE35" s="99" t="s">
        <v>116</v>
      </c>
      <c r="AF35" s="99"/>
      <c r="AG35" s="99"/>
      <c r="AH35" s="99" t="s">
        <v>116</v>
      </c>
      <c r="AI35" s="101"/>
      <c r="AJ35" s="101"/>
      <c r="AK35" s="99"/>
      <c r="AL35" s="101"/>
      <c r="AM35" s="101"/>
      <c r="AN35" s="101"/>
      <c r="AO35" s="101"/>
      <c r="AP35" s="99"/>
      <c r="AQ35" s="99"/>
      <c r="AR35" s="99"/>
      <c r="AS35" s="99"/>
      <c r="AT35" s="99" t="s">
        <v>341</v>
      </c>
      <c r="AU35" s="100" t="str">
        <f>IF($AT35="","",IFERROR(INDEX(InstructorMap!$B:$B, MATCH($AT35, InstructorMap!$A:$A, 0)),""))</f>
        <v>ainsworj@andrews.edu</v>
      </c>
      <c r="AV35" s="100" t="str">
        <f>IF($AT35="","",IFERROR(INDEX(InstructorMap!$C:$C, MATCH($AT35, InstructorMap!$A:$A, 0)),""))</f>
        <v>000079312</v>
      </c>
      <c r="AW35" s="99" t="s">
        <v>121</v>
      </c>
      <c r="AX35" s="99" t="s">
        <v>122</v>
      </c>
      <c r="AY35" s="99"/>
      <c r="AZ35" s="99"/>
      <c r="BA35" s="99"/>
      <c r="BB35" s="99"/>
      <c r="BC35" s="99"/>
      <c r="BD35" s="99"/>
      <c r="BE35" s="99"/>
      <c r="BF35" s="99"/>
      <c r="BG35" s="99"/>
      <c r="BH35" s="99" t="s">
        <v>329</v>
      </c>
      <c r="BI35" s="99" t="s">
        <v>124</v>
      </c>
      <c r="BJ35" s="99" t="s">
        <v>125</v>
      </c>
      <c r="BK35" s="99"/>
      <c r="BL35" s="99" t="s">
        <v>481</v>
      </c>
      <c r="BM35" s="99"/>
      <c r="BN35" s="99"/>
      <c r="BO35" s="99" t="s">
        <v>127</v>
      </c>
      <c r="BP35" s="99"/>
      <c r="BQ35" s="99"/>
      <c r="BR35" s="99"/>
      <c r="BS35" s="99"/>
      <c r="BT35" s="99" t="s">
        <v>128</v>
      </c>
      <c r="BU35" s="99" t="s">
        <v>129</v>
      </c>
      <c r="BV35" s="99" t="s">
        <v>129</v>
      </c>
      <c r="BW35" s="99" t="s">
        <v>130</v>
      </c>
      <c r="BX35" s="99"/>
      <c r="BY35" s="99"/>
      <c r="BZ35" s="99"/>
      <c r="CA35" s="99"/>
      <c r="CB35" s="99"/>
      <c r="CC35" s="99"/>
      <c r="CD35" s="99"/>
      <c r="CE35" s="99"/>
      <c r="CF35" s="99" t="s">
        <v>130</v>
      </c>
      <c r="CG35" s="99"/>
      <c r="CH35" s="99"/>
      <c r="CI35" s="99"/>
      <c r="CJ35" s="99"/>
      <c r="CK35" s="99"/>
      <c r="CL35" s="99"/>
      <c r="CM35" s="99"/>
      <c r="CN35" s="99"/>
      <c r="CO35" s="99"/>
      <c r="CP35" s="99"/>
      <c r="CQ35" s="99"/>
      <c r="CR35" s="99"/>
      <c r="CS35" s="101" t="s">
        <v>147</v>
      </c>
      <c r="CT35" s="99" t="s">
        <v>133</v>
      </c>
      <c r="CU35" s="99" t="s">
        <v>134</v>
      </c>
      <c r="CV35" s="99"/>
    </row>
    <row r="36" spans="1:100" x14ac:dyDescent="0.2">
      <c r="A36" s="97" t="b">
        <v>0</v>
      </c>
      <c r="B36" s="97" t="b">
        <v>0</v>
      </c>
      <c r="C36" s="97" t="b">
        <v>0</v>
      </c>
      <c r="D36" s="97" t="b">
        <v>0</v>
      </c>
      <c r="E36" s="97" t="b">
        <v>0</v>
      </c>
      <c r="F36" s="97" t="b">
        <v>0</v>
      </c>
      <c r="G36" s="98"/>
      <c r="H36" s="99" t="s">
        <v>482</v>
      </c>
      <c r="I36" s="99" t="s">
        <v>483</v>
      </c>
      <c r="J36" s="99" t="s">
        <v>329</v>
      </c>
      <c r="K36" s="99" t="s">
        <v>484</v>
      </c>
      <c r="L36" s="99" t="s">
        <v>137</v>
      </c>
      <c r="M36" s="99"/>
      <c r="N36" s="99" t="s">
        <v>485</v>
      </c>
      <c r="O36" s="99"/>
      <c r="P36" s="99"/>
      <c r="Q36" s="99" t="s">
        <v>486</v>
      </c>
      <c r="R36" s="99" t="s">
        <v>129</v>
      </c>
      <c r="S36" s="99"/>
      <c r="T36" s="99"/>
      <c r="U36" s="99" t="s">
        <v>140</v>
      </c>
      <c r="V36" s="99"/>
      <c r="W36" s="99" t="s">
        <v>173</v>
      </c>
      <c r="X36" s="99" t="s">
        <v>173</v>
      </c>
      <c r="Y36" s="99" t="s">
        <v>217</v>
      </c>
      <c r="Z36" s="99" t="s">
        <v>142</v>
      </c>
      <c r="AA36" s="99" t="s">
        <v>115</v>
      </c>
      <c r="AB36" s="99"/>
      <c r="AC36" s="99"/>
      <c r="AD36" s="99" t="s">
        <v>115</v>
      </c>
      <c r="AE36" s="99" t="s">
        <v>116</v>
      </c>
      <c r="AF36" s="99"/>
      <c r="AG36" s="99"/>
      <c r="AH36" s="99" t="s">
        <v>116</v>
      </c>
      <c r="AI36" s="99" t="s">
        <v>117</v>
      </c>
      <c r="AJ36" s="99" t="s">
        <v>118</v>
      </c>
      <c r="AK36" s="99"/>
      <c r="AL36" s="99"/>
      <c r="AM36" s="99"/>
      <c r="AN36" s="99"/>
      <c r="AO36" s="99" t="s">
        <v>221</v>
      </c>
      <c r="AP36" s="99"/>
      <c r="AQ36" s="99"/>
      <c r="AR36" s="99" t="s">
        <v>178</v>
      </c>
      <c r="AS36" s="99" t="s">
        <v>144</v>
      </c>
      <c r="AT36" s="99" t="s">
        <v>341</v>
      </c>
      <c r="AU36" s="100" t="str">
        <f>IF($AT36="","",IFERROR(INDEX(InstructorMap!$B:$B, MATCH($AT36, InstructorMap!$A:$A, 0)),""))</f>
        <v>ainsworj@andrews.edu</v>
      </c>
      <c r="AV36" s="100" t="str">
        <f>IF($AT36="","",IFERROR(INDEX(InstructorMap!$C:$C, MATCH($AT36, InstructorMap!$A:$A, 0)),""))</f>
        <v>000079312</v>
      </c>
      <c r="AW36" s="99" t="s">
        <v>121</v>
      </c>
      <c r="AX36" s="99" t="s">
        <v>348</v>
      </c>
      <c r="AY36" s="99"/>
      <c r="AZ36" s="99"/>
      <c r="BA36" s="99"/>
      <c r="BB36" s="99"/>
      <c r="BC36" s="99"/>
      <c r="BD36" s="99"/>
      <c r="BE36" s="99"/>
      <c r="BF36" s="99"/>
      <c r="BG36" s="99"/>
      <c r="BH36" s="99" t="s">
        <v>329</v>
      </c>
      <c r="BI36" s="99" t="s">
        <v>124</v>
      </c>
      <c r="BJ36" s="99" t="s">
        <v>125</v>
      </c>
      <c r="BK36" s="99"/>
      <c r="BL36" s="99" t="s">
        <v>125</v>
      </c>
      <c r="BM36" s="99"/>
      <c r="BN36" s="99"/>
      <c r="BO36" s="99" t="s">
        <v>127</v>
      </c>
      <c r="BP36" s="99"/>
      <c r="BQ36" s="99"/>
      <c r="BR36" s="99"/>
      <c r="BS36" s="99"/>
      <c r="BT36" s="99" t="s">
        <v>128</v>
      </c>
      <c r="BU36" s="99" t="s">
        <v>129</v>
      </c>
      <c r="BV36" s="99" t="s">
        <v>129</v>
      </c>
      <c r="BW36" s="99" t="s">
        <v>130</v>
      </c>
      <c r="BX36" s="99"/>
      <c r="BY36" s="99"/>
      <c r="BZ36" s="99"/>
      <c r="CA36" s="99"/>
      <c r="CB36" s="99"/>
      <c r="CC36" s="99"/>
      <c r="CD36" s="99"/>
      <c r="CE36" s="99"/>
      <c r="CF36" s="99" t="s">
        <v>130</v>
      </c>
      <c r="CG36" s="99"/>
      <c r="CH36" s="99"/>
      <c r="CI36" s="99"/>
      <c r="CJ36" s="99"/>
      <c r="CK36" s="99"/>
      <c r="CL36" s="99"/>
      <c r="CM36" s="99"/>
      <c r="CN36" s="99"/>
      <c r="CO36" s="99"/>
      <c r="CP36" s="99"/>
      <c r="CQ36" s="99"/>
      <c r="CR36" s="99"/>
      <c r="CS36" s="99" t="s">
        <v>146</v>
      </c>
      <c r="CT36" s="99" t="s">
        <v>133</v>
      </c>
      <c r="CU36" s="99" t="s">
        <v>134</v>
      </c>
      <c r="CV36" s="99"/>
    </row>
    <row r="37" spans="1:100" x14ac:dyDescent="0.2">
      <c r="A37" s="175" t="b">
        <v>0</v>
      </c>
      <c r="B37" s="175" t="b">
        <v>0</v>
      </c>
      <c r="C37" s="175" t="b">
        <v>1</v>
      </c>
      <c r="D37" s="175" t="b">
        <v>0</v>
      </c>
      <c r="E37" s="175" t="b">
        <v>0</v>
      </c>
      <c r="F37" s="175" t="b">
        <v>1</v>
      </c>
      <c r="G37" s="113" t="s">
        <v>487</v>
      </c>
      <c r="H37" s="99" t="s">
        <v>488</v>
      </c>
      <c r="I37" s="99" t="s">
        <v>489</v>
      </c>
      <c r="J37" s="99" t="s">
        <v>329</v>
      </c>
      <c r="K37" s="99" t="s">
        <v>484</v>
      </c>
      <c r="L37" s="99" t="s">
        <v>105</v>
      </c>
      <c r="M37" s="99"/>
      <c r="N37" s="99" t="s">
        <v>490</v>
      </c>
      <c r="O37" s="99"/>
      <c r="P37" s="99"/>
      <c r="Q37" s="99" t="s">
        <v>486</v>
      </c>
      <c r="R37" s="99" t="s">
        <v>108</v>
      </c>
      <c r="S37" s="113" t="s">
        <v>108</v>
      </c>
      <c r="T37" s="99"/>
      <c r="U37" s="99" t="s">
        <v>110</v>
      </c>
      <c r="V37" s="99"/>
      <c r="W37" s="99" t="s">
        <v>173</v>
      </c>
      <c r="X37" s="99"/>
      <c r="Y37" s="99" t="s">
        <v>113</v>
      </c>
      <c r="Z37" s="99" t="s">
        <v>114</v>
      </c>
      <c r="AA37" s="99" t="s">
        <v>115</v>
      </c>
      <c r="AB37" s="99"/>
      <c r="AC37" s="99"/>
      <c r="AD37" s="99" t="s">
        <v>115</v>
      </c>
      <c r="AE37" s="99" t="s">
        <v>116</v>
      </c>
      <c r="AF37" s="99"/>
      <c r="AG37" s="99"/>
      <c r="AH37" s="99" t="s">
        <v>116</v>
      </c>
      <c r="AI37" s="99" t="s">
        <v>117</v>
      </c>
      <c r="AJ37" s="99" t="s">
        <v>118</v>
      </c>
      <c r="AK37" s="99"/>
      <c r="AL37" s="99"/>
      <c r="AM37" s="180" t="s">
        <v>211</v>
      </c>
      <c r="AN37" s="99"/>
      <c r="AO37" s="113" t="s">
        <v>221</v>
      </c>
      <c r="AP37" s="99"/>
      <c r="AQ37" s="99"/>
      <c r="AR37" s="99"/>
      <c r="AS37" s="99"/>
      <c r="AT37" s="99" t="s">
        <v>334</v>
      </c>
      <c r="AU37" s="100" t="str">
        <f>IF($AT37="","",IFERROR(INDEX(InstructorMap!$B:$B, MATCH($AT37, InstructorMap!$A:$A, 0)),""))</f>
        <v>fraserj@andrews.edu</v>
      </c>
      <c r="AV37" s="100" t="str">
        <f>IF($AT37="","",IFERROR(INDEX(InstructorMap!$C:$C, MATCH($AT37, InstructorMap!$A:$A, 0)),""))</f>
        <v>000129106</v>
      </c>
      <c r="AW37" s="99" t="s">
        <v>121</v>
      </c>
      <c r="AX37" s="99"/>
      <c r="AY37" s="99"/>
      <c r="AZ37" s="99"/>
      <c r="BA37" s="99"/>
      <c r="BB37" s="99"/>
      <c r="BC37" s="194" t="s">
        <v>349</v>
      </c>
      <c r="BD37" s="194" t="s">
        <v>350</v>
      </c>
      <c r="BE37" s="194" t="s">
        <v>111</v>
      </c>
      <c r="BF37" s="99"/>
      <c r="BG37" s="99"/>
      <c r="BH37" s="99" t="s">
        <v>351</v>
      </c>
      <c r="BI37" s="99" t="s">
        <v>124</v>
      </c>
      <c r="BJ37" s="99" t="s">
        <v>125</v>
      </c>
      <c r="BK37" s="99"/>
      <c r="BL37" s="99" t="s">
        <v>126</v>
      </c>
      <c r="BM37" s="99"/>
      <c r="BN37" s="99"/>
      <c r="BO37" s="99" t="s">
        <v>127</v>
      </c>
      <c r="BP37" s="99"/>
      <c r="BQ37" s="99"/>
      <c r="BR37" s="99"/>
      <c r="BS37" s="99"/>
      <c r="BT37" s="99" t="s">
        <v>128</v>
      </c>
      <c r="BU37" s="99" t="s">
        <v>129</v>
      </c>
      <c r="BV37" s="99" t="s">
        <v>129</v>
      </c>
      <c r="BW37" s="99" t="s">
        <v>130</v>
      </c>
      <c r="BX37" s="99" t="s">
        <v>131</v>
      </c>
      <c r="BY37" s="99"/>
      <c r="BZ37" s="99"/>
      <c r="CA37" s="99"/>
      <c r="CB37" s="99"/>
      <c r="CC37" s="99"/>
      <c r="CD37" s="99"/>
      <c r="CE37" s="99"/>
      <c r="CF37" s="99" t="s">
        <v>130</v>
      </c>
      <c r="CG37" s="99"/>
      <c r="CH37" s="99"/>
      <c r="CI37" s="99"/>
      <c r="CJ37" s="99"/>
      <c r="CK37" s="99"/>
      <c r="CL37" s="99"/>
      <c r="CM37" s="99"/>
      <c r="CN37" s="99"/>
      <c r="CO37" s="99"/>
      <c r="CP37" s="99"/>
      <c r="CQ37" s="99"/>
      <c r="CR37" s="99"/>
      <c r="CS37" s="99" t="s">
        <v>132</v>
      </c>
      <c r="CT37" s="99" t="s">
        <v>133</v>
      </c>
      <c r="CU37" s="99" t="s">
        <v>134</v>
      </c>
      <c r="CV37" s="99"/>
    </row>
    <row r="38" spans="1:100" x14ac:dyDescent="0.2">
      <c r="A38" s="105" t="b">
        <v>0</v>
      </c>
      <c r="B38" s="105" t="b">
        <v>0</v>
      </c>
      <c r="C38" s="105" t="b">
        <v>1</v>
      </c>
      <c r="D38" s="105" t="b">
        <v>0</v>
      </c>
      <c r="E38" s="105" t="b">
        <v>0</v>
      </c>
      <c r="F38" s="105" t="b">
        <v>0</v>
      </c>
      <c r="G38" s="106"/>
      <c r="H38" s="106" t="s">
        <v>491</v>
      </c>
      <c r="I38" s="106" t="s">
        <v>492</v>
      </c>
      <c r="J38" s="106" t="s">
        <v>329</v>
      </c>
      <c r="K38" s="106" t="s">
        <v>493</v>
      </c>
      <c r="L38" s="106" t="s">
        <v>255</v>
      </c>
      <c r="M38" s="106"/>
      <c r="N38" s="106" t="s">
        <v>494</v>
      </c>
      <c r="O38" s="106"/>
      <c r="P38" s="106"/>
      <c r="Q38" s="106"/>
      <c r="R38" s="106" t="s">
        <v>129</v>
      </c>
      <c r="S38" s="106"/>
      <c r="T38" s="106"/>
      <c r="U38" s="106"/>
      <c r="V38" s="106"/>
      <c r="W38" s="106" t="s">
        <v>495</v>
      </c>
      <c r="X38" s="106"/>
      <c r="Y38" s="106" t="s">
        <v>148</v>
      </c>
      <c r="Z38" s="106" t="s">
        <v>142</v>
      </c>
      <c r="AA38" s="106" t="s">
        <v>115</v>
      </c>
      <c r="AB38" s="106"/>
      <c r="AC38" s="106"/>
      <c r="AD38" s="106" t="s">
        <v>115</v>
      </c>
      <c r="AE38" s="106" t="s">
        <v>116</v>
      </c>
      <c r="AF38" s="106"/>
      <c r="AG38" s="106"/>
      <c r="AH38" s="106" t="s">
        <v>116</v>
      </c>
      <c r="AI38" s="106"/>
      <c r="AJ38" s="106"/>
      <c r="AK38" s="106"/>
      <c r="AL38" s="106"/>
      <c r="AM38" s="106"/>
      <c r="AN38" s="106"/>
      <c r="AO38" s="106"/>
      <c r="AP38" s="106"/>
      <c r="AQ38" s="106"/>
      <c r="AR38" s="106"/>
      <c r="AS38" s="106"/>
      <c r="AT38" s="106" t="s">
        <v>334</v>
      </c>
      <c r="AU38" s="107" t="str">
        <f>IF($AT38="","",IFERROR(INDEX(InstructorMap!$B:$B, MATCH($AT38, InstructorMap!$A:$A, 0)),""))</f>
        <v>fraserj@andrews.edu</v>
      </c>
      <c r="AV38" s="107" t="str">
        <f>IF($AT38="","",IFERROR(INDEX(InstructorMap!$C:$C, MATCH($AT38, InstructorMap!$A:$A, 0)),""))</f>
        <v>000129106</v>
      </c>
      <c r="AW38" s="106" t="s">
        <v>121</v>
      </c>
      <c r="AX38" s="106"/>
      <c r="AY38" s="106"/>
      <c r="AZ38" s="106"/>
      <c r="BA38" s="106"/>
      <c r="BB38" s="106"/>
      <c r="BC38" s="106"/>
      <c r="BD38" s="106"/>
      <c r="BE38" s="106"/>
      <c r="BF38" s="106"/>
      <c r="BG38" s="106"/>
      <c r="BH38" s="106" t="s">
        <v>351</v>
      </c>
      <c r="BI38" s="106" t="s">
        <v>124</v>
      </c>
      <c r="BJ38" s="106" t="s">
        <v>125</v>
      </c>
      <c r="BK38" s="106"/>
      <c r="BL38" s="106" t="s">
        <v>249</v>
      </c>
      <c r="BM38" s="106"/>
      <c r="BN38" s="106"/>
      <c r="BO38" s="106" t="s">
        <v>127</v>
      </c>
      <c r="BP38" s="106"/>
      <c r="BQ38" s="106"/>
      <c r="BR38" s="106"/>
      <c r="BS38" s="106"/>
      <c r="BT38" s="106" t="s">
        <v>128</v>
      </c>
      <c r="BU38" s="106" t="s">
        <v>129</v>
      </c>
      <c r="BV38" s="106" t="s">
        <v>129</v>
      </c>
      <c r="BW38" s="106" t="s">
        <v>130</v>
      </c>
      <c r="BX38" s="106"/>
      <c r="BY38" s="106"/>
      <c r="BZ38" s="106"/>
      <c r="CA38" s="106"/>
      <c r="CB38" s="106"/>
      <c r="CC38" s="106"/>
      <c r="CD38" s="106"/>
      <c r="CE38" s="106"/>
      <c r="CF38" s="106" t="s">
        <v>130</v>
      </c>
      <c r="CG38" s="106"/>
      <c r="CH38" s="106"/>
      <c r="CI38" s="106"/>
      <c r="CJ38" s="106"/>
      <c r="CK38" s="106"/>
      <c r="CL38" s="106"/>
      <c r="CM38" s="106"/>
      <c r="CN38" s="106"/>
      <c r="CO38" s="106"/>
      <c r="CP38" s="106"/>
      <c r="CQ38" s="106"/>
      <c r="CR38" s="106" t="s">
        <v>315</v>
      </c>
      <c r="CS38" s="106" t="s">
        <v>132</v>
      </c>
      <c r="CT38" s="106" t="s">
        <v>133</v>
      </c>
      <c r="CU38" s="106" t="s">
        <v>134</v>
      </c>
      <c r="CV38" s="106"/>
    </row>
    <row r="39" spans="1:100" x14ac:dyDescent="0.2">
      <c r="A39" s="105" t="b">
        <v>0</v>
      </c>
      <c r="B39" s="105" t="b">
        <v>0</v>
      </c>
      <c r="C39" s="105" t="b">
        <v>1</v>
      </c>
      <c r="D39" s="105" t="b">
        <v>0</v>
      </c>
      <c r="E39" s="105" t="b">
        <v>0</v>
      </c>
      <c r="F39" s="105" t="b">
        <v>0</v>
      </c>
      <c r="G39" s="106"/>
      <c r="H39" s="106" t="s">
        <v>496</v>
      </c>
      <c r="I39" s="106" t="s">
        <v>497</v>
      </c>
      <c r="J39" s="106" t="s">
        <v>329</v>
      </c>
      <c r="K39" s="106" t="s">
        <v>498</v>
      </c>
      <c r="L39" s="106" t="s">
        <v>137</v>
      </c>
      <c r="M39" s="106"/>
      <c r="N39" s="106" t="s">
        <v>499</v>
      </c>
      <c r="O39" s="106" t="s">
        <v>499</v>
      </c>
      <c r="P39" s="106"/>
      <c r="Q39" s="106"/>
      <c r="R39" s="106" t="s">
        <v>129</v>
      </c>
      <c r="S39" s="106"/>
      <c r="T39" s="106"/>
      <c r="U39" s="106"/>
      <c r="V39" s="106"/>
      <c r="W39" s="106" t="s">
        <v>129</v>
      </c>
      <c r="X39" s="106"/>
      <c r="Y39" s="106" t="s">
        <v>148</v>
      </c>
      <c r="Z39" s="106" t="s">
        <v>142</v>
      </c>
      <c r="AA39" s="106" t="s">
        <v>115</v>
      </c>
      <c r="AB39" s="106"/>
      <c r="AC39" s="106"/>
      <c r="AD39" s="106" t="s">
        <v>115</v>
      </c>
      <c r="AE39" s="106" t="s">
        <v>116</v>
      </c>
      <c r="AF39" s="106"/>
      <c r="AG39" s="106"/>
      <c r="AH39" s="106" t="s">
        <v>116</v>
      </c>
      <c r="AI39" s="106"/>
      <c r="AJ39" s="106"/>
      <c r="AK39" s="106"/>
      <c r="AL39" s="106"/>
      <c r="AM39" s="106"/>
      <c r="AN39" s="106"/>
      <c r="AO39" s="106"/>
      <c r="AP39" s="106"/>
      <c r="AQ39" s="106"/>
      <c r="AR39" s="106"/>
      <c r="AS39" s="106"/>
      <c r="AT39" s="106" t="s">
        <v>334</v>
      </c>
      <c r="AU39" s="107" t="str">
        <f>IF($AT39="","",IFERROR(INDEX(InstructorMap!$B:$B, MATCH($AT39, InstructorMap!$A:$A, 0)),""))</f>
        <v>fraserj@andrews.edu</v>
      </c>
      <c r="AV39" s="107" t="str">
        <f>IF($AT39="","",IFERROR(INDEX(InstructorMap!$C:$C, MATCH($AT39, InstructorMap!$A:$A, 0)),""))</f>
        <v>000129106</v>
      </c>
      <c r="AW39" s="106" t="s">
        <v>121</v>
      </c>
      <c r="AX39" s="106"/>
      <c r="AY39" s="106"/>
      <c r="AZ39" s="106"/>
      <c r="BA39" s="106"/>
      <c r="BB39" s="106"/>
      <c r="BC39" s="106"/>
      <c r="BD39" s="106"/>
      <c r="BE39" s="106"/>
      <c r="BF39" s="106"/>
      <c r="BG39" s="106"/>
      <c r="BH39" s="106" t="s">
        <v>351</v>
      </c>
      <c r="BI39" s="106" t="s">
        <v>124</v>
      </c>
      <c r="BJ39" s="106" t="s">
        <v>125</v>
      </c>
      <c r="BK39" s="106"/>
      <c r="BL39" s="106" t="s">
        <v>125</v>
      </c>
      <c r="BM39" s="106"/>
      <c r="BN39" s="106"/>
      <c r="BO39" s="106" t="s">
        <v>127</v>
      </c>
      <c r="BP39" s="106"/>
      <c r="BQ39" s="106"/>
      <c r="BR39" s="106"/>
      <c r="BS39" s="106"/>
      <c r="BT39" s="106" t="s">
        <v>128</v>
      </c>
      <c r="BU39" s="106" t="s">
        <v>129</v>
      </c>
      <c r="BV39" s="106" t="s">
        <v>129</v>
      </c>
      <c r="BW39" s="106" t="s">
        <v>130</v>
      </c>
      <c r="BX39" s="106"/>
      <c r="BY39" s="106"/>
      <c r="BZ39" s="106"/>
      <c r="CA39" s="106"/>
      <c r="CB39" s="106"/>
      <c r="CC39" s="106"/>
      <c r="CD39" s="106"/>
      <c r="CE39" s="106"/>
      <c r="CF39" s="106" t="s">
        <v>130</v>
      </c>
      <c r="CG39" s="106"/>
      <c r="CH39" s="106"/>
      <c r="CI39" s="106"/>
      <c r="CJ39" s="106"/>
      <c r="CK39" s="106"/>
      <c r="CL39" s="106"/>
      <c r="CM39" s="106"/>
      <c r="CN39" s="106"/>
      <c r="CO39" s="106"/>
      <c r="CP39" s="106"/>
      <c r="CQ39" s="106"/>
      <c r="CR39" s="106"/>
      <c r="CS39" s="106" t="s">
        <v>132</v>
      </c>
      <c r="CT39" s="106" t="s">
        <v>133</v>
      </c>
      <c r="CU39" s="106" t="s">
        <v>134</v>
      </c>
      <c r="CV39" s="106"/>
    </row>
    <row r="40" spans="1:100" x14ac:dyDescent="0.2">
      <c r="A40" s="105" t="b">
        <v>0</v>
      </c>
      <c r="B40" s="105" t="b">
        <v>0</v>
      </c>
      <c r="C40" s="105" t="b">
        <v>1</v>
      </c>
      <c r="D40" s="105" t="b">
        <v>0</v>
      </c>
      <c r="E40" s="105" t="b">
        <v>0</v>
      </c>
      <c r="F40" s="105" t="b">
        <v>0</v>
      </c>
      <c r="G40" s="106"/>
      <c r="H40" s="106" t="s">
        <v>500</v>
      </c>
      <c r="I40" s="106" t="s">
        <v>501</v>
      </c>
      <c r="J40" s="106" t="s">
        <v>329</v>
      </c>
      <c r="K40" s="106" t="s">
        <v>263</v>
      </c>
      <c r="L40" s="106" t="s">
        <v>137</v>
      </c>
      <c r="M40" s="106"/>
      <c r="N40" s="106" t="s">
        <v>502</v>
      </c>
      <c r="O40" s="106" t="s">
        <v>502</v>
      </c>
      <c r="P40" s="106"/>
      <c r="Q40" s="106"/>
      <c r="R40" s="106" t="s">
        <v>129</v>
      </c>
      <c r="S40" s="106"/>
      <c r="T40" s="106"/>
      <c r="U40" s="106"/>
      <c r="V40" s="106"/>
      <c r="W40" s="106" t="s">
        <v>129</v>
      </c>
      <c r="X40" s="106"/>
      <c r="Y40" s="106" t="s">
        <v>148</v>
      </c>
      <c r="Z40" s="106" t="s">
        <v>142</v>
      </c>
      <c r="AA40" s="106" t="s">
        <v>115</v>
      </c>
      <c r="AB40" s="106"/>
      <c r="AC40" s="106"/>
      <c r="AD40" s="106" t="s">
        <v>115</v>
      </c>
      <c r="AE40" s="106" t="s">
        <v>116</v>
      </c>
      <c r="AF40" s="106"/>
      <c r="AG40" s="106"/>
      <c r="AH40" s="106" t="s">
        <v>116</v>
      </c>
      <c r="AI40" s="106"/>
      <c r="AJ40" s="106"/>
      <c r="AK40" s="106"/>
      <c r="AL40" s="106"/>
      <c r="AM40" s="106"/>
      <c r="AN40" s="106"/>
      <c r="AO40" s="106"/>
      <c r="AP40" s="106"/>
      <c r="AQ40" s="106"/>
      <c r="AR40" s="106"/>
      <c r="AS40" s="106"/>
      <c r="AT40" s="106" t="s">
        <v>334</v>
      </c>
      <c r="AU40" s="107" t="str">
        <f>IF($AT40="","",IFERROR(INDEX(InstructorMap!$B:$B, MATCH($AT40, InstructorMap!$A:$A, 0)),""))</f>
        <v>fraserj@andrews.edu</v>
      </c>
      <c r="AV40" s="107" t="str">
        <f>IF($AT40="","",IFERROR(INDEX(InstructorMap!$C:$C, MATCH($AT40, InstructorMap!$A:$A, 0)),""))</f>
        <v>000129106</v>
      </c>
      <c r="AW40" s="106" t="s">
        <v>121</v>
      </c>
      <c r="AX40" s="106"/>
      <c r="AY40" s="106"/>
      <c r="AZ40" s="106"/>
      <c r="BA40" s="106"/>
      <c r="BB40" s="106"/>
      <c r="BC40" s="106"/>
      <c r="BD40" s="106"/>
      <c r="BE40" s="106"/>
      <c r="BF40" s="106"/>
      <c r="BG40" s="106"/>
      <c r="BH40" s="106" t="s">
        <v>351</v>
      </c>
      <c r="BI40" s="106" t="s">
        <v>124</v>
      </c>
      <c r="BJ40" s="106" t="s">
        <v>125</v>
      </c>
      <c r="BK40" s="106"/>
      <c r="BL40" s="106" t="s">
        <v>249</v>
      </c>
      <c r="BM40" s="106"/>
      <c r="BN40" s="106"/>
      <c r="BO40" s="106" t="s">
        <v>127</v>
      </c>
      <c r="BP40" s="106"/>
      <c r="BQ40" s="106"/>
      <c r="BR40" s="106"/>
      <c r="BS40" s="106"/>
      <c r="BT40" s="106" t="s">
        <v>128</v>
      </c>
      <c r="BU40" s="106" t="s">
        <v>129</v>
      </c>
      <c r="BV40" s="106" t="s">
        <v>129</v>
      </c>
      <c r="BW40" s="106" t="s">
        <v>130</v>
      </c>
      <c r="BX40" s="106"/>
      <c r="BY40" s="106"/>
      <c r="BZ40" s="106"/>
      <c r="CA40" s="106"/>
      <c r="CB40" s="106"/>
      <c r="CC40" s="106"/>
      <c r="CD40" s="106"/>
      <c r="CE40" s="106"/>
      <c r="CF40" s="106" t="s">
        <v>130</v>
      </c>
      <c r="CG40" s="106"/>
      <c r="CH40" s="106"/>
      <c r="CI40" s="106"/>
      <c r="CJ40" s="106"/>
      <c r="CK40" s="106"/>
      <c r="CL40" s="106"/>
      <c r="CM40" s="106"/>
      <c r="CN40" s="106"/>
      <c r="CO40" s="106"/>
      <c r="CP40" s="106"/>
      <c r="CQ40" s="106"/>
      <c r="CR40" s="106"/>
      <c r="CS40" s="106" t="s">
        <v>132</v>
      </c>
      <c r="CT40" s="106" t="s">
        <v>133</v>
      </c>
      <c r="CU40" s="106" t="s">
        <v>134</v>
      </c>
      <c r="CV40" s="106"/>
    </row>
    <row r="41" spans="1:100" x14ac:dyDescent="0.2">
      <c r="A41" s="102" t="b">
        <v>0</v>
      </c>
      <c r="B41" s="102" t="b">
        <v>0</v>
      </c>
      <c r="C41" s="102" t="b">
        <v>1</v>
      </c>
      <c r="D41" s="102" t="b">
        <v>0</v>
      </c>
      <c r="E41" s="102" t="b">
        <v>0</v>
      </c>
      <c r="F41" s="102" t="b">
        <v>0</v>
      </c>
      <c r="G41" s="103" t="s">
        <v>362</v>
      </c>
      <c r="H41" s="103" t="s">
        <v>503</v>
      </c>
      <c r="I41" s="103" t="s">
        <v>504</v>
      </c>
      <c r="J41" s="103" t="s">
        <v>329</v>
      </c>
      <c r="K41" s="103" t="s">
        <v>505</v>
      </c>
      <c r="L41" s="103" t="s">
        <v>255</v>
      </c>
      <c r="M41" s="103"/>
      <c r="N41" s="103" t="s">
        <v>506</v>
      </c>
      <c r="O41" s="103"/>
      <c r="P41" s="103"/>
      <c r="Q41" s="103"/>
      <c r="R41" s="103" t="s">
        <v>129</v>
      </c>
      <c r="S41" s="103"/>
      <c r="T41" s="103"/>
      <c r="U41" s="103"/>
      <c r="V41" s="103"/>
      <c r="W41" s="103" t="s">
        <v>247</v>
      </c>
      <c r="X41" s="103"/>
      <c r="Y41" s="103" t="s">
        <v>148</v>
      </c>
      <c r="Z41" s="103" t="s">
        <v>142</v>
      </c>
      <c r="AA41" s="103" t="s">
        <v>115</v>
      </c>
      <c r="AB41" s="103"/>
      <c r="AC41" s="103"/>
      <c r="AD41" s="103" t="s">
        <v>115</v>
      </c>
      <c r="AE41" s="103" t="s">
        <v>116</v>
      </c>
      <c r="AF41" s="103"/>
      <c r="AG41" s="103"/>
      <c r="AH41" s="103" t="s">
        <v>116</v>
      </c>
      <c r="AI41" s="103"/>
      <c r="AJ41" s="103"/>
      <c r="AK41" s="103"/>
      <c r="AL41" s="103"/>
      <c r="AM41" s="103"/>
      <c r="AN41" s="103"/>
      <c r="AO41" s="103"/>
      <c r="AP41" s="103"/>
      <c r="AQ41" s="103"/>
      <c r="AR41" s="103"/>
      <c r="AS41" s="103"/>
      <c r="AT41" s="103" t="s">
        <v>334</v>
      </c>
      <c r="AU41" s="104" t="str">
        <f>IF($AT41="","",IFERROR(INDEX(InstructorMap!$B:$B, MATCH($AT41, InstructorMap!$A:$A, 0)),""))</f>
        <v>fraserj@andrews.edu</v>
      </c>
      <c r="AV41" s="104" t="str">
        <f>IF($AT41="","",IFERROR(INDEX(InstructorMap!$C:$C, MATCH($AT41, InstructorMap!$A:$A, 0)),""))</f>
        <v>000129106</v>
      </c>
      <c r="AW41" s="103" t="s">
        <v>121</v>
      </c>
      <c r="AX41" s="103"/>
      <c r="AY41" s="103"/>
      <c r="AZ41" s="103"/>
      <c r="BA41" s="103"/>
      <c r="BB41" s="103"/>
      <c r="BC41" s="103"/>
      <c r="BD41" s="103"/>
      <c r="BE41" s="103"/>
      <c r="BF41" s="103"/>
      <c r="BG41" s="103"/>
      <c r="BH41" s="103" t="s">
        <v>351</v>
      </c>
      <c r="BI41" s="103" t="s">
        <v>124</v>
      </c>
      <c r="BJ41" s="103" t="s">
        <v>125</v>
      </c>
      <c r="BK41" s="103"/>
      <c r="BL41" s="103" t="s">
        <v>249</v>
      </c>
      <c r="BM41" s="103"/>
      <c r="BN41" s="103"/>
      <c r="BO41" s="103" t="s">
        <v>127</v>
      </c>
      <c r="BP41" s="103"/>
      <c r="BQ41" s="103"/>
      <c r="BR41" s="103"/>
      <c r="BS41" s="103"/>
      <c r="BT41" s="103" t="s">
        <v>128</v>
      </c>
      <c r="BU41" s="103" t="s">
        <v>129</v>
      </c>
      <c r="BV41" s="103" t="s">
        <v>129</v>
      </c>
      <c r="BW41" s="103" t="s">
        <v>130</v>
      </c>
      <c r="BX41" s="103"/>
      <c r="BY41" s="103"/>
      <c r="BZ41" s="103"/>
      <c r="CA41" s="103"/>
      <c r="CB41" s="103"/>
      <c r="CC41" s="103"/>
      <c r="CD41" s="103"/>
      <c r="CE41" s="103"/>
      <c r="CF41" s="103" t="s">
        <v>130</v>
      </c>
      <c r="CG41" s="103"/>
      <c r="CH41" s="103"/>
      <c r="CI41" s="103"/>
      <c r="CJ41" s="103"/>
      <c r="CK41" s="103"/>
      <c r="CL41" s="103"/>
      <c r="CM41" s="103"/>
      <c r="CN41" s="103"/>
      <c r="CO41" s="103"/>
      <c r="CP41" s="103"/>
      <c r="CQ41" s="103"/>
      <c r="CR41" s="103"/>
      <c r="CS41" s="103" t="s">
        <v>132</v>
      </c>
      <c r="CT41" s="103" t="s">
        <v>133</v>
      </c>
      <c r="CU41" s="103" t="s">
        <v>134</v>
      </c>
      <c r="CV41" s="103"/>
    </row>
    <row r="42" spans="1:100" x14ac:dyDescent="0.2">
      <c r="A42" s="105" t="b">
        <v>0</v>
      </c>
      <c r="B42" s="105" t="b">
        <v>0</v>
      </c>
      <c r="C42" s="105" t="b">
        <v>1</v>
      </c>
      <c r="D42" s="105" t="b">
        <v>0</v>
      </c>
      <c r="E42" s="105" t="b">
        <v>0</v>
      </c>
      <c r="F42" s="105" t="b">
        <v>0</v>
      </c>
      <c r="G42" s="106"/>
      <c r="H42" s="106" t="s">
        <v>507</v>
      </c>
      <c r="I42" s="106" t="s">
        <v>508</v>
      </c>
      <c r="J42" s="106" t="s">
        <v>329</v>
      </c>
      <c r="K42" s="106" t="s">
        <v>509</v>
      </c>
      <c r="L42" s="106" t="s">
        <v>255</v>
      </c>
      <c r="M42" s="106"/>
      <c r="N42" s="106" t="s">
        <v>510</v>
      </c>
      <c r="O42" s="106"/>
      <c r="P42" s="106"/>
      <c r="Q42" s="106"/>
      <c r="R42" s="106" t="s">
        <v>129</v>
      </c>
      <c r="S42" s="106"/>
      <c r="T42" s="106"/>
      <c r="U42" s="106"/>
      <c r="V42" s="106"/>
      <c r="W42" s="106" t="s">
        <v>247</v>
      </c>
      <c r="X42" s="106"/>
      <c r="Y42" s="106" t="s">
        <v>173</v>
      </c>
      <c r="Z42" s="106" t="s">
        <v>142</v>
      </c>
      <c r="AA42" s="106" t="s">
        <v>115</v>
      </c>
      <c r="AB42" s="106"/>
      <c r="AC42" s="106"/>
      <c r="AD42" s="106" t="s">
        <v>115</v>
      </c>
      <c r="AE42" s="106" t="s">
        <v>116</v>
      </c>
      <c r="AF42" s="106"/>
      <c r="AG42" s="106"/>
      <c r="AH42" s="106" t="s">
        <v>116</v>
      </c>
      <c r="AI42" s="106"/>
      <c r="AJ42" s="106"/>
      <c r="AK42" s="106"/>
      <c r="AL42" s="106"/>
      <c r="AM42" s="106"/>
      <c r="AN42" s="106"/>
      <c r="AO42" s="106"/>
      <c r="AP42" s="106"/>
      <c r="AQ42" s="106"/>
      <c r="AR42" s="106"/>
      <c r="AS42" s="106"/>
      <c r="AT42" s="106" t="s">
        <v>334</v>
      </c>
      <c r="AU42" s="107" t="str">
        <f>IF($AT42="","",IFERROR(INDEX(InstructorMap!$B:$B, MATCH($AT42, InstructorMap!$A:$A, 0)),""))</f>
        <v>fraserj@andrews.edu</v>
      </c>
      <c r="AV42" s="107" t="str">
        <f>IF($AT42="","",IFERROR(INDEX(InstructorMap!$C:$C, MATCH($AT42, InstructorMap!$A:$A, 0)),""))</f>
        <v>000129106</v>
      </c>
      <c r="AW42" s="106" t="s">
        <v>121</v>
      </c>
      <c r="AX42" s="106"/>
      <c r="AY42" s="106"/>
      <c r="AZ42" s="106"/>
      <c r="BA42" s="106"/>
      <c r="BB42" s="106"/>
      <c r="BC42" s="106"/>
      <c r="BD42" s="106"/>
      <c r="BE42" s="106"/>
      <c r="BF42" s="106"/>
      <c r="BG42" s="106"/>
      <c r="BH42" s="106" t="s">
        <v>351</v>
      </c>
      <c r="BI42" s="106" t="s">
        <v>124</v>
      </c>
      <c r="BJ42" s="106" t="s">
        <v>125</v>
      </c>
      <c r="BK42" s="106"/>
      <c r="BL42" s="106" t="s">
        <v>249</v>
      </c>
      <c r="BM42" s="106"/>
      <c r="BN42" s="106"/>
      <c r="BO42" s="106" t="s">
        <v>127</v>
      </c>
      <c r="BP42" s="106"/>
      <c r="BQ42" s="106" t="s">
        <v>511</v>
      </c>
      <c r="BR42" s="106"/>
      <c r="BS42" s="106"/>
      <c r="BT42" s="106" t="s">
        <v>128</v>
      </c>
      <c r="BU42" s="106" t="s">
        <v>129</v>
      </c>
      <c r="BV42" s="106" t="s">
        <v>129</v>
      </c>
      <c r="BW42" s="106" t="s">
        <v>130</v>
      </c>
      <c r="BX42" s="106"/>
      <c r="BY42" s="106"/>
      <c r="BZ42" s="106"/>
      <c r="CA42" s="106"/>
      <c r="CB42" s="106"/>
      <c r="CC42" s="106"/>
      <c r="CD42" s="106"/>
      <c r="CE42" s="106"/>
      <c r="CF42" s="106" t="s">
        <v>130</v>
      </c>
      <c r="CG42" s="106"/>
      <c r="CH42" s="106"/>
      <c r="CI42" s="106"/>
      <c r="CJ42" s="106"/>
      <c r="CK42" s="106"/>
      <c r="CL42" s="106"/>
      <c r="CM42" s="106"/>
      <c r="CN42" s="106"/>
      <c r="CO42" s="106"/>
      <c r="CP42" s="106"/>
      <c r="CQ42" s="106"/>
      <c r="CR42" s="106" t="s">
        <v>249</v>
      </c>
      <c r="CS42" s="106" t="s">
        <v>132</v>
      </c>
      <c r="CT42" s="106" t="s">
        <v>133</v>
      </c>
      <c r="CU42" s="106" t="s">
        <v>134</v>
      </c>
      <c r="CV42" s="106"/>
    </row>
    <row r="43" spans="1:100" x14ac:dyDescent="0.2">
      <c r="A43" s="105" t="b">
        <v>0</v>
      </c>
      <c r="B43" s="105" t="b">
        <v>0</v>
      </c>
      <c r="C43" s="105" t="b">
        <v>1</v>
      </c>
      <c r="D43" s="105" t="b">
        <v>0</v>
      </c>
      <c r="E43" s="105" t="b">
        <v>0</v>
      </c>
      <c r="F43" s="105" t="b">
        <v>0</v>
      </c>
      <c r="G43" s="106"/>
      <c r="H43" s="106" t="s">
        <v>512</v>
      </c>
      <c r="I43" s="106" t="s">
        <v>513</v>
      </c>
      <c r="J43" s="106" t="s">
        <v>329</v>
      </c>
      <c r="K43" s="106" t="s">
        <v>514</v>
      </c>
      <c r="L43" s="106" t="s">
        <v>137</v>
      </c>
      <c r="M43" s="106"/>
      <c r="N43" s="106" t="s">
        <v>515</v>
      </c>
      <c r="O43" s="106" t="s">
        <v>515</v>
      </c>
      <c r="P43" s="106"/>
      <c r="Q43" s="106"/>
      <c r="R43" s="106" t="s">
        <v>129</v>
      </c>
      <c r="S43" s="106"/>
      <c r="T43" s="106"/>
      <c r="U43" s="106"/>
      <c r="V43" s="106"/>
      <c r="W43" s="106" t="s">
        <v>516</v>
      </c>
      <c r="X43" s="106"/>
      <c r="Y43" s="106" t="s">
        <v>148</v>
      </c>
      <c r="Z43" s="106" t="s">
        <v>142</v>
      </c>
      <c r="AA43" s="106" t="s">
        <v>115</v>
      </c>
      <c r="AB43" s="106"/>
      <c r="AC43" s="106"/>
      <c r="AD43" s="106" t="s">
        <v>115</v>
      </c>
      <c r="AE43" s="106" t="s">
        <v>116</v>
      </c>
      <c r="AF43" s="106"/>
      <c r="AG43" s="106"/>
      <c r="AH43" s="106" t="s">
        <v>116</v>
      </c>
      <c r="AI43" s="106"/>
      <c r="AJ43" s="106"/>
      <c r="AK43" s="106"/>
      <c r="AL43" s="106"/>
      <c r="AM43" s="106"/>
      <c r="AN43" s="106"/>
      <c r="AO43" s="106"/>
      <c r="AP43" s="106"/>
      <c r="AQ43" s="106"/>
      <c r="AR43" s="106"/>
      <c r="AS43" s="106"/>
      <c r="AT43" s="106" t="s">
        <v>334</v>
      </c>
      <c r="AU43" s="107" t="str">
        <f>IF($AT43="","",IFERROR(INDEX(InstructorMap!$B:$B, MATCH($AT43, InstructorMap!$A:$A, 0)),""))</f>
        <v>fraserj@andrews.edu</v>
      </c>
      <c r="AV43" s="107" t="str">
        <f>IF($AT43="","",IFERROR(INDEX(InstructorMap!$C:$C, MATCH($AT43, InstructorMap!$A:$A, 0)),""))</f>
        <v>000129106</v>
      </c>
      <c r="AW43" s="106" t="s">
        <v>121</v>
      </c>
      <c r="AX43" s="106"/>
      <c r="AY43" s="106"/>
      <c r="AZ43" s="106"/>
      <c r="BA43" s="106"/>
      <c r="BB43" s="106"/>
      <c r="BC43" s="106"/>
      <c r="BD43" s="106"/>
      <c r="BE43" s="106"/>
      <c r="BF43" s="106"/>
      <c r="BG43" s="106"/>
      <c r="BH43" s="106" t="s">
        <v>351</v>
      </c>
      <c r="BI43" s="106" t="s">
        <v>124</v>
      </c>
      <c r="BJ43" s="106" t="s">
        <v>125</v>
      </c>
      <c r="BK43" s="106"/>
      <c r="BL43" s="106" t="s">
        <v>249</v>
      </c>
      <c r="BM43" s="106"/>
      <c r="BN43" s="106"/>
      <c r="BO43" s="106" t="s">
        <v>127</v>
      </c>
      <c r="BP43" s="106"/>
      <c r="BQ43" s="106" t="s">
        <v>511</v>
      </c>
      <c r="BR43" s="106"/>
      <c r="BS43" s="106"/>
      <c r="BT43" s="106" t="s">
        <v>128</v>
      </c>
      <c r="BU43" s="106" t="s">
        <v>129</v>
      </c>
      <c r="BV43" s="106" t="s">
        <v>129</v>
      </c>
      <c r="BW43" s="106" t="s">
        <v>130</v>
      </c>
      <c r="BX43" s="106"/>
      <c r="BY43" s="106"/>
      <c r="BZ43" s="106"/>
      <c r="CA43" s="106"/>
      <c r="CB43" s="106"/>
      <c r="CC43" s="106"/>
      <c r="CD43" s="106"/>
      <c r="CE43" s="106"/>
      <c r="CF43" s="106" t="s">
        <v>130</v>
      </c>
      <c r="CG43" s="106"/>
      <c r="CH43" s="106"/>
      <c r="CI43" s="106"/>
      <c r="CJ43" s="106"/>
      <c r="CK43" s="106"/>
      <c r="CL43" s="106"/>
      <c r="CM43" s="106"/>
      <c r="CN43" s="106"/>
      <c r="CO43" s="106"/>
      <c r="CP43" s="106"/>
      <c r="CQ43" s="106"/>
      <c r="CR43" s="106"/>
      <c r="CS43" s="106" t="s">
        <v>132</v>
      </c>
      <c r="CT43" s="106" t="s">
        <v>133</v>
      </c>
      <c r="CU43" s="106" t="s">
        <v>134</v>
      </c>
      <c r="CV43" s="106"/>
    </row>
  </sheetData>
  <autoFilter ref="A1:CV43" xr:uid="{00000000-0009-0000-0000-000001000000}">
    <sortState xmlns:xlrd2="http://schemas.microsoft.com/office/spreadsheetml/2017/richdata2" ref="A2:CV43">
      <sortCondition ref="K1:K43"/>
    </sortState>
  </autoFilter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62">
        <x14:dataValidation type="list" allowBlank="1" xr:uid="{00000000-0002-0000-0100-000000000000}">
          <x14:formula1>
            <xm:f>DropDownMenu!$A$2:$A$3</xm:f>
          </x14:formula1>
          <xm:sqref>A44:A4999 A26 A32 A24 A36</xm:sqref>
        </x14:dataValidation>
        <x14:dataValidation type="list" allowBlank="1" xr:uid="{00000000-0002-0000-0100-000001000000}">
          <x14:formula1>
            <xm:f>DropDownMenu!$B$2:$B$3</xm:f>
          </x14:formula1>
          <xm:sqref>B44:B4999 B26 B32 B24 B36</xm:sqref>
        </x14:dataValidation>
        <x14:dataValidation type="list" allowBlank="1" xr:uid="{00000000-0002-0000-0100-000002000000}">
          <x14:formula1>
            <xm:f>DropDownMenu!$C$2:$C$3</xm:f>
          </x14:formula1>
          <xm:sqref>D44:D4999 D26 D32 D24 D36</xm:sqref>
        </x14:dataValidation>
        <x14:dataValidation type="list" allowBlank="1" xr:uid="{00000000-0002-0000-0100-000003000000}">
          <x14:formula1>
            <xm:f>DropDownMenu!$D$2:$D$3</xm:f>
          </x14:formula1>
          <xm:sqref>E44:E4999 E26 E32 E24 E36</xm:sqref>
        </x14:dataValidation>
        <x14:dataValidation type="list" allowBlank="1" xr:uid="{00000000-0002-0000-0100-000004000000}">
          <x14:formula1>
            <xm:f>DropDownMenu!$E$2:$E$3</xm:f>
          </x14:formula1>
          <xm:sqref>F44:F4999 F26 F32 F36</xm:sqref>
        </x14:dataValidation>
        <x14:dataValidation type="list" allowBlank="1" xr:uid="{00000000-0002-0000-0100-000005000000}">
          <x14:formula1>
            <xm:f>DropDownMenu!$G$2:$G$19</xm:f>
          </x14:formula1>
          <xm:sqref>G22 G16:G17 G24:G26 G28 G30 G32:G4999</xm:sqref>
        </x14:dataValidation>
        <x14:dataValidation type="list" allowBlank="1" showInputMessage="1" showErrorMessage="1" xr:uid="{00000000-0002-0000-0100-000051000000}">
          <x14:formula1>
            <xm:f>DropDownMenu!$A$2:$A$3</xm:f>
          </x14:formula1>
          <xm:sqref>A44:A4999 A26 A32 A24 A36</xm:sqref>
        </x14:dataValidation>
        <x14:dataValidation type="list" allowBlank="1" showInputMessage="1" showErrorMessage="1" xr:uid="{00000000-0002-0000-0100-000052000000}">
          <x14:formula1>
            <xm:f>DropDownMenu!$B$2:$B$3</xm:f>
          </x14:formula1>
          <xm:sqref>B44:B4999 B26 B32 B24 B36</xm:sqref>
        </x14:dataValidation>
        <x14:dataValidation type="list" allowBlank="1" showInputMessage="1" showErrorMessage="1" xr:uid="{00000000-0002-0000-0100-000053000000}">
          <x14:formula1>
            <xm:f>DropDownMenu!$C$2:$C$3</xm:f>
          </x14:formula1>
          <xm:sqref>D44:D4999 D26 D32 D24 D36</xm:sqref>
        </x14:dataValidation>
        <x14:dataValidation type="list" allowBlank="1" showInputMessage="1" showErrorMessage="1" xr:uid="{00000000-0002-0000-0100-000054000000}">
          <x14:formula1>
            <xm:f>DropDownMenu!$D$2:$D$3</xm:f>
          </x14:formula1>
          <xm:sqref>E44:E4999 E26 E32 E24 E36</xm:sqref>
        </x14:dataValidation>
        <x14:dataValidation type="list" allowBlank="1" showInputMessage="1" showErrorMessage="1" xr:uid="{00000000-0002-0000-0100-000055000000}">
          <x14:formula1>
            <xm:f>DropDownMenu!$E$2:$E$3</xm:f>
          </x14:formula1>
          <xm:sqref>F44:F4999 F26 F32 F36</xm:sqref>
        </x14:dataValidation>
        <x14:dataValidation type="list" allowBlank="1" showInputMessage="1" showErrorMessage="1" xr:uid="{00000000-0002-0000-0100-000056000000}">
          <x14:formula1>
            <xm:f>DropDownMenu!$G$2:$G$19</xm:f>
          </x14:formula1>
          <xm:sqref>G22 G16:G17 G24:G26 G28 G30 G32:G4999</xm:sqref>
        </x14:dataValidation>
        <x14:dataValidation type="list" allowBlank="1" xr:uid="{00000000-0002-0000-0100-000006000000}">
          <x14:formula1>
            <xm:f>DropDownMenu!$H$2:$H$564</xm:f>
          </x14:formula1>
          <xm:sqref>H2:H18 H19:H4999</xm:sqref>
        </x14:dataValidation>
        <x14:dataValidation type="list" allowBlank="1" xr:uid="{00000000-0002-0000-0100-000007000000}">
          <x14:formula1>
            <xm:f>DropDownMenu!$I$2:$I$352</xm:f>
          </x14:formula1>
          <xm:sqref>I2:I18 I19:I4999</xm:sqref>
        </x14:dataValidation>
        <x14:dataValidation type="list" allowBlank="1" xr:uid="{00000000-0002-0000-0100-000008000000}">
          <x14:formula1>
            <xm:f>DropDownMenu!$J$2:$J$10</xm:f>
          </x14:formula1>
          <xm:sqref>J2:J18 J19:J4999</xm:sqref>
        </x14:dataValidation>
        <x14:dataValidation type="list" allowBlank="1" xr:uid="{00000000-0002-0000-0100-000009000000}">
          <x14:formula1>
            <xm:f>DropDownMenu!$K$2:$K$101</xm:f>
          </x14:formula1>
          <xm:sqref>K2:K18 K19:K4999</xm:sqref>
        </x14:dataValidation>
        <x14:dataValidation type="list" allowBlank="1" xr:uid="{00000000-0002-0000-0100-00000A000000}">
          <x14:formula1>
            <xm:f>DropDownMenu!$L$2:$L$42</xm:f>
          </x14:formula1>
          <xm:sqref>L2:L18 L19:L4999</xm:sqref>
        </x14:dataValidation>
        <x14:dataValidation type="list" allowBlank="1" xr:uid="{00000000-0002-0000-0100-00000B000000}">
          <x14:formula1>
            <xm:f>DropDownMenu!$M$2:$M$16</xm:f>
          </x14:formula1>
          <xm:sqref>M2:M18 M19:M4999</xm:sqref>
        </x14:dataValidation>
        <x14:dataValidation type="list" allowBlank="1" xr:uid="{00000000-0002-0000-0100-00000C000000}">
          <x14:formula1>
            <xm:f>DropDownMenu!$N$2:$N$140</xm:f>
          </x14:formula1>
          <xm:sqref>N2:N18 N19:N4999</xm:sqref>
        </x14:dataValidation>
        <x14:dataValidation type="list" allowBlank="1" xr:uid="{00000000-0002-0000-0100-00000D000000}">
          <x14:formula1>
            <xm:f>DropDownMenu!$O$2:$O$65</xm:f>
          </x14:formula1>
          <xm:sqref>O2:O18 O19:O4999</xm:sqref>
        </x14:dataValidation>
        <x14:dataValidation type="list" allowBlank="1" xr:uid="{00000000-0002-0000-0100-00000E000000}">
          <x14:formula1>
            <xm:f>DropDownMenu!$P$2:$P$45</xm:f>
          </x14:formula1>
          <xm:sqref>Q2:Q18 Q19:Q4999</xm:sqref>
        </x14:dataValidation>
        <x14:dataValidation type="list" allowBlank="1" xr:uid="{00000000-0002-0000-0100-00000F000000}">
          <x14:formula1>
            <xm:f>DropDownMenu!$Q$2:$Q$5</xm:f>
          </x14:formula1>
          <xm:sqref>R2:R18 R19:R4999</xm:sqref>
        </x14:dataValidation>
        <x14:dataValidation type="list" allowBlank="1" xr:uid="{00000000-0002-0000-0100-000010000000}">
          <x14:formula1>
            <xm:f>DropDownMenu!$R$2:$R$7</xm:f>
          </x14:formula1>
          <xm:sqref>S2:S18 S19:S4999</xm:sqref>
        </x14:dataValidation>
        <x14:dataValidation type="list" allowBlank="1" xr:uid="{00000000-0002-0000-0100-000011000000}">
          <x14:formula1>
            <xm:f>DropDownMenu!$S$2:$S$11</xm:f>
          </x14:formula1>
          <xm:sqref>T2:T18 T19:T4999</xm:sqref>
        </x14:dataValidation>
        <x14:dataValidation type="list" allowBlank="1" xr:uid="{00000000-0002-0000-0100-000012000000}">
          <x14:formula1>
            <xm:f>DropDownMenu!$T$2:$T$13</xm:f>
          </x14:formula1>
          <xm:sqref>U2:U18 U19:U4999</xm:sqref>
        </x14:dataValidation>
        <x14:dataValidation type="list" allowBlank="1" xr:uid="{00000000-0002-0000-0100-000013000000}">
          <x14:formula1>
            <xm:f>DropDownMenu!$U$2:$U$5</xm:f>
          </x14:formula1>
          <xm:sqref>CR2:CR18 CR19:CR4999</xm:sqref>
        </x14:dataValidation>
        <x14:dataValidation type="list" allowBlank="1" xr:uid="{00000000-0002-0000-0100-000014000000}">
          <x14:formula1>
            <xm:f>DropDownMenu!$V$2:$V$4</xm:f>
          </x14:formula1>
          <xm:sqref>V2:V18 V19:V4999</xm:sqref>
        </x14:dataValidation>
        <x14:dataValidation type="list" allowBlank="1" xr:uid="{00000000-0002-0000-0100-000015000000}">
          <x14:formula1>
            <xm:f>DropDownMenu!$W$2:$W$6</xm:f>
          </x14:formula1>
          <xm:sqref>CU2:CU18 CU19:CU4999</xm:sqref>
        </x14:dataValidation>
        <x14:dataValidation type="list" allowBlank="1" xr:uid="{00000000-0002-0000-0100-000016000000}">
          <x14:formula1>
            <xm:f>DropDownMenu!$X$2:$X$26</xm:f>
          </x14:formula1>
          <xm:sqref>W2:W18 W19:W4999</xm:sqref>
        </x14:dataValidation>
        <x14:dataValidation type="list" allowBlank="1" xr:uid="{00000000-0002-0000-0100-000017000000}">
          <x14:formula1>
            <xm:f>DropDownMenu!$Y$2:$Y$7</xm:f>
          </x14:formula1>
          <xm:sqref>X2:X18 X19:X4999</xm:sqref>
        </x14:dataValidation>
        <x14:dataValidation type="list" allowBlank="1" xr:uid="{00000000-0002-0000-0100-000018000000}">
          <x14:formula1>
            <xm:f>DropDownMenu!$Z$2:$Z$15</xm:f>
          </x14:formula1>
          <xm:sqref>Y2:Y18 Y19:Y4999</xm:sqref>
        </x14:dataValidation>
        <x14:dataValidation type="list" allowBlank="1" xr:uid="{00000000-0002-0000-0100-000019000000}">
          <x14:formula1>
            <xm:f>DropDownMenu!$AA$2:$AA$6</xm:f>
          </x14:formula1>
          <xm:sqref>Z2:Z18 Z19:Z4999</xm:sqref>
        </x14:dataValidation>
        <x14:dataValidation type="list" allowBlank="1" xr:uid="{00000000-0002-0000-0100-00001A000000}">
          <x14:formula1>
            <xm:f>DropDownMenu!$AB$2:$AB$7</xm:f>
          </x14:formula1>
          <xm:sqref>AA2:AA18 AA19:AA4999</xm:sqref>
        </x14:dataValidation>
        <x14:dataValidation type="list" allowBlank="1" xr:uid="{00000000-0002-0000-0100-00001B000000}">
          <x14:formula1>
            <xm:f>DropDownMenu!$AC$2:$AC$49</xm:f>
          </x14:formula1>
          <xm:sqref>AD2:AD18 AD19:AD4999</xm:sqref>
        </x14:dataValidation>
        <x14:dataValidation type="list" allowBlank="1" xr:uid="{00000000-0002-0000-0100-00001C000000}">
          <x14:formula1>
            <xm:f>DropDownMenu!$AD$2:$AD$52</xm:f>
          </x14:formula1>
          <xm:sqref>AE2:AE18 AE19:AE4999</xm:sqref>
        </x14:dataValidation>
        <x14:dataValidation type="list" allowBlank="1" xr:uid="{00000000-0002-0000-0100-00001D000000}">
          <x14:formula1>
            <xm:f>DropDownMenu!$AE$2:$AE$9</xm:f>
          </x14:formula1>
          <xm:sqref>AH2:AH18 AH19:AH4999</xm:sqref>
        </x14:dataValidation>
        <x14:dataValidation type="list" allowBlank="1" xr:uid="{00000000-0002-0000-0100-00001E000000}">
          <x14:formula1>
            <xm:f>DropDownMenu!$AF$2:$AF$6</xm:f>
          </x14:formula1>
          <xm:sqref>AI2:AI18 AI19:AI4999</xm:sqref>
        </x14:dataValidation>
        <x14:dataValidation type="list" allowBlank="1" xr:uid="{00000000-0002-0000-0100-00001F000000}">
          <x14:formula1>
            <xm:f>DropDownMenu!$AG$2:$AG$11</xm:f>
          </x14:formula1>
          <xm:sqref>AJ2:AJ18 AJ19:AJ4999</xm:sqref>
        </x14:dataValidation>
        <x14:dataValidation type="list" allowBlank="1" xr:uid="{00000000-0002-0000-0100-000020000000}">
          <x14:formula1>
            <xm:f>DropDownMenu!$AH$2:$AH$2</xm:f>
          </x14:formula1>
          <xm:sqref>AK2:AK18 AK19:AK4999</xm:sqref>
        </x14:dataValidation>
        <x14:dataValidation type="list" allowBlank="1" xr:uid="{00000000-0002-0000-0100-000021000000}">
          <x14:formula1>
            <xm:f>DropDownMenu!$AI$2:$AI$2</xm:f>
          </x14:formula1>
          <xm:sqref>AL2:AL18 AL19:AL4999</xm:sqref>
        </x14:dataValidation>
        <x14:dataValidation type="list" allowBlank="1" xr:uid="{00000000-0002-0000-0100-000022000000}">
          <x14:formula1>
            <xm:f>DropDownMenu!$AJ$2:$AJ$2</xm:f>
          </x14:formula1>
          <xm:sqref>AM2:AM18 AM19:AM4999</xm:sqref>
        </x14:dataValidation>
        <x14:dataValidation type="list" allowBlank="1" xr:uid="{00000000-0002-0000-0100-000023000000}">
          <x14:formula1>
            <xm:f>DropDownMenu!$AK$2:$AK$2</xm:f>
          </x14:formula1>
          <xm:sqref>AN2:AN18 AN19:AN4999</xm:sqref>
        </x14:dataValidation>
        <x14:dataValidation type="list" allowBlank="1" xr:uid="{00000000-0002-0000-0100-000024000000}">
          <x14:formula1>
            <xm:f>DropDownMenu!$AL$2:$AL$2</xm:f>
          </x14:formula1>
          <xm:sqref>AO2:AO18 AO19:AO4999</xm:sqref>
        </x14:dataValidation>
        <x14:dataValidation type="list" allowBlank="1" xr:uid="{00000000-0002-0000-0100-000025000000}">
          <x14:formula1>
            <xm:f>DropDownMenu!$AM$2:$AM$5</xm:f>
          </x14:formula1>
          <xm:sqref>CS2:CS18 CS19:CS4999</xm:sqref>
        </x14:dataValidation>
        <x14:dataValidation type="list" allowBlank="1" xr:uid="{00000000-0002-0000-0100-000026000000}">
          <x14:formula1>
            <xm:f>DropDownMenu!$AN$2:$AN$13</xm:f>
          </x14:formula1>
          <xm:sqref>AR2:AR18 AR19:AR4999</xm:sqref>
        </x14:dataValidation>
        <x14:dataValidation type="list" allowBlank="1" xr:uid="{00000000-0002-0000-0100-000027000000}">
          <x14:formula1>
            <xm:f>DropDownMenu!$AO$2:$AO$40</xm:f>
          </x14:formula1>
          <xm:sqref>AS2:AS18 AS19:AS4999</xm:sqref>
        </x14:dataValidation>
        <x14:dataValidation type="list" allowBlank="1" xr:uid="{00000000-0002-0000-0100-000028000000}">
          <x14:formula1>
            <xm:f>DropDownMenu!$AP$2:$AP$274</xm:f>
          </x14:formula1>
          <xm:sqref>AT2:AT18 AT19:AT4999</xm:sqref>
        </x14:dataValidation>
        <x14:dataValidation type="list" allowBlank="1" xr:uid="{00000000-0002-0000-0100-000029000000}">
          <x14:formula1>
            <xm:f>DropDownMenu!$AQ$2:$AQ$9</xm:f>
          </x14:formula1>
          <xm:sqref>BB2:BB18 BB19:BB4999</xm:sqref>
        </x14:dataValidation>
        <x14:dataValidation type="list" allowBlank="1" xr:uid="{00000000-0002-0000-0100-00002A000000}">
          <x14:formula1>
            <xm:f>DropDownMenu!$AR$2:$AR$11</xm:f>
          </x14:formula1>
          <xm:sqref>BC2:BC18 BC19:BC4999</xm:sqref>
        </x14:dataValidation>
        <x14:dataValidation type="list" allowBlank="1" xr:uid="{00000000-0002-0000-0100-00002B000000}">
          <x14:formula1>
            <xm:f>DropDownMenu!$AS$2:$AS$3</xm:f>
          </x14:formula1>
          <xm:sqref>BD2:BD18 BD19:BD4999</xm:sqref>
        </x14:dataValidation>
        <x14:dataValidation type="list" allowBlank="1" xr:uid="{00000000-0002-0000-0100-00002C000000}">
          <x14:formula1>
            <xm:f>DropDownMenu!$AT$2:$AT$4</xm:f>
          </x14:formula1>
          <xm:sqref>BE2:BE18 BE19:BE4999</xm:sqref>
        </x14:dataValidation>
        <x14:dataValidation type="list" allowBlank="1" xr:uid="{00000000-0002-0000-0100-00002D000000}">
          <x14:formula1>
            <xm:f>DropDownMenu!$AU$2:$AU$2</xm:f>
          </x14:formula1>
          <xm:sqref>BG2:BG18 BG19:BG4999</xm:sqref>
        </x14:dataValidation>
        <x14:dataValidation type="list" allowBlank="1" xr:uid="{00000000-0002-0000-0100-00002E000000}">
          <x14:formula1>
            <xm:f>DropDownMenu!$AV$2:$AV$9</xm:f>
          </x14:formula1>
          <xm:sqref>BH2:BH18 BH19:BH4999</xm:sqref>
        </x14:dataValidation>
        <x14:dataValidation type="list" allowBlank="1" xr:uid="{00000000-0002-0000-0100-00002F000000}">
          <x14:formula1>
            <xm:f>DropDownMenu!$AW$2:$AW$81</xm:f>
          </x14:formula1>
          <xm:sqref>BI2:BI18 BI19:BI4999</xm:sqref>
        </x14:dataValidation>
        <x14:dataValidation type="list" allowBlank="1" xr:uid="{00000000-0002-0000-0100-000030000000}">
          <x14:formula1>
            <xm:f>DropDownMenu!$AX$2:$AX$3</xm:f>
          </x14:formula1>
          <xm:sqref>BJ2:BJ18 BJ19:BJ4999</xm:sqref>
        </x14:dataValidation>
        <x14:dataValidation type="list" allowBlank="1" xr:uid="{00000000-0002-0000-0100-000031000000}">
          <x14:formula1>
            <xm:f>DropDownMenu!$AY$2:$AY$7</xm:f>
          </x14:formula1>
          <xm:sqref>BK2:BK18 BK19:BK4999</xm:sqref>
        </x14:dataValidation>
        <x14:dataValidation type="list" allowBlank="1" xr:uid="{00000000-0002-0000-0100-000032000000}">
          <x14:formula1>
            <xm:f>DropDownMenu!$AZ$2:$AZ$9</xm:f>
          </x14:formula1>
          <xm:sqref>BL2:BL18 BL19:BL4999</xm:sqref>
        </x14:dataValidation>
        <x14:dataValidation type="list" allowBlank="1" xr:uid="{00000000-0002-0000-0100-000033000000}">
          <x14:formula1>
            <xm:f>DropDownMenu!$BA$2:$BA$9</xm:f>
          </x14:formula1>
          <xm:sqref>BM2:BM18 BM19:BM4999</xm:sqref>
        </x14:dataValidation>
        <x14:dataValidation type="list" allowBlank="1" xr:uid="{00000000-0002-0000-0100-000034000000}">
          <x14:formula1>
            <xm:f>DropDownMenu!$BB$2:$BB$3</xm:f>
          </x14:formula1>
          <xm:sqref>BN2:BN18 BN19:BN4999</xm:sqref>
        </x14:dataValidation>
        <x14:dataValidation type="list" allowBlank="1" xr:uid="{00000000-0002-0000-0100-000035000000}">
          <x14:formula1>
            <xm:f>DropDownMenu!$BC$2:$BC$2</xm:f>
          </x14:formula1>
          <xm:sqref>BO2:BO18 BO19:BO4999</xm:sqref>
        </x14:dataValidation>
        <x14:dataValidation type="list" allowBlank="1" xr:uid="{00000000-0002-0000-0100-000036000000}">
          <x14:formula1>
            <xm:f>DropDownMenu!$BD$2:$BD$29</xm:f>
          </x14:formula1>
          <xm:sqref>BQ2:BQ18 BQ19:BQ4999</xm:sqref>
        </x14:dataValidation>
        <x14:dataValidation type="list" allowBlank="1" xr:uid="{00000000-0002-0000-0100-000037000000}">
          <x14:formula1>
            <xm:f>DropDownMenu!$BE$2:$BE$2</xm:f>
          </x14:formula1>
          <xm:sqref>BT2:BT18 BT19:BT4999</xm:sqref>
        </x14:dataValidation>
        <x14:dataValidation type="list" allowBlank="1" xr:uid="{00000000-0002-0000-0100-000038000000}">
          <x14:formula1>
            <xm:f>DropDownMenu!$BF$2:$BF$33</xm:f>
          </x14:formula1>
          <xm:sqref>BU2:BU18 BU19:BU4999</xm:sqref>
        </x14:dataValidation>
        <x14:dataValidation type="list" allowBlank="1" xr:uid="{00000000-0002-0000-0100-000039000000}">
          <x14:formula1>
            <xm:f>DropDownMenu!$BG$2:$BG$2</xm:f>
          </x14:formula1>
          <xm:sqref>BV2:BV18 BV19:BV4999</xm:sqref>
        </x14:dataValidation>
        <x14:dataValidation type="list" allowBlank="1" xr:uid="{00000000-0002-0000-0100-00003A000000}">
          <x14:formula1>
            <xm:f>DropDownMenu!$BH$2:$BH$4</xm:f>
          </x14:formula1>
          <xm:sqref>AW2:AW18 AW19:AW4999</xm:sqref>
        </x14:dataValidation>
        <x14:dataValidation type="list" allowBlank="1" xr:uid="{00000000-0002-0000-0100-00003B000000}">
          <x14:formula1>
            <xm:f>DropDownMenu!$BI$2:$BI$2</xm:f>
          </x14:formula1>
          <xm:sqref>BW2:BW18 BW19:BW4999</xm:sqref>
        </x14:dataValidation>
        <x14:dataValidation type="list" allowBlank="1" xr:uid="{00000000-0002-0000-0100-00003C000000}">
          <x14:formula1>
            <xm:f>DropDownMenu!$BJ$2:$BJ$2</xm:f>
          </x14:formula1>
          <xm:sqref>BX2:BX18 BX19:BX4999</xm:sqref>
        </x14:dataValidation>
        <x14:dataValidation type="list" allowBlank="1" xr:uid="{00000000-0002-0000-0100-00003D000000}">
          <x14:formula1>
            <xm:f>DropDownMenu!$BK$2:$BK$2</xm:f>
          </x14:formula1>
          <xm:sqref>BY2:BY18 BY19:BY4999</xm:sqref>
        </x14:dataValidation>
        <x14:dataValidation type="list" allowBlank="1" xr:uid="{00000000-0002-0000-0100-00003E000000}">
          <x14:formula1>
            <xm:f>DropDownMenu!$BL$2:$BL$8</xm:f>
          </x14:formula1>
          <xm:sqref>BZ2:BZ18 BZ19:BZ4999</xm:sqref>
        </x14:dataValidation>
        <x14:dataValidation type="list" allowBlank="1" xr:uid="{00000000-0002-0000-0100-00003F000000}">
          <x14:formula1>
            <xm:f>DropDownMenu!$BM$2:$BM$8</xm:f>
          </x14:formula1>
          <xm:sqref>CA2:CA18 CA19:CA4999</xm:sqref>
        </x14:dataValidation>
        <x14:dataValidation type="list" allowBlank="1" xr:uid="{00000000-0002-0000-0100-000040000000}">
          <x14:formula1>
            <xm:f>DropDownMenu!$BN$2:$BN$8</xm:f>
          </x14:formula1>
          <xm:sqref>CB2:CB18 CB19:CB4999</xm:sqref>
        </x14:dataValidation>
        <x14:dataValidation type="list" allowBlank="1" xr:uid="{00000000-0002-0000-0100-000041000000}">
          <x14:formula1>
            <xm:f>DropDownMenu!$BO$2:$BO$6</xm:f>
          </x14:formula1>
          <xm:sqref>CC2:CC18 CC19:CC4999</xm:sqref>
        </x14:dataValidation>
        <x14:dataValidation type="list" allowBlank="1" xr:uid="{00000000-0002-0000-0100-000042000000}">
          <x14:formula1>
            <xm:f>DropDownMenu!$BP$2:$BP$2</xm:f>
          </x14:formula1>
          <xm:sqref>CD2:CD18 CD19:CD4999</xm:sqref>
        </x14:dataValidation>
        <x14:dataValidation type="list" allowBlank="1" xr:uid="{00000000-0002-0000-0100-000043000000}">
          <x14:formula1>
            <xm:f>DropDownMenu!$BQ$2:$BQ$2</xm:f>
          </x14:formula1>
          <xm:sqref>CE2:CE18 CE19:CE4999</xm:sqref>
        </x14:dataValidation>
        <x14:dataValidation type="list" allowBlank="1" xr:uid="{00000000-0002-0000-0100-000044000000}">
          <x14:formula1>
            <xm:f>DropDownMenu!$BR$2:$BR$2</xm:f>
          </x14:formula1>
          <xm:sqref>CF2:CF18 CF19:CF4999</xm:sqref>
        </x14:dataValidation>
        <x14:dataValidation type="list" allowBlank="1" xr:uid="{00000000-0002-0000-0100-000045000000}">
          <x14:formula1>
            <xm:f>DropDownMenu!$BS$2:$BS$2</xm:f>
          </x14:formula1>
          <xm:sqref>CG2:CG18 CG19:CG4999</xm:sqref>
        </x14:dataValidation>
        <x14:dataValidation type="list" allowBlank="1" xr:uid="{00000000-0002-0000-0100-000046000000}">
          <x14:formula1>
            <xm:f>DropDownMenu!$BT$2:$BT$2</xm:f>
          </x14:formula1>
          <xm:sqref>CH2:CH18 CH19:CH4999</xm:sqref>
        </x14:dataValidation>
        <x14:dataValidation type="list" allowBlank="1" xr:uid="{00000000-0002-0000-0100-000047000000}">
          <x14:formula1>
            <xm:f>DropDownMenu!$BU$2:$BU$2</xm:f>
          </x14:formula1>
          <xm:sqref>CN2:CN18 CN19:CN4999</xm:sqref>
        </x14:dataValidation>
        <x14:dataValidation type="list" allowBlank="1" xr:uid="{00000000-0002-0000-0100-000048000000}">
          <x14:formula1>
            <xm:f>DropDownMenu!$BV$2:$BV$2</xm:f>
          </x14:formula1>
          <xm:sqref>CO2:CO18 CO19:CO4999</xm:sqref>
        </x14:dataValidation>
        <x14:dataValidation type="list" allowBlank="1" xr:uid="{00000000-0002-0000-0100-000049000000}">
          <x14:formula1>
            <xm:f>DropDownMenu!$BW$2:$BW$2</xm:f>
          </x14:formula1>
          <xm:sqref>CQ2:CQ18 CQ19:CQ4999</xm:sqref>
        </x14:dataValidation>
        <x14:dataValidation type="list" allowBlank="1" xr:uid="{00000000-0002-0000-0100-00004A000000}">
          <x14:formula1>
            <xm:f>DropDownMenu!$BX$2:$BX$2</xm:f>
          </x14:formula1>
          <xm:sqref>CT2:CT18 CT19:CT4999</xm:sqref>
        </x14:dataValidation>
        <x14:dataValidation type="list" allowBlank="1" xr:uid="{00000000-0002-0000-0100-00004B000000}">
          <x14:formula1>
            <xm:f>DropDownMenu!$BY$2:$BY$77</xm:f>
          </x14:formula1>
          <xm:sqref>AU2:AU18 AU19:AU4999</xm:sqref>
        </x14:dataValidation>
        <x14:dataValidation type="list" allowBlank="1" xr:uid="{00000000-0002-0000-0100-00004C000000}">
          <x14:formula1>
            <xm:f>DropDownMenu!$BZ$2:$BZ$3</xm:f>
          </x14:formula1>
          <xm:sqref>CV2:CV18 CV19:CV4999</xm:sqref>
        </x14:dataValidation>
        <x14:dataValidation type="list" allowBlank="1" xr:uid="{00000000-0002-0000-0100-00004D000000}">
          <x14:formula1>
            <xm:f>DropDownMenu!$CA$2:$CA$77</xm:f>
          </x14:formula1>
          <xm:sqref>AV2:AV18 AV19:AV4999</xm:sqref>
        </x14:dataValidation>
        <x14:dataValidation type="list" allowBlank="1" xr:uid="{00000000-0002-0000-0100-00004E000000}">
          <x14:formula1>
            <xm:f>DropDownMenu!$CB$2:$CB$3</xm:f>
          </x14:formula1>
          <xm:sqref>AX2:AX18 AX19:AX4999</xm:sqref>
        </x14:dataValidation>
        <x14:dataValidation type="list" allowBlank="1" xr:uid="{00000000-0002-0000-0100-00004F000000}">
          <x14:formula1>
            <xm:f>DropDownMenu!$CC$2:$CC$3</xm:f>
          </x14:formula1>
          <xm:sqref>AY2:AY18 AY19:AY4999</xm:sqref>
        </x14:dataValidation>
        <x14:dataValidation type="list" allowBlank="1" xr:uid="{00000000-0002-0000-0100-000050000000}">
          <x14:formula1>
            <xm:f>DropDownMenu!$CD$2:$CD$10</xm:f>
          </x14:formula1>
          <xm:sqref>BA2:BA18 BA19:BA4999</xm:sqref>
        </x14:dataValidation>
        <x14:dataValidation type="list" allowBlank="1" showInputMessage="1" showErrorMessage="1" xr:uid="{00000000-0002-0000-0100-000057000000}">
          <x14:formula1>
            <xm:f>DropDownMenu!$H$2:$H$564</xm:f>
          </x14:formula1>
          <xm:sqref>H2:H18 H19:H4999</xm:sqref>
        </x14:dataValidation>
        <x14:dataValidation type="list" allowBlank="1" showInputMessage="1" showErrorMessage="1" xr:uid="{00000000-0002-0000-0100-000058000000}">
          <x14:formula1>
            <xm:f>DropDownMenu!$I$2:$I$352</xm:f>
          </x14:formula1>
          <xm:sqref>I2:I18 I19:I4999</xm:sqref>
        </x14:dataValidation>
        <x14:dataValidation type="list" allowBlank="1" showInputMessage="1" showErrorMessage="1" xr:uid="{00000000-0002-0000-0100-000059000000}">
          <x14:formula1>
            <xm:f>DropDownMenu!$J$2:$J$10</xm:f>
          </x14:formula1>
          <xm:sqref>J2:J18 J19:J4999</xm:sqref>
        </x14:dataValidation>
        <x14:dataValidation type="list" allowBlank="1" showInputMessage="1" showErrorMessage="1" xr:uid="{00000000-0002-0000-0100-00005A000000}">
          <x14:formula1>
            <xm:f>DropDownMenu!$K$2:$K$101</xm:f>
          </x14:formula1>
          <xm:sqref>K2:K18 K19:K4999</xm:sqref>
        </x14:dataValidation>
        <x14:dataValidation type="list" allowBlank="1" showInputMessage="1" showErrorMessage="1" xr:uid="{00000000-0002-0000-0100-00005B000000}">
          <x14:formula1>
            <xm:f>DropDownMenu!$L$2:$L$42</xm:f>
          </x14:formula1>
          <xm:sqref>L2:L18 L19:L4999</xm:sqref>
        </x14:dataValidation>
        <x14:dataValidation type="list" allowBlank="1" showInputMessage="1" showErrorMessage="1" xr:uid="{00000000-0002-0000-0100-00005C000000}">
          <x14:formula1>
            <xm:f>DropDownMenu!$M$2:$M$16</xm:f>
          </x14:formula1>
          <xm:sqref>M2:M18 M19:M4999</xm:sqref>
        </x14:dataValidation>
        <x14:dataValidation type="list" allowBlank="1" showInputMessage="1" showErrorMessage="1" xr:uid="{00000000-0002-0000-0100-00005D000000}">
          <x14:formula1>
            <xm:f>DropDownMenu!$N$2:$N$140</xm:f>
          </x14:formula1>
          <xm:sqref>N2:N18 N19:N4999</xm:sqref>
        </x14:dataValidation>
        <x14:dataValidation type="list" allowBlank="1" showInputMessage="1" showErrorMessage="1" xr:uid="{00000000-0002-0000-0100-00005E000000}">
          <x14:formula1>
            <xm:f>DropDownMenu!$O$2:$O$65</xm:f>
          </x14:formula1>
          <xm:sqref>O2:O18 O19:O4999</xm:sqref>
        </x14:dataValidation>
        <x14:dataValidation type="list" allowBlank="1" showInputMessage="1" showErrorMessage="1" xr:uid="{00000000-0002-0000-0100-00005F000000}">
          <x14:formula1>
            <xm:f>DropDownMenu!$P$2:$P$45</xm:f>
          </x14:formula1>
          <xm:sqref>Q2:Q18 Q19:Q4999</xm:sqref>
        </x14:dataValidation>
        <x14:dataValidation type="list" allowBlank="1" showInputMessage="1" showErrorMessage="1" xr:uid="{00000000-0002-0000-0100-000060000000}">
          <x14:formula1>
            <xm:f>DropDownMenu!$Q$2:$Q$5</xm:f>
          </x14:formula1>
          <xm:sqref>R2:R18 R19:R4999</xm:sqref>
        </x14:dataValidation>
        <x14:dataValidation type="list" allowBlank="1" showInputMessage="1" showErrorMessage="1" xr:uid="{00000000-0002-0000-0100-000061000000}">
          <x14:formula1>
            <xm:f>DropDownMenu!$R$2:$R$7</xm:f>
          </x14:formula1>
          <xm:sqref>S2:S18 S19:S4999</xm:sqref>
        </x14:dataValidation>
        <x14:dataValidation type="list" allowBlank="1" showInputMessage="1" showErrorMessage="1" xr:uid="{00000000-0002-0000-0100-000062000000}">
          <x14:formula1>
            <xm:f>DropDownMenu!$S$2:$S$11</xm:f>
          </x14:formula1>
          <xm:sqref>T2:T18 T19:T4999</xm:sqref>
        </x14:dataValidation>
        <x14:dataValidation type="list" allowBlank="1" showInputMessage="1" showErrorMessage="1" xr:uid="{00000000-0002-0000-0100-000063000000}">
          <x14:formula1>
            <xm:f>DropDownMenu!$T$2:$T$13</xm:f>
          </x14:formula1>
          <xm:sqref>U2:U18 U19:U4999</xm:sqref>
        </x14:dataValidation>
        <x14:dataValidation type="list" allowBlank="1" showInputMessage="1" showErrorMessage="1" xr:uid="{00000000-0002-0000-0100-000064000000}">
          <x14:formula1>
            <xm:f>DropDownMenu!$U$2:$U$5</xm:f>
          </x14:formula1>
          <xm:sqref>CR2:CR18 CR19:CR4999</xm:sqref>
        </x14:dataValidation>
        <x14:dataValidation type="list" allowBlank="1" showInputMessage="1" showErrorMessage="1" xr:uid="{00000000-0002-0000-0100-000065000000}">
          <x14:formula1>
            <xm:f>DropDownMenu!$V$2:$V$4</xm:f>
          </x14:formula1>
          <xm:sqref>V2:V18 V19:V4999</xm:sqref>
        </x14:dataValidation>
        <x14:dataValidation type="list" allowBlank="1" showInputMessage="1" showErrorMessage="1" xr:uid="{00000000-0002-0000-0100-000066000000}">
          <x14:formula1>
            <xm:f>DropDownMenu!$W$2:$W$6</xm:f>
          </x14:formula1>
          <xm:sqref>CU2:CU18 CU19:CU4999</xm:sqref>
        </x14:dataValidation>
        <x14:dataValidation type="list" allowBlank="1" showInputMessage="1" showErrorMessage="1" xr:uid="{00000000-0002-0000-0100-000067000000}">
          <x14:formula1>
            <xm:f>DropDownMenu!$X$2:$X$26</xm:f>
          </x14:formula1>
          <xm:sqref>W2:W18 W19:W4999</xm:sqref>
        </x14:dataValidation>
        <x14:dataValidation type="list" allowBlank="1" showInputMessage="1" showErrorMessage="1" xr:uid="{00000000-0002-0000-0100-000068000000}">
          <x14:formula1>
            <xm:f>DropDownMenu!$Y$2:$Y$7</xm:f>
          </x14:formula1>
          <xm:sqref>X2:X18 X19:X4999</xm:sqref>
        </x14:dataValidation>
        <x14:dataValidation type="list" allowBlank="1" showInputMessage="1" showErrorMessage="1" xr:uid="{00000000-0002-0000-0100-000069000000}">
          <x14:formula1>
            <xm:f>DropDownMenu!$Z$2:$Z$15</xm:f>
          </x14:formula1>
          <xm:sqref>Y2:Y18 Y19:Y4999</xm:sqref>
        </x14:dataValidation>
        <x14:dataValidation type="list" allowBlank="1" showInputMessage="1" showErrorMessage="1" xr:uid="{00000000-0002-0000-0100-00006A000000}">
          <x14:formula1>
            <xm:f>DropDownMenu!$AA$2:$AA$6</xm:f>
          </x14:formula1>
          <xm:sqref>Z2:Z18 Z19:Z4999</xm:sqref>
        </x14:dataValidation>
        <x14:dataValidation type="list" allowBlank="1" showInputMessage="1" showErrorMessage="1" xr:uid="{00000000-0002-0000-0100-00006B000000}">
          <x14:formula1>
            <xm:f>DropDownMenu!$AB$2:$AB$7</xm:f>
          </x14:formula1>
          <xm:sqref>AA2:AA18 AA19:AA4999</xm:sqref>
        </x14:dataValidation>
        <x14:dataValidation type="list" allowBlank="1" showInputMessage="1" showErrorMessage="1" xr:uid="{00000000-0002-0000-0100-00006C000000}">
          <x14:formula1>
            <xm:f>DropDownMenu!$AC$2:$AC$49</xm:f>
          </x14:formula1>
          <xm:sqref>AD2:AD18 AD19:AD4999</xm:sqref>
        </x14:dataValidation>
        <x14:dataValidation type="list" allowBlank="1" showInputMessage="1" showErrorMessage="1" xr:uid="{00000000-0002-0000-0100-00006D000000}">
          <x14:formula1>
            <xm:f>DropDownMenu!$AD$2:$AD$52</xm:f>
          </x14:formula1>
          <xm:sqref>AE2:AE18 AE19:AE4999</xm:sqref>
        </x14:dataValidation>
        <x14:dataValidation type="list" allowBlank="1" showInputMessage="1" showErrorMessage="1" xr:uid="{00000000-0002-0000-0100-00006E000000}">
          <x14:formula1>
            <xm:f>DropDownMenu!$AE$2:$AE$9</xm:f>
          </x14:formula1>
          <xm:sqref>AH2:AH18 AH19:AH4999</xm:sqref>
        </x14:dataValidation>
        <x14:dataValidation type="list" allowBlank="1" showInputMessage="1" showErrorMessage="1" xr:uid="{00000000-0002-0000-0100-00006F000000}">
          <x14:formula1>
            <xm:f>DropDownMenu!$AF$2:$AF$6</xm:f>
          </x14:formula1>
          <xm:sqref>AI2:AI18 AI19:AI4999</xm:sqref>
        </x14:dataValidation>
        <x14:dataValidation type="list" allowBlank="1" showInputMessage="1" showErrorMessage="1" xr:uid="{00000000-0002-0000-0100-000070000000}">
          <x14:formula1>
            <xm:f>DropDownMenu!$AG$2:$AG$11</xm:f>
          </x14:formula1>
          <xm:sqref>AJ2:AJ18 AJ19:AJ4999</xm:sqref>
        </x14:dataValidation>
        <x14:dataValidation type="list" allowBlank="1" showInputMessage="1" showErrorMessage="1" xr:uid="{00000000-0002-0000-0100-000071000000}">
          <x14:formula1>
            <xm:f>DropDownMenu!$AH$2:$AH$2</xm:f>
          </x14:formula1>
          <xm:sqref>AK2:AK18 AK19:AK4999</xm:sqref>
        </x14:dataValidation>
        <x14:dataValidation type="list" allowBlank="1" showInputMessage="1" showErrorMessage="1" xr:uid="{00000000-0002-0000-0100-000072000000}">
          <x14:formula1>
            <xm:f>DropDownMenu!$AI$2:$AI$2</xm:f>
          </x14:formula1>
          <xm:sqref>AL2:AL18 AL19:AL4999</xm:sqref>
        </x14:dataValidation>
        <x14:dataValidation type="list" allowBlank="1" showInputMessage="1" showErrorMessage="1" xr:uid="{00000000-0002-0000-0100-000073000000}">
          <x14:formula1>
            <xm:f>DropDownMenu!$AJ$2:$AJ$2</xm:f>
          </x14:formula1>
          <xm:sqref>AM2:AM18 AM19:AM4999</xm:sqref>
        </x14:dataValidation>
        <x14:dataValidation type="list" allowBlank="1" showInputMessage="1" showErrorMessage="1" xr:uid="{00000000-0002-0000-0100-000074000000}">
          <x14:formula1>
            <xm:f>DropDownMenu!$AK$2:$AK$2</xm:f>
          </x14:formula1>
          <xm:sqref>AN2:AN18 AN19:AN4999</xm:sqref>
        </x14:dataValidation>
        <x14:dataValidation type="list" allowBlank="1" showInputMessage="1" showErrorMessage="1" xr:uid="{00000000-0002-0000-0100-000075000000}">
          <x14:formula1>
            <xm:f>DropDownMenu!$AL$2:$AL$2</xm:f>
          </x14:formula1>
          <xm:sqref>AO2:AO18 AO19:AO4999</xm:sqref>
        </x14:dataValidation>
        <x14:dataValidation type="list" allowBlank="1" showInputMessage="1" showErrorMessage="1" xr:uid="{00000000-0002-0000-0100-000076000000}">
          <x14:formula1>
            <xm:f>DropDownMenu!$AM$2:$AM$5</xm:f>
          </x14:formula1>
          <xm:sqref>CS2:CS18 CS19:CS4999</xm:sqref>
        </x14:dataValidation>
        <x14:dataValidation type="list" allowBlank="1" showInputMessage="1" showErrorMessage="1" xr:uid="{00000000-0002-0000-0100-000077000000}">
          <x14:formula1>
            <xm:f>DropDownMenu!$AN$2:$AN$13</xm:f>
          </x14:formula1>
          <xm:sqref>AR2:AR18 AR19:AR4999</xm:sqref>
        </x14:dataValidation>
        <x14:dataValidation type="list" allowBlank="1" showInputMessage="1" showErrorMessage="1" xr:uid="{00000000-0002-0000-0100-000078000000}">
          <x14:formula1>
            <xm:f>DropDownMenu!$AO$2:$AO$40</xm:f>
          </x14:formula1>
          <xm:sqref>AS2:AS18 AS19:AS4999</xm:sqref>
        </x14:dataValidation>
        <x14:dataValidation type="list" allowBlank="1" showInputMessage="1" showErrorMessage="1" xr:uid="{00000000-0002-0000-0100-000079000000}">
          <x14:formula1>
            <xm:f>DropDownMenu!$AP$2:$AP$274</xm:f>
          </x14:formula1>
          <xm:sqref>AT2:AT18 AT19:AT4999</xm:sqref>
        </x14:dataValidation>
        <x14:dataValidation type="list" allowBlank="1" showInputMessage="1" showErrorMessage="1" xr:uid="{00000000-0002-0000-0100-00007A000000}">
          <x14:formula1>
            <xm:f>DropDownMenu!$AQ$2:$AQ$9</xm:f>
          </x14:formula1>
          <xm:sqref>BB2:BB18 BB19:BB4999</xm:sqref>
        </x14:dataValidation>
        <x14:dataValidation type="list" allowBlank="1" showInputMessage="1" showErrorMessage="1" xr:uid="{00000000-0002-0000-0100-00007B000000}">
          <x14:formula1>
            <xm:f>DropDownMenu!$AR$2:$AR$11</xm:f>
          </x14:formula1>
          <xm:sqref>BC2:BC18 BC19:BC4999</xm:sqref>
        </x14:dataValidation>
        <x14:dataValidation type="list" allowBlank="1" showInputMessage="1" showErrorMessage="1" xr:uid="{00000000-0002-0000-0100-00007C000000}">
          <x14:formula1>
            <xm:f>DropDownMenu!$AS$2:$AS$3</xm:f>
          </x14:formula1>
          <xm:sqref>BD2:BD18 BD19:BD4999</xm:sqref>
        </x14:dataValidation>
        <x14:dataValidation type="list" allowBlank="1" showInputMessage="1" showErrorMessage="1" xr:uid="{00000000-0002-0000-0100-00007D000000}">
          <x14:formula1>
            <xm:f>DropDownMenu!$AT$2:$AT$4</xm:f>
          </x14:formula1>
          <xm:sqref>BE2:BE18 BE19:BE4999</xm:sqref>
        </x14:dataValidation>
        <x14:dataValidation type="list" allowBlank="1" showInputMessage="1" showErrorMessage="1" xr:uid="{00000000-0002-0000-0100-00007E000000}">
          <x14:formula1>
            <xm:f>DropDownMenu!$AU$2:$AU$2</xm:f>
          </x14:formula1>
          <xm:sqref>BG2:BG18 BG19:BG4999</xm:sqref>
        </x14:dataValidation>
        <x14:dataValidation type="list" allowBlank="1" showInputMessage="1" showErrorMessage="1" xr:uid="{00000000-0002-0000-0100-00007F000000}">
          <x14:formula1>
            <xm:f>DropDownMenu!$AV$2:$AV$9</xm:f>
          </x14:formula1>
          <xm:sqref>BH2:BH18 BH19:BH4999</xm:sqref>
        </x14:dataValidation>
        <x14:dataValidation type="list" allowBlank="1" showInputMessage="1" showErrorMessage="1" xr:uid="{00000000-0002-0000-0100-000080000000}">
          <x14:formula1>
            <xm:f>DropDownMenu!$AW$2:$AW$81</xm:f>
          </x14:formula1>
          <xm:sqref>BI2:BI18 BI19:BI4999</xm:sqref>
        </x14:dataValidation>
        <x14:dataValidation type="list" allowBlank="1" showInputMessage="1" showErrorMessage="1" xr:uid="{00000000-0002-0000-0100-000081000000}">
          <x14:formula1>
            <xm:f>DropDownMenu!$AX$2:$AX$3</xm:f>
          </x14:formula1>
          <xm:sqref>BJ2:BJ18 BJ19:BJ4999</xm:sqref>
        </x14:dataValidation>
        <x14:dataValidation type="list" allowBlank="1" showInputMessage="1" showErrorMessage="1" xr:uid="{00000000-0002-0000-0100-000082000000}">
          <x14:formula1>
            <xm:f>DropDownMenu!$AY$2:$AY$7</xm:f>
          </x14:formula1>
          <xm:sqref>BK2:BK18 BK19:BK4999</xm:sqref>
        </x14:dataValidation>
        <x14:dataValidation type="list" allowBlank="1" showInputMessage="1" showErrorMessage="1" xr:uid="{00000000-0002-0000-0100-000083000000}">
          <x14:formula1>
            <xm:f>DropDownMenu!$AZ$2:$AZ$9</xm:f>
          </x14:formula1>
          <xm:sqref>BL2:BL18 BL19:BL4999</xm:sqref>
        </x14:dataValidation>
        <x14:dataValidation type="list" allowBlank="1" showInputMessage="1" showErrorMessage="1" xr:uid="{00000000-0002-0000-0100-000084000000}">
          <x14:formula1>
            <xm:f>DropDownMenu!$BA$2:$BA$9</xm:f>
          </x14:formula1>
          <xm:sqref>BM2:BM18 BM19:BM4999</xm:sqref>
        </x14:dataValidation>
        <x14:dataValidation type="list" allowBlank="1" showInputMessage="1" showErrorMessage="1" xr:uid="{00000000-0002-0000-0100-000085000000}">
          <x14:formula1>
            <xm:f>DropDownMenu!$BB$2:$BB$3</xm:f>
          </x14:formula1>
          <xm:sqref>BN2:BN18 BN19:BN4999</xm:sqref>
        </x14:dataValidation>
        <x14:dataValidation type="list" allowBlank="1" showInputMessage="1" showErrorMessage="1" xr:uid="{00000000-0002-0000-0100-000086000000}">
          <x14:formula1>
            <xm:f>DropDownMenu!$BC$2:$BC$2</xm:f>
          </x14:formula1>
          <xm:sqref>BO2:BO18 BO19:BO4999</xm:sqref>
        </x14:dataValidation>
        <x14:dataValidation type="list" allowBlank="1" showInputMessage="1" showErrorMessage="1" xr:uid="{00000000-0002-0000-0100-000087000000}">
          <x14:formula1>
            <xm:f>DropDownMenu!$BD$2:$BD$29</xm:f>
          </x14:formula1>
          <xm:sqref>BQ2:BQ18 BQ19:BQ4999</xm:sqref>
        </x14:dataValidation>
        <x14:dataValidation type="list" allowBlank="1" showInputMessage="1" showErrorMessage="1" xr:uid="{00000000-0002-0000-0100-000088000000}">
          <x14:formula1>
            <xm:f>DropDownMenu!$BE$2:$BE$2</xm:f>
          </x14:formula1>
          <xm:sqref>BT2:BT18 BT19:BT4999</xm:sqref>
        </x14:dataValidation>
        <x14:dataValidation type="list" allowBlank="1" showInputMessage="1" showErrorMessage="1" xr:uid="{00000000-0002-0000-0100-000089000000}">
          <x14:formula1>
            <xm:f>DropDownMenu!$BF$2:$BF$33</xm:f>
          </x14:formula1>
          <xm:sqref>BU2:BU18 BU19:BU4999</xm:sqref>
        </x14:dataValidation>
        <x14:dataValidation type="list" allowBlank="1" showInputMessage="1" showErrorMessage="1" xr:uid="{00000000-0002-0000-0100-00008A000000}">
          <x14:formula1>
            <xm:f>DropDownMenu!$BG$2:$BG$2</xm:f>
          </x14:formula1>
          <xm:sqref>BV2:BV18 BV19:BV4999</xm:sqref>
        </x14:dataValidation>
        <x14:dataValidation type="list" allowBlank="1" showInputMessage="1" showErrorMessage="1" xr:uid="{00000000-0002-0000-0100-00008B000000}">
          <x14:formula1>
            <xm:f>DropDownMenu!$BH$2:$BH$4</xm:f>
          </x14:formula1>
          <xm:sqref>AW2:AW18 AW19:AW4999</xm:sqref>
        </x14:dataValidation>
        <x14:dataValidation type="list" allowBlank="1" showInputMessage="1" showErrorMessage="1" xr:uid="{00000000-0002-0000-0100-00008C000000}">
          <x14:formula1>
            <xm:f>DropDownMenu!$BI$2:$BI$2</xm:f>
          </x14:formula1>
          <xm:sqref>BW2:BW18 BW19:BW4999</xm:sqref>
        </x14:dataValidation>
        <x14:dataValidation type="list" allowBlank="1" showInputMessage="1" showErrorMessage="1" xr:uid="{00000000-0002-0000-0100-00008D000000}">
          <x14:formula1>
            <xm:f>DropDownMenu!$BJ$2:$BJ$2</xm:f>
          </x14:formula1>
          <xm:sqref>BX2:BX18 BX19:BX4999</xm:sqref>
        </x14:dataValidation>
        <x14:dataValidation type="list" allowBlank="1" showInputMessage="1" showErrorMessage="1" xr:uid="{00000000-0002-0000-0100-00008E000000}">
          <x14:formula1>
            <xm:f>DropDownMenu!$BK$2:$BK$2</xm:f>
          </x14:formula1>
          <xm:sqref>BY2:BY18 BY19:BY4999</xm:sqref>
        </x14:dataValidation>
        <x14:dataValidation type="list" allowBlank="1" showInputMessage="1" showErrorMessage="1" xr:uid="{00000000-0002-0000-0100-00008F000000}">
          <x14:formula1>
            <xm:f>DropDownMenu!$BL$2:$BL$8</xm:f>
          </x14:formula1>
          <xm:sqref>BZ2:BZ18 BZ19:BZ4999</xm:sqref>
        </x14:dataValidation>
        <x14:dataValidation type="list" allowBlank="1" showInputMessage="1" showErrorMessage="1" xr:uid="{00000000-0002-0000-0100-000090000000}">
          <x14:formula1>
            <xm:f>DropDownMenu!$BM$2:$BM$8</xm:f>
          </x14:formula1>
          <xm:sqref>CA2:CA18 CA19:CA4999</xm:sqref>
        </x14:dataValidation>
        <x14:dataValidation type="list" allowBlank="1" showInputMessage="1" showErrorMessage="1" xr:uid="{00000000-0002-0000-0100-000091000000}">
          <x14:formula1>
            <xm:f>DropDownMenu!$BN$2:$BN$8</xm:f>
          </x14:formula1>
          <xm:sqref>CB2:CB18 CB19:CB4999</xm:sqref>
        </x14:dataValidation>
        <x14:dataValidation type="list" allowBlank="1" showInputMessage="1" showErrorMessage="1" xr:uid="{00000000-0002-0000-0100-000092000000}">
          <x14:formula1>
            <xm:f>DropDownMenu!$BO$2:$BO$6</xm:f>
          </x14:formula1>
          <xm:sqref>CC2:CC18 CC19:CC4999</xm:sqref>
        </x14:dataValidation>
        <x14:dataValidation type="list" allowBlank="1" showInputMessage="1" showErrorMessage="1" xr:uid="{00000000-0002-0000-0100-000093000000}">
          <x14:formula1>
            <xm:f>DropDownMenu!$BP$2:$BP$2</xm:f>
          </x14:formula1>
          <xm:sqref>CD2:CD18 CD19:CD4999</xm:sqref>
        </x14:dataValidation>
        <x14:dataValidation type="list" allowBlank="1" showInputMessage="1" showErrorMessage="1" xr:uid="{00000000-0002-0000-0100-000094000000}">
          <x14:formula1>
            <xm:f>DropDownMenu!$BQ$2:$BQ$2</xm:f>
          </x14:formula1>
          <xm:sqref>CE2:CE18 CE19:CE4999</xm:sqref>
        </x14:dataValidation>
        <x14:dataValidation type="list" allowBlank="1" showInputMessage="1" showErrorMessage="1" xr:uid="{00000000-0002-0000-0100-000095000000}">
          <x14:formula1>
            <xm:f>DropDownMenu!$BR$2:$BR$2</xm:f>
          </x14:formula1>
          <xm:sqref>CF2:CF18 CF19:CF4999</xm:sqref>
        </x14:dataValidation>
        <x14:dataValidation type="list" allowBlank="1" showInputMessage="1" showErrorMessage="1" xr:uid="{00000000-0002-0000-0100-000096000000}">
          <x14:formula1>
            <xm:f>DropDownMenu!$BS$2:$BS$2</xm:f>
          </x14:formula1>
          <xm:sqref>CG2:CG18 CG19:CG4999</xm:sqref>
        </x14:dataValidation>
        <x14:dataValidation type="list" allowBlank="1" showInputMessage="1" showErrorMessage="1" xr:uid="{00000000-0002-0000-0100-000097000000}">
          <x14:formula1>
            <xm:f>DropDownMenu!$BT$2:$BT$2</xm:f>
          </x14:formula1>
          <xm:sqref>CH2:CH18 CH19:CH4999</xm:sqref>
        </x14:dataValidation>
        <x14:dataValidation type="list" allowBlank="1" showInputMessage="1" showErrorMessage="1" xr:uid="{00000000-0002-0000-0100-000098000000}">
          <x14:formula1>
            <xm:f>DropDownMenu!$BU$2:$BU$2</xm:f>
          </x14:formula1>
          <xm:sqref>CN2:CN18 CN19:CN4999</xm:sqref>
        </x14:dataValidation>
        <x14:dataValidation type="list" allowBlank="1" showInputMessage="1" showErrorMessage="1" xr:uid="{00000000-0002-0000-0100-000099000000}">
          <x14:formula1>
            <xm:f>DropDownMenu!$BV$2:$BV$2</xm:f>
          </x14:formula1>
          <xm:sqref>CO2:CO18 CO19:CO4999</xm:sqref>
        </x14:dataValidation>
        <x14:dataValidation type="list" allowBlank="1" showInputMessage="1" showErrorMessage="1" xr:uid="{00000000-0002-0000-0100-00009A000000}">
          <x14:formula1>
            <xm:f>DropDownMenu!$BW$2:$BW$2</xm:f>
          </x14:formula1>
          <xm:sqref>CQ2:CQ18 CQ19:CQ4999</xm:sqref>
        </x14:dataValidation>
        <x14:dataValidation type="list" allowBlank="1" showInputMessage="1" showErrorMessage="1" xr:uid="{00000000-0002-0000-0100-00009B000000}">
          <x14:formula1>
            <xm:f>DropDownMenu!$BX$2:$BX$2</xm:f>
          </x14:formula1>
          <xm:sqref>CT2:CT18 CT19:CT4999</xm:sqref>
        </x14:dataValidation>
        <x14:dataValidation type="list" allowBlank="1" showInputMessage="1" showErrorMessage="1" xr:uid="{00000000-0002-0000-0100-00009C000000}">
          <x14:formula1>
            <xm:f>DropDownMenu!$BY$2:$BY$77</xm:f>
          </x14:formula1>
          <xm:sqref>AU2:AU18 AU19:AU4999</xm:sqref>
        </x14:dataValidation>
        <x14:dataValidation type="list" allowBlank="1" showInputMessage="1" showErrorMessage="1" xr:uid="{00000000-0002-0000-0100-00009D000000}">
          <x14:formula1>
            <xm:f>DropDownMenu!$BZ$2:$BZ$3</xm:f>
          </x14:formula1>
          <xm:sqref>CV2:CV18 CV19:CV4999</xm:sqref>
        </x14:dataValidation>
        <x14:dataValidation type="list" allowBlank="1" showInputMessage="1" showErrorMessage="1" xr:uid="{00000000-0002-0000-0100-00009E000000}">
          <x14:formula1>
            <xm:f>DropDownMenu!$CA$2:$CA$77</xm:f>
          </x14:formula1>
          <xm:sqref>AV2:AV18 AV19:AV4999</xm:sqref>
        </x14:dataValidation>
        <x14:dataValidation type="list" allowBlank="1" showInputMessage="1" showErrorMessage="1" xr:uid="{00000000-0002-0000-0100-00009F000000}">
          <x14:formula1>
            <xm:f>DropDownMenu!$CB$2:$CB$3</xm:f>
          </x14:formula1>
          <xm:sqref>AX2:AX18 AX19:AX4999</xm:sqref>
        </x14:dataValidation>
        <x14:dataValidation type="list" allowBlank="1" showInputMessage="1" showErrorMessage="1" xr:uid="{00000000-0002-0000-0100-0000A0000000}">
          <x14:formula1>
            <xm:f>DropDownMenu!$CC$2:$CC$3</xm:f>
          </x14:formula1>
          <xm:sqref>AY2:AY18 AY19:AY4999</xm:sqref>
        </x14:dataValidation>
        <x14:dataValidation type="list" allowBlank="1" showInputMessage="1" showErrorMessage="1" xr:uid="{00000000-0002-0000-0100-0000A1000000}">
          <x14:formula1>
            <xm:f>DropDownMenu!$CD$2:$CD$10</xm:f>
          </x14:formula1>
          <xm:sqref>BA2:BA18 BA19:BA4999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applyStyles="1" summaryRight="0"/>
  </sheetPr>
  <dimension ref="A1:CV55"/>
  <sheetViews>
    <sheetView workbookViewId="0">
      <pane xSplit="7" ySplit="1" topLeftCell="H11" activePane="bottomRight" state="frozen"/>
      <selection pane="topRight"/>
      <selection pane="bottomLeft"/>
      <selection pane="bottomRight" activeCell="O16" sqref="O16"/>
    </sheetView>
  </sheetViews>
  <sheetFormatPr baseColWidth="10" defaultColWidth="8.83203125" defaultRowHeight="15" outlineLevelCol="1" x14ac:dyDescent="0.2"/>
  <cols>
    <col min="1" max="6" width="4" customWidth="1"/>
    <col min="7" max="7" width="40" customWidth="1"/>
    <col min="8" max="8" width="9" customWidth="1"/>
    <col min="9" max="10" width="6" customWidth="1"/>
    <col min="11" max="12" width="5" customWidth="1"/>
    <col min="13" max="13" width="4" customWidth="1"/>
    <col min="14" max="15" width="32" customWidth="1"/>
    <col min="16" max="16" width="4" customWidth="1"/>
    <col min="17" max="17" width="5" customWidth="1" outlineLevel="1"/>
    <col min="18" max="18" width="4" customWidth="1" outlineLevel="1"/>
    <col min="19" max="19" width="5" customWidth="1" outlineLevel="1"/>
    <col min="20" max="20" width="4" customWidth="1" outlineLevel="1"/>
    <col min="21" max="21" width="7" customWidth="1" outlineLevel="1"/>
    <col min="22" max="22" width="4" customWidth="1" outlineLevel="1"/>
    <col min="23" max="23" width="6" customWidth="1"/>
    <col min="24" max="25" width="5" customWidth="1" outlineLevel="1"/>
    <col min="26" max="26" width="6" customWidth="1" outlineLevel="1"/>
    <col min="27" max="27" width="10" customWidth="1"/>
    <col min="28" max="34" width="10" customWidth="1" outlineLevel="1"/>
    <col min="35" max="35" width="6" customWidth="1"/>
    <col min="36" max="36" width="6" customWidth="1" outlineLevel="1"/>
    <col min="37" max="43" width="4" customWidth="1" outlineLevel="1"/>
    <col min="44" max="44" width="6" customWidth="1" outlineLevel="1"/>
    <col min="45" max="45" width="25" customWidth="1" outlineLevel="1"/>
    <col min="46" max="47" width="20" customWidth="1" outlineLevel="1"/>
    <col min="48" max="48" width="10" customWidth="1" outlineLevel="1"/>
    <col min="49" max="49" width="5" customWidth="1" outlineLevel="1"/>
    <col min="50" max="50" width="4" customWidth="1"/>
    <col min="51" max="52" width="4" customWidth="1" outlineLevel="1"/>
    <col min="53" max="53" width="20" customWidth="1" outlineLevel="1"/>
    <col min="54" max="54" width="4" customWidth="1"/>
    <col min="55" max="59" width="4" customWidth="1" outlineLevel="1"/>
    <col min="60" max="60" width="6" customWidth="1" outlineLevel="1"/>
    <col min="61" max="61" width="11" customWidth="1" outlineLevel="1"/>
    <col min="62" max="66" width="4" customWidth="1" outlineLevel="1"/>
    <col min="67" max="67" width="7" customWidth="1" outlineLevel="1"/>
    <col min="68" max="76" width="4" customWidth="1" outlineLevel="1"/>
    <col min="77" max="80" width="11" customWidth="1" outlineLevel="1"/>
    <col min="81" max="81" width="4" customWidth="1" outlineLevel="1"/>
    <col min="82" max="82" width="6" customWidth="1" outlineLevel="1"/>
    <col min="83" max="97" width="4" customWidth="1" outlineLevel="1"/>
    <col min="98" max="98" width="8" customWidth="1" outlineLevel="1"/>
    <col min="99" max="100" width="4" customWidth="1" outlineLevel="1"/>
  </cols>
  <sheetData>
    <row r="1" spans="1:100" ht="15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 t="s">
        <v>22</v>
      </c>
      <c r="X1" s="1" t="s">
        <v>23</v>
      </c>
      <c r="Y1" s="1" t="s">
        <v>24</v>
      </c>
      <c r="Z1" s="1" t="s">
        <v>25</v>
      </c>
      <c r="AA1" s="3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</row>
    <row r="2" spans="1:100" s="16" customFormat="1" x14ac:dyDescent="0.2">
      <c r="A2" s="41" t="b">
        <v>0</v>
      </c>
      <c r="B2" s="42" t="b">
        <v>0</v>
      </c>
      <c r="C2" s="42" t="b">
        <v>0</v>
      </c>
      <c r="D2" s="42" t="b">
        <v>0</v>
      </c>
      <c r="E2" s="42" t="b">
        <v>0</v>
      </c>
      <c r="F2" s="41" t="b">
        <v>0</v>
      </c>
      <c r="G2" s="43"/>
      <c r="H2" s="14" t="s">
        <v>517</v>
      </c>
      <c r="I2" s="14" t="s">
        <v>518</v>
      </c>
      <c r="J2" s="14" t="s">
        <v>519</v>
      </c>
      <c r="K2" s="14" t="s">
        <v>520</v>
      </c>
      <c r="L2" s="14" t="s">
        <v>137</v>
      </c>
      <c r="M2" s="14"/>
      <c r="N2" s="14" t="s">
        <v>521</v>
      </c>
      <c r="O2" s="14" t="s">
        <v>522</v>
      </c>
      <c r="P2" s="14"/>
      <c r="Q2" s="14"/>
      <c r="R2" s="14" t="s">
        <v>129</v>
      </c>
      <c r="S2" s="14"/>
      <c r="T2" s="14"/>
      <c r="U2" s="14" t="s">
        <v>523</v>
      </c>
      <c r="V2" s="14"/>
      <c r="W2" s="14" t="s">
        <v>129</v>
      </c>
      <c r="X2" s="14"/>
      <c r="Y2" s="14" t="s">
        <v>524</v>
      </c>
      <c r="Z2" s="14" t="s">
        <v>142</v>
      </c>
      <c r="AA2" s="14"/>
      <c r="AB2" s="14"/>
      <c r="AC2" s="14"/>
      <c r="AD2" s="14" t="s">
        <v>525</v>
      </c>
      <c r="AE2" s="14" t="s">
        <v>116</v>
      </c>
      <c r="AF2" s="14"/>
      <c r="AG2" s="14"/>
      <c r="AH2" s="14"/>
      <c r="AI2" s="14" t="s">
        <v>339</v>
      </c>
      <c r="AJ2" s="14" t="s">
        <v>526</v>
      </c>
      <c r="AK2" s="14"/>
      <c r="AL2" s="14"/>
      <c r="AM2" s="14"/>
      <c r="AN2" s="14"/>
      <c r="AO2" s="14"/>
      <c r="AP2" s="14" t="s">
        <v>527</v>
      </c>
      <c r="AQ2" s="14"/>
      <c r="AR2" s="14"/>
      <c r="AS2" s="14" t="s">
        <v>144</v>
      </c>
      <c r="AT2" s="14" t="s">
        <v>285</v>
      </c>
      <c r="AU2" s="15" t="str">
        <f>IF($AT2="","",IFERROR(INDEX(InstructorMap!$B:$B, MATCH($AT2, InstructorMap!$A:$A, 0)),""))</f>
        <v/>
      </c>
      <c r="AV2" s="15" t="str">
        <f>IF($AT2="","",IFERROR(INDEX(InstructorMap!$C:$C, MATCH($AT2, InstructorMap!$A:$A, 0)),""))</f>
        <v/>
      </c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 t="s">
        <v>519</v>
      </c>
      <c r="BI2" s="14" t="s">
        <v>124</v>
      </c>
      <c r="BJ2" s="14" t="s">
        <v>125</v>
      </c>
      <c r="BK2" s="14"/>
      <c r="BL2" s="14" t="s">
        <v>125</v>
      </c>
      <c r="BM2" s="14"/>
      <c r="BN2" s="14"/>
      <c r="BO2" s="14" t="s">
        <v>127</v>
      </c>
      <c r="BP2" s="14"/>
      <c r="BQ2" s="14"/>
      <c r="BR2" s="14"/>
      <c r="BS2" s="14"/>
      <c r="BT2" s="14" t="s">
        <v>128</v>
      </c>
      <c r="BU2" s="14" t="s">
        <v>129</v>
      </c>
      <c r="BV2" s="14" t="s">
        <v>129</v>
      </c>
      <c r="BW2" s="14"/>
      <c r="BX2" s="14"/>
      <c r="BY2" s="14" t="s">
        <v>525</v>
      </c>
      <c r="BZ2" s="14" t="s">
        <v>116</v>
      </c>
      <c r="CA2" s="14" t="s">
        <v>525</v>
      </c>
      <c r="CB2" s="14" t="s">
        <v>116</v>
      </c>
      <c r="CC2" s="14" t="s">
        <v>150</v>
      </c>
      <c r="CD2" s="14" t="s">
        <v>528</v>
      </c>
      <c r="CE2" s="14"/>
      <c r="CF2" s="14" t="s">
        <v>130</v>
      </c>
      <c r="CG2" s="14"/>
      <c r="CH2" s="14" t="s">
        <v>131</v>
      </c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 t="s">
        <v>133</v>
      </c>
      <c r="CU2" s="14"/>
      <c r="CV2" s="14"/>
    </row>
    <row r="3" spans="1:100" s="16" customFormat="1" x14ac:dyDescent="0.2">
      <c r="A3" s="41" t="b">
        <v>0</v>
      </c>
      <c r="B3" s="42" t="b">
        <v>0</v>
      </c>
      <c r="C3" s="42" t="b">
        <v>0</v>
      </c>
      <c r="D3" s="42" t="b">
        <v>0</v>
      </c>
      <c r="E3" s="42" t="b">
        <v>0</v>
      </c>
      <c r="F3" s="41" t="b">
        <v>0</v>
      </c>
      <c r="G3" s="43"/>
      <c r="H3" s="14" t="s">
        <v>529</v>
      </c>
      <c r="I3" s="14" t="s">
        <v>518</v>
      </c>
      <c r="J3" s="14" t="s">
        <v>519</v>
      </c>
      <c r="K3" s="14" t="s">
        <v>520</v>
      </c>
      <c r="L3" s="14" t="s">
        <v>137</v>
      </c>
      <c r="M3" s="14"/>
      <c r="N3" s="14" t="s">
        <v>521</v>
      </c>
      <c r="O3" s="14" t="s">
        <v>522</v>
      </c>
      <c r="P3" s="14"/>
      <c r="Q3" s="14"/>
      <c r="R3" s="14" t="s">
        <v>129</v>
      </c>
      <c r="S3" s="14"/>
      <c r="T3" s="14"/>
      <c r="U3" s="14" t="s">
        <v>523</v>
      </c>
      <c r="V3" s="14"/>
      <c r="W3" s="14" t="s">
        <v>129</v>
      </c>
      <c r="X3" s="14"/>
      <c r="Y3" s="14" t="s">
        <v>524</v>
      </c>
      <c r="Z3" s="14" t="s">
        <v>142</v>
      </c>
      <c r="AA3" s="14"/>
      <c r="AB3" s="14"/>
      <c r="AC3" s="14"/>
      <c r="AD3" s="14" t="s">
        <v>525</v>
      </c>
      <c r="AE3" s="14" t="s">
        <v>116</v>
      </c>
      <c r="AF3" s="14"/>
      <c r="AG3" s="14"/>
      <c r="AH3" s="14"/>
      <c r="AI3" s="14" t="s">
        <v>117</v>
      </c>
      <c r="AJ3" s="14" t="s">
        <v>526</v>
      </c>
      <c r="AK3" s="14"/>
      <c r="AL3" s="14"/>
      <c r="AM3" s="14"/>
      <c r="AN3" s="14"/>
      <c r="AO3" s="14"/>
      <c r="AP3" s="14"/>
      <c r="AQ3" s="14" t="s">
        <v>530</v>
      </c>
      <c r="AR3" s="14"/>
      <c r="AS3" s="14" t="s">
        <v>144</v>
      </c>
      <c r="AT3" s="14" t="s">
        <v>285</v>
      </c>
      <c r="AU3" s="15" t="str">
        <f>IF($AT3="","",IFERROR(INDEX(InstructorMap!$B:$B, MATCH($AT3, InstructorMap!$A:$A, 0)),""))</f>
        <v/>
      </c>
      <c r="AV3" s="15" t="str">
        <f>IF($AT3="","",IFERROR(INDEX(InstructorMap!$C:$C, MATCH($AT3, InstructorMap!$A:$A, 0)),""))</f>
        <v/>
      </c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 t="s">
        <v>519</v>
      </c>
      <c r="BI3" s="14" t="s">
        <v>124</v>
      </c>
      <c r="BJ3" s="14" t="s">
        <v>125</v>
      </c>
      <c r="BK3" s="14"/>
      <c r="BL3" s="14" t="s">
        <v>125</v>
      </c>
      <c r="BM3" s="14"/>
      <c r="BN3" s="14"/>
      <c r="BO3" s="14" t="s">
        <v>127</v>
      </c>
      <c r="BP3" s="14"/>
      <c r="BQ3" s="14"/>
      <c r="BR3" s="14"/>
      <c r="BS3" s="14"/>
      <c r="BT3" s="14" t="s">
        <v>128</v>
      </c>
      <c r="BU3" s="14" t="s">
        <v>129</v>
      </c>
      <c r="BV3" s="14" t="s">
        <v>129</v>
      </c>
      <c r="BW3" s="14"/>
      <c r="BX3" s="14"/>
      <c r="BY3" s="14" t="s">
        <v>525</v>
      </c>
      <c r="BZ3" s="14" t="s">
        <v>116</v>
      </c>
      <c r="CA3" s="14" t="s">
        <v>525</v>
      </c>
      <c r="CB3" s="14" t="s">
        <v>116</v>
      </c>
      <c r="CC3" s="14" t="s">
        <v>150</v>
      </c>
      <c r="CD3" s="14" t="s">
        <v>528</v>
      </c>
      <c r="CE3" s="14"/>
      <c r="CF3" s="14" t="s">
        <v>130</v>
      </c>
      <c r="CG3" s="14"/>
      <c r="CH3" s="14" t="s">
        <v>131</v>
      </c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 t="s">
        <v>133</v>
      </c>
      <c r="CU3" s="14"/>
      <c r="CV3" s="14"/>
    </row>
    <row r="4" spans="1:100" s="16" customFormat="1" x14ac:dyDescent="0.2">
      <c r="A4" s="41" t="b">
        <v>0</v>
      </c>
      <c r="B4" s="42" t="b">
        <v>0</v>
      </c>
      <c r="C4" s="42" t="b">
        <v>0</v>
      </c>
      <c r="D4" s="42" t="b">
        <v>0</v>
      </c>
      <c r="E4" s="42" t="b">
        <v>0</v>
      </c>
      <c r="F4" s="41" t="b">
        <v>0</v>
      </c>
      <c r="G4" s="43"/>
      <c r="H4" s="14" t="s">
        <v>531</v>
      </c>
      <c r="I4" s="14" t="s">
        <v>532</v>
      </c>
      <c r="J4" s="14" t="s">
        <v>519</v>
      </c>
      <c r="K4" s="14" t="s">
        <v>520</v>
      </c>
      <c r="L4" s="14" t="s">
        <v>234</v>
      </c>
      <c r="M4" s="14"/>
      <c r="N4" s="14" t="s">
        <v>521</v>
      </c>
      <c r="O4" s="14" t="s">
        <v>533</v>
      </c>
      <c r="P4" s="14"/>
      <c r="Q4" s="14"/>
      <c r="R4" s="14" t="s">
        <v>129</v>
      </c>
      <c r="S4" s="14"/>
      <c r="T4" s="14"/>
      <c r="U4" s="14" t="s">
        <v>523</v>
      </c>
      <c r="V4" s="14"/>
      <c r="W4" s="14" t="s">
        <v>129</v>
      </c>
      <c r="X4" s="14"/>
      <c r="Y4" s="14" t="s">
        <v>121</v>
      </c>
      <c r="Z4" s="14" t="s">
        <v>142</v>
      </c>
      <c r="AA4" s="14"/>
      <c r="AB4" s="14"/>
      <c r="AC4" s="14"/>
      <c r="AD4" s="14" t="s">
        <v>525</v>
      </c>
      <c r="AE4" s="14" t="s">
        <v>116</v>
      </c>
      <c r="AF4" s="14"/>
      <c r="AG4" s="14"/>
      <c r="AH4" s="14"/>
      <c r="AI4" s="14" t="s">
        <v>175</v>
      </c>
      <c r="AJ4" s="14" t="s">
        <v>534</v>
      </c>
      <c r="AK4" s="14"/>
      <c r="AL4" s="14"/>
      <c r="AM4" s="14"/>
      <c r="AN4" s="14"/>
      <c r="AO4" s="14"/>
      <c r="AP4" s="14" t="s">
        <v>527</v>
      </c>
      <c r="AQ4" s="14"/>
      <c r="AR4" s="14"/>
      <c r="AS4" s="14" t="s">
        <v>144</v>
      </c>
      <c r="AT4" s="14" t="s">
        <v>535</v>
      </c>
      <c r="AU4" s="15" t="str">
        <f>IF($AT4="","",IFERROR(INDEX(InstructorMap!$B:$B, MATCH($AT4, InstructorMap!$A:$A, 0)),""))</f>
        <v>hyveth@andrews.edu</v>
      </c>
      <c r="AV4" s="15" t="str">
        <f>IF($AT4="","",IFERROR(INDEX(InstructorMap!$C:$C, MATCH($AT4, InstructorMap!$A:$A, 0)),""))</f>
        <v>000049271</v>
      </c>
      <c r="AW4" s="14" t="s">
        <v>121</v>
      </c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 t="s">
        <v>519</v>
      </c>
      <c r="BI4" s="14" t="s">
        <v>124</v>
      </c>
      <c r="BJ4" s="14" t="s">
        <v>125</v>
      </c>
      <c r="BK4" s="14"/>
      <c r="BL4" s="14" t="s">
        <v>125</v>
      </c>
      <c r="BM4" s="14"/>
      <c r="BN4" s="14"/>
      <c r="BO4" s="14" t="s">
        <v>127</v>
      </c>
      <c r="BP4" s="14"/>
      <c r="BQ4" s="14"/>
      <c r="BR4" s="14"/>
      <c r="BS4" s="14"/>
      <c r="BT4" s="14" t="s">
        <v>128</v>
      </c>
      <c r="BU4" s="14" t="s">
        <v>129</v>
      </c>
      <c r="BV4" s="14" t="s">
        <v>129</v>
      </c>
      <c r="BW4" s="14" t="s">
        <v>130</v>
      </c>
      <c r="BX4" s="14"/>
      <c r="BY4" s="14" t="s">
        <v>525</v>
      </c>
      <c r="BZ4" s="14" t="s">
        <v>116</v>
      </c>
      <c r="CA4" s="14" t="s">
        <v>525</v>
      </c>
      <c r="CB4" s="14" t="s">
        <v>116</v>
      </c>
      <c r="CC4" s="14" t="s">
        <v>134</v>
      </c>
      <c r="CD4" s="14" t="s">
        <v>528</v>
      </c>
      <c r="CE4" s="14"/>
      <c r="CF4" s="14" t="s">
        <v>130</v>
      </c>
      <c r="CG4" s="14"/>
      <c r="CH4" s="14" t="s">
        <v>131</v>
      </c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 t="s">
        <v>133</v>
      </c>
      <c r="CU4" s="14"/>
      <c r="CV4" s="14"/>
    </row>
    <row r="5" spans="1:100" s="16" customFormat="1" x14ac:dyDescent="0.2">
      <c r="A5" s="41" t="b">
        <v>0</v>
      </c>
      <c r="B5" s="42" t="b">
        <v>0</v>
      </c>
      <c r="C5" s="42" t="b">
        <v>0</v>
      </c>
      <c r="D5" s="42" t="b">
        <v>0</v>
      </c>
      <c r="E5" s="42" t="b">
        <v>0</v>
      </c>
      <c r="F5" s="41" t="b">
        <v>0</v>
      </c>
      <c r="G5" s="43"/>
      <c r="H5" s="14" t="s">
        <v>536</v>
      </c>
      <c r="I5" s="14" t="s">
        <v>537</v>
      </c>
      <c r="J5" s="14" t="s">
        <v>519</v>
      </c>
      <c r="K5" s="14" t="s">
        <v>520</v>
      </c>
      <c r="L5" s="14" t="s">
        <v>538</v>
      </c>
      <c r="M5" s="14"/>
      <c r="N5" s="14" t="s">
        <v>521</v>
      </c>
      <c r="O5" s="14" t="s">
        <v>539</v>
      </c>
      <c r="P5" s="14"/>
      <c r="Q5" s="14"/>
      <c r="R5" s="14" t="s">
        <v>129</v>
      </c>
      <c r="S5" s="14"/>
      <c r="T5" s="14"/>
      <c r="U5" s="14" t="s">
        <v>523</v>
      </c>
      <c r="V5" s="14"/>
      <c r="W5" s="14" t="s">
        <v>129</v>
      </c>
      <c r="X5" s="14"/>
      <c r="Y5" s="14" t="s">
        <v>121</v>
      </c>
      <c r="Z5" s="14" t="s">
        <v>142</v>
      </c>
      <c r="AA5" s="14"/>
      <c r="AB5" s="14"/>
      <c r="AC5" s="14"/>
      <c r="AD5" s="14" t="s">
        <v>525</v>
      </c>
      <c r="AE5" s="14" t="s">
        <v>116</v>
      </c>
      <c r="AF5" s="14"/>
      <c r="AG5" s="14"/>
      <c r="AH5" s="14"/>
      <c r="AI5" s="14" t="s">
        <v>540</v>
      </c>
      <c r="AJ5" s="14" t="s">
        <v>339</v>
      </c>
      <c r="AK5" s="14"/>
      <c r="AL5" s="14"/>
      <c r="AM5" s="14"/>
      <c r="AN5" s="14"/>
      <c r="AO5" s="14"/>
      <c r="AP5" s="14" t="s">
        <v>527</v>
      </c>
      <c r="AQ5" s="14"/>
      <c r="AR5" s="14"/>
      <c r="AS5" s="14" t="s">
        <v>144</v>
      </c>
      <c r="AT5" s="14" t="s">
        <v>359</v>
      </c>
      <c r="AU5" s="15" t="str">
        <f>IF($AT5="","",IFERROR(INDEX(InstructorMap!$B:$B, MATCH($AT5, InstructorMap!$A:$A, 0)),""))</f>
        <v>rpaquini@andrews.edu</v>
      </c>
      <c r="AV5" s="15" t="str">
        <f>IF($AT5="","",IFERROR(INDEX(InstructorMap!$C:$C, MATCH($AT5, InstructorMap!$A:$A, 0)),""))</f>
        <v>000105171</v>
      </c>
      <c r="AW5" s="14" t="s">
        <v>121</v>
      </c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 t="s">
        <v>519</v>
      </c>
      <c r="BI5" s="14" t="s">
        <v>124</v>
      </c>
      <c r="BJ5" s="14" t="s">
        <v>125</v>
      </c>
      <c r="BK5" s="14"/>
      <c r="BL5" s="14" t="s">
        <v>125</v>
      </c>
      <c r="BM5" s="14"/>
      <c r="BN5" s="14"/>
      <c r="BO5" s="14" t="s">
        <v>127</v>
      </c>
      <c r="BP5" s="14"/>
      <c r="BQ5" s="14"/>
      <c r="BR5" s="14"/>
      <c r="BS5" s="14"/>
      <c r="BT5" s="14" t="s">
        <v>128</v>
      </c>
      <c r="BU5" s="14" t="s">
        <v>129</v>
      </c>
      <c r="BV5" s="14" t="s">
        <v>129</v>
      </c>
      <c r="BW5" s="14" t="s">
        <v>130</v>
      </c>
      <c r="BX5" s="14" t="s">
        <v>131</v>
      </c>
      <c r="BY5" s="14" t="s">
        <v>525</v>
      </c>
      <c r="BZ5" s="14" t="s">
        <v>116</v>
      </c>
      <c r="CA5" s="14" t="s">
        <v>525</v>
      </c>
      <c r="CB5" s="14" t="s">
        <v>116</v>
      </c>
      <c r="CC5" s="14" t="s">
        <v>134</v>
      </c>
      <c r="CD5" s="14" t="s">
        <v>528</v>
      </c>
      <c r="CE5" s="14"/>
      <c r="CF5" s="14" t="s">
        <v>130</v>
      </c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 t="s">
        <v>133</v>
      </c>
      <c r="CU5" s="14"/>
      <c r="CV5" s="14"/>
    </row>
    <row r="6" spans="1:100" s="16" customFormat="1" x14ac:dyDescent="0.2">
      <c r="A6" s="41" t="b">
        <v>0</v>
      </c>
      <c r="B6" s="42" t="b">
        <v>0</v>
      </c>
      <c r="C6" s="42" t="b">
        <v>0</v>
      </c>
      <c r="D6" s="42" t="b">
        <v>0</v>
      </c>
      <c r="E6" s="42" t="b">
        <v>0</v>
      </c>
      <c r="F6" s="41" t="b">
        <v>0</v>
      </c>
      <c r="G6" s="43"/>
      <c r="H6" s="18" t="s">
        <v>541</v>
      </c>
      <c r="I6" s="18" t="s">
        <v>542</v>
      </c>
      <c r="J6" s="18" t="s">
        <v>519</v>
      </c>
      <c r="K6" s="18" t="s">
        <v>520</v>
      </c>
      <c r="L6" s="18" t="s">
        <v>543</v>
      </c>
      <c r="M6" s="18"/>
      <c r="N6" s="18" t="s">
        <v>521</v>
      </c>
      <c r="O6" s="18" t="s">
        <v>544</v>
      </c>
      <c r="P6" s="18"/>
      <c r="Q6" s="18"/>
      <c r="R6" s="18" t="s">
        <v>129</v>
      </c>
      <c r="S6" s="18"/>
      <c r="T6" s="18"/>
      <c r="U6" s="18" t="s">
        <v>523</v>
      </c>
      <c r="V6" s="18"/>
      <c r="W6" s="18" t="s">
        <v>129</v>
      </c>
      <c r="X6" s="18"/>
      <c r="Y6" s="18" t="s">
        <v>545</v>
      </c>
      <c r="Z6" s="18" t="s">
        <v>142</v>
      </c>
      <c r="AA6" s="18"/>
      <c r="AB6" s="18"/>
      <c r="AC6" s="18"/>
      <c r="AD6" s="18" t="s">
        <v>525</v>
      </c>
      <c r="AE6" s="18" t="s">
        <v>116</v>
      </c>
      <c r="AF6" s="18"/>
      <c r="AG6" s="18"/>
      <c r="AH6" s="18"/>
      <c r="AI6" s="18" t="s">
        <v>175</v>
      </c>
      <c r="AJ6" s="18" t="s">
        <v>534</v>
      </c>
      <c r="AK6" s="18"/>
      <c r="AL6" s="18"/>
      <c r="AM6" s="18"/>
      <c r="AN6" s="18"/>
      <c r="AO6" s="18"/>
      <c r="AP6" s="18" t="s">
        <v>527</v>
      </c>
      <c r="AQ6" s="18"/>
      <c r="AR6" s="18"/>
      <c r="AS6" s="18" t="s">
        <v>144</v>
      </c>
      <c r="AT6" s="18" t="s">
        <v>546</v>
      </c>
      <c r="AU6" s="19" t="str">
        <f>IF($AT6="","",IFERROR(INDEX(InstructorMap!$B:$B, MATCH($AT6, InstructorMap!$A:$A, 0)),""))</f>
        <v>royg@andrews.edu</v>
      </c>
      <c r="AV6" s="19" t="str">
        <f>IF($AT6="","",IFERROR(INDEX(InstructorMap!$C:$C, MATCH($AT6, InstructorMap!$A:$A, 0)),""))</f>
        <v>000048477</v>
      </c>
      <c r="AW6" s="18" t="s">
        <v>121</v>
      </c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 t="s">
        <v>519</v>
      </c>
      <c r="BI6" s="18" t="s">
        <v>124</v>
      </c>
      <c r="BJ6" s="18" t="s">
        <v>125</v>
      </c>
      <c r="BK6" s="18"/>
      <c r="BL6" s="18" t="s">
        <v>125</v>
      </c>
      <c r="BM6" s="18"/>
      <c r="BN6" s="18"/>
      <c r="BO6" s="18" t="s">
        <v>127</v>
      </c>
      <c r="BP6" s="18"/>
      <c r="BQ6" s="18"/>
      <c r="BR6" s="18"/>
      <c r="BS6" s="18"/>
      <c r="BT6" s="18" t="s">
        <v>128</v>
      </c>
      <c r="BU6" s="18" t="s">
        <v>129</v>
      </c>
      <c r="BV6" s="18" t="s">
        <v>129</v>
      </c>
      <c r="BW6" s="18" t="s">
        <v>130</v>
      </c>
      <c r="BX6" s="18"/>
      <c r="BY6" s="18" t="s">
        <v>525</v>
      </c>
      <c r="BZ6" s="18" t="s">
        <v>116</v>
      </c>
      <c r="CA6" s="18" t="s">
        <v>525</v>
      </c>
      <c r="CB6" s="18" t="s">
        <v>116</v>
      </c>
      <c r="CC6" s="18" t="s">
        <v>547</v>
      </c>
      <c r="CD6" s="18" t="s">
        <v>528</v>
      </c>
      <c r="CE6" s="18"/>
      <c r="CF6" s="18" t="s">
        <v>130</v>
      </c>
      <c r="CG6" s="18"/>
      <c r="CH6" s="18" t="s">
        <v>131</v>
      </c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 t="s">
        <v>133</v>
      </c>
      <c r="CU6" s="18"/>
      <c r="CV6" s="18"/>
    </row>
    <row r="7" spans="1:100" s="16" customFormat="1" x14ac:dyDescent="0.2">
      <c r="A7" s="41" t="b">
        <v>0</v>
      </c>
      <c r="B7" s="42" t="b">
        <v>0</v>
      </c>
      <c r="C7" s="42" t="b">
        <v>0</v>
      </c>
      <c r="D7" s="42" t="b">
        <v>0</v>
      </c>
      <c r="E7" s="42" t="b">
        <v>0</v>
      </c>
      <c r="F7" s="41" t="b">
        <v>0</v>
      </c>
      <c r="G7" s="43"/>
      <c r="H7" s="14" t="s">
        <v>548</v>
      </c>
      <c r="I7" s="14" t="s">
        <v>549</v>
      </c>
      <c r="J7" s="14" t="s">
        <v>519</v>
      </c>
      <c r="K7" s="14" t="s">
        <v>520</v>
      </c>
      <c r="L7" s="14" t="s">
        <v>216</v>
      </c>
      <c r="M7" s="14"/>
      <c r="N7" s="14" t="s">
        <v>521</v>
      </c>
      <c r="O7" s="14" t="s">
        <v>550</v>
      </c>
      <c r="P7" s="14"/>
      <c r="Q7" s="14"/>
      <c r="R7" s="14" t="s">
        <v>129</v>
      </c>
      <c r="S7" s="14"/>
      <c r="T7" s="14"/>
      <c r="U7" s="14" t="s">
        <v>523</v>
      </c>
      <c r="V7" s="14"/>
      <c r="W7" s="14" t="s">
        <v>129</v>
      </c>
      <c r="X7" s="14"/>
      <c r="Y7" s="14" t="s">
        <v>551</v>
      </c>
      <c r="Z7" s="14" t="s">
        <v>142</v>
      </c>
      <c r="AA7" s="14"/>
      <c r="AB7" s="14"/>
      <c r="AC7" s="14"/>
      <c r="AD7" s="14" t="s">
        <v>525</v>
      </c>
      <c r="AE7" s="14" t="s">
        <v>116</v>
      </c>
      <c r="AF7" s="14"/>
      <c r="AG7" s="14"/>
      <c r="AH7" s="14"/>
      <c r="AI7" s="14" t="s">
        <v>175</v>
      </c>
      <c r="AJ7" s="14" t="s">
        <v>534</v>
      </c>
      <c r="AK7" s="14"/>
      <c r="AL7" s="14"/>
      <c r="AM7" s="14"/>
      <c r="AN7" s="14"/>
      <c r="AO7" s="14"/>
      <c r="AP7" s="14" t="s">
        <v>527</v>
      </c>
      <c r="AQ7" s="14"/>
      <c r="AR7" s="14"/>
      <c r="AS7" s="14" t="s">
        <v>144</v>
      </c>
      <c r="AT7" s="14" t="s">
        <v>552</v>
      </c>
      <c r="AU7" s="15" t="str">
        <f>IF($AT7="","",IFERROR(INDEX(InstructorMap!$B:$B, MATCH($AT7, InstructorMap!$A:$A, 0)),""))</f>
        <v>skinnerj@andrews.edu</v>
      </c>
      <c r="AV7" s="15" t="str">
        <f>IF($AT7="","",IFERROR(INDEX(InstructorMap!$C:$C, MATCH($AT7, InstructorMap!$A:$A, 0)),""))</f>
        <v>000117063</v>
      </c>
      <c r="AW7" s="14" t="s">
        <v>121</v>
      </c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 t="s">
        <v>519</v>
      </c>
      <c r="BI7" s="14" t="s">
        <v>124</v>
      </c>
      <c r="BJ7" s="14" t="s">
        <v>125</v>
      </c>
      <c r="BK7" s="14"/>
      <c r="BL7" s="14" t="s">
        <v>125</v>
      </c>
      <c r="BM7" s="14"/>
      <c r="BN7" s="14"/>
      <c r="BO7" s="14" t="s">
        <v>127</v>
      </c>
      <c r="BP7" s="14"/>
      <c r="BQ7" s="14"/>
      <c r="BR7" s="14"/>
      <c r="BS7" s="14"/>
      <c r="BT7" s="14" t="s">
        <v>128</v>
      </c>
      <c r="BU7" s="14" t="s">
        <v>129</v>
      </c>
      <c r="BV7" s="14" t="s">
        <v>129</v>
      </c>
      <c r="BW7" s="14" t="s">
        <v>130</v>
      </c>
      <c r="BX7" s="14" t="s">
        <v>131</v>
      </c>
      <c r="BY7" s="14" t="s">
        <v>525</v>
      </c>
      <c r="BZ7" s="14" t="s">
        <v>116</v>
      </c>
      <c r="CA7" s="14" t="s">
        <v>525</v>
      </c>
      <c r="CB7" s="14" t="s">
        <v>116</v>
      </c>
      <c r="CC7" s="14" t="s">
        <v>134</v>
      </c>
      <c r="CD7" s="14" t="s">
        <v>528</v>
      </c>
      <c r="CE7" s="14"/>
      <c r="CF7" s="14" t="s">
        <v>130</v>
      </c>
      <c r="CG7" s="14"/>
      <c r="CH7" s="14" t="s">
        <v>131</v>
      </c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 t="s">
        <v>133</v>
      </c>
      <c r="CU7" s="14"/>
      <c r="CV7" s="14"/>
    </row>
    <row r="8" spans="1:100" s="16" customFormat="1" x14ac:dyDescent="0.2">
      <c r="A8" s="41" t="b">
        <v>0</v>
      </c>
      <c r="B8" s="42" t="b">
        <v>0</v>
      </c>
      <c r="C8" s="42" t="b">
        <v>0</v>
      </c>
      <c r="D8" s="42" t="b">
        <v>0</v>
      </c>
      <c r="E8" s="42" t="b">
        <v>0</v>
      </c>
      <c r="F8" s="41" t="b">
        <v>0</v>
      </c>
      <c r="G8" s="43"/>
      <c r="H8" s="14" t="s">
        <v>553</v>
      </c>
      <c r="I8" s="14" t="s">
        <v>554</v>
      </c>
      <c r="J8" s="14" t="s">
        <v>519</v>
      </c>
      <c r="K8" s="14" t="s">
        <v>520</v>
      </c>
      <c r="L8" s="14" t="s">
        <v>555</v>
      </c>
      <c r="M8" s="14"/>
      <c r="N8" s="14" t="s">
        <v>521</v>
      </c>
      <c r="O8" s="14" t="s">
        <v>556</v>
      </c>
      <c r="P8" s="14"/>
      <c r="Q8" s="14"/>
      <c r="R8" s="14" t="s">
        <v>129</v>
      </c>
      <c r="S8" s="14"/>
      <c r="T8" s="14"/>
      <c r="U8" s="14" t="s">
        <v>523</v>
      </c>
      <c r="V8" s="14"/>
      <c r="W8" s="14" t="s">
        <v>129</v>
      </c>
      <c r="X8" s="14"/>
      <c r="Y8" s="14" t="s">
        <v>121</v>
      </c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 t="s">
        <v>557</v>
      </c>
      <c r="AU8" s="15" t="str">
        <f>IF($AT8="","",IFERROR(INDEX(InstructorMap!$B:$B, MATCH($AT8, InstructorMap!$A:$A, 0)),""))</f>
        <v>kenley@andrews.edu</v>
      </c>
      <c r="AV8" s="15" t="str">
        <f>IF($AT8="","",IFERROR(INDEX(InstructorMap!$C:$C, MATCH($AT8, InstructorMap!$A:$A, 0)),""))</f>
        <v>000069431</v>
      </c>
      <c r="AW8" s="14" t="s">
        <v>121</v>
      </c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 t="s">
        <v>519</v>
      </c>
      <c r="BI8" s="14" t="s">
        <v>124</v>
      </c>
      <c r="BJ8" s="14" t="s">
        <v>125</v>
      </c>
      <c r="BK8" s="14"/>
      <c r="BL8" s="14" t="s">
        <v>125</v>
      </c>
      <c r="BM8" s="14"/>
      <c r="BN8" s="14"/>
      <c r="BO8" s="14" t="s">
        <v>127</v>
      </c>
      <c r="BP8" s="14"/>
      <c r="BQ8" s="14"/>
      <c r="BR8" s="14"/>
      <c r="BS8" s="14"/>
      <c r="BT8" s="14" t="s">
        <v>128</v>
      </c>
      <c r="BU8" s="14" t="s">
        <v>129</v>
      </c>
      <c r="BV8" s="14" t="s">
        <v>129</v>
      </c>
      <c r="BW8" s="14" t="s">
        <v>130</v>
      </c>
      <c r="BX8" s="14"/>
      <c r="BY8" s="14" t="s">
        <v>525</v>
      </c>
      <c r="BZ8" s="14" t="s">
        <v>116</v>
      </c>
      <c r="CA8" s="14" t="s">
        <v>525</v>
      </c>
      <c r="CB8" s="14" t="s">
        <v>116</v>
      </c>
      <c r="CC8" s="14" t="s">
        <v>547</v>
      </c>
      <c r="CD8" s="14" t="s">
        <v>528</v>
      </c>
      <c r="CE8" s="14"/>
      <c r="CF8" s="14" t="s">
        <v>130</v>
      </c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 t="s">
        <v>133</v>
      </c>
      <c r="CU8" s="14"/>
      <c r="CV8" s="14"/>
    </row>
    <row r="9" spans="1:100" s="16" customFormat="1" x14ac:dyDescent="0.2">
      <c r="A9" s="41" t="b">
        <v>0</v>
      </c>
      <c r="B9" s="42" t="b">
        <v>0</v>
      </c>
      <c r="C9" s="42" t="b">
        <v>0</v>
      </c>
      <c r="D9" s="42" t="b">
        <v>0</v>
      </c>
      <c r="E9" s="42" t="b">
        <v>0</v>
      </c>
      <c r="F9" s="41" t="b">
        <v>0</v>
      </c>
      <c r="G9" s="43"/>
      <c r="H9" s="14" t="s">
        <v>558</v>
      </c>
      <c r="I9" s="14" t="s">
        <v>559</v>
      </c>
      <c r="J9" s="14" t="s">
        <v>519</v>
      </c>
      <c r="K9" s="14" t="s">
        <v>520</v>
      </c>
      <c r="L9" s="14" t="s">
        <v>560</v>
      </c>
      <c r="M9" s="14"/>
      <c r="N9" s="14" t="s">
        <v>521</v>
      </c>
      <c r="O9" s="14" t="s">
        <v>561</v>
      </c>
      <c r="P9" s="14"/>
      <c r="Q9" s="14"/>
      <c r="R9" s="14" t="s">
        <v>129</v>
      </c>
      <c r="S9" s="14"/>
      <c r="T9" s="14"/>
      <c r="U9" s="14" t="s">
        <v>523</v>
      </c>
      <c r="V9" s="14"/>
      <c r="W9" s="14" t="s">
        <v>129</v>
      </c>
      <c r="X9" s="14"/>
      <c r="Y9" s="14" t="s">
        <v>551</v>
      </c>
      <c r="Z9" s="14" t="s">
        <v>142</v>
      </c>
      <c r="AA9" s="14"/>
      <c r="AB9" s="14"/>
      <c r="AC9" s="14"/>
      <c r="AD9" s="14" t="s">
        <v>525</v>
      </c>
      <c r="AE9" s="14" t="s">
        <v>116</v>
      </c>
      <c r="AF9" s="14"/>
      <c r="AG9" s="14"/>
      <c r="AH9" s="14"/>
      <c r="AI9" s="14" t="s">
        <v>175</v>
      </c>
      <c r="AJ9" s="14" t="s">
        <v>534</v>
      </c>
      <c r="AK9" s="14"/>
      <c r="AL9" s="14"/>
      <c r="AM9" s="14"/>
      <c r="AN9" s="14"/>
      <c r="AO9" s="14"/>
      <c r="AP9" s="14" t="s">
        <v>527</v>
      </c>
      <c r="AQ9" s="14"/>
      <c r="AR9" s="14"/>
      <c r="AS9" s="14" t="s">
        <v>144</v>
      </c>
      <c r="AT9" s="14" t="s">
        <v>562</v>
      </c>
      <c r="AU9" s="15" t="str">
        <f>IF($AT9="","",IFERROR(INDEX(InstructorMap!$B:$B, MATCH($AT9, InstructorMap!$A:$A, 0)),""))</f>
        <v>sanou@andrews.edu</v>
      </c>
      <c r="AV9" s="15" t="str">
        <f>IF($AT9="","",IFERROR(INDEX(InstructorMap!$C:$C, MATCH($AT9, InstructorMap!$A:$A, 0)),""))</f>
        <v>000098144</v>
      </c>
      <c r="AW9" s="14" t="s">
        <v>121</v>
      </c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 t="s">
        <v>519</v>
      </c>
      <c r="BI9" s="14" t="s">
        <v>124</v>
      </c>
      <c r="BJ9" s="14" t="s">
        <v>125</v>
      </c>
      <c r="BK9" s="14"/>
      <c r="BL9" s="14" t="s">
        <v>125</v>
      </c>
      <c r="BM9" s="14"/>
      <c r="BN9" s="14"/>
      <c r="BO9" s="14" t="s">
        <v>127</v>
      </c>
      <c r="BP9" s="14"/>
      <c r="BQ9" s="14"/>
      <c r="BR9" s="14"/>
      <c r="BS9" s="14"/>
      <c r="BT9" s="14" t="s">
        <v>128</v>
      </c>
      <c r="BU9" s="14" t="s">
        <v>129</v>
      </c>
      <c r="BV9" s="14" t="s">
        <v>129</v>
      </c>
      <c r="BW9" s="14" t="s">
        <v>130</v>
      </c>
      <c r="BX9" s="14"/>
      <c r="BY9" s="14" t="s">
        <v>525</v>
      </c>
      <c r="BZ9" s="14" t="s">
        <v>116</v>
      </c>
      <c r="CA9" s="14" t="s">
        <v>525</v>
      </c>
      <c r="CB9" s="14" t="s">
        <v>116</v>
      </c>
      <c r="CC9" s="14" t="s">
        <v>173</v>
      </c>
      <c r="CD9" s="14" t="s">
        <v>528</v>
      </c>
      <c r="CE9" s="14"/>
      <c r="CF9" s="14" t="s">
        <v>130</v>
      </c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 t="s">
        <v>133</v>
      </c>
      <c r="CU9" s="14"/>
      <c r="CV9" s="14"/>
    </row>
    <row r="10" spans="1:100" s="16" customFormat="1" x14ac:dyDescent="0.2">
      <c r="A10" s="41" t="b">
        <v>0</v>
      </c>
      <c r="B10" s="42" t="b">
        <v>0</v>
      </c>
      <c r="C10" s="42" t="b">
        <v>0</v>
      </c>
      <c r="D10" s="42" t="b">
        <v>0</v>
      </c>
      <c r="E10" s="42" t="b">
        <v>0</v>
      </c>
      <c r="F10" s="41" t="b">
        <v>0</v>
      </c>
      <c r="G10" s="43"/>
      <c r="H10" s="14" t="s">
        <v>563</v>
      </c>
      <c r="I10" s="14" t="s">
        <v>564</v>
      </c>
      <c r="J10" s="14" t="s">
        <v>519</v>
      </c>
      <c r="K10" s="14" t="s">
        <v>520</v>
      </c>
      <c r="L10" s="14" t="s">
        <v>244</v>
      </c>
      <c r="M10" s="14"/>
      <c r="N10" s="14" t="s">
        <v>521</v>
      </c>
      <c r="O10" s="14" t="s">
        <v>539</v>
      </c>
      <c r="P10" s="14"/>
      <c r="Q10" s="14"/>
      <c r="R10" s="14" t="s">
        <v>108</v>
      </c>
      <c r="S10" s="14"/>
      <c r="T10" s="14"/>
      <c r="U10" s="14" t="s">
        <v>114</v>
      </c>
      <c r="V10" s="14"/>
      <c r="W10" s="14" t="s">
        <v>129</v>
      </c>
      <c r="X10" s="14"/>
      <c r="Y10" s="14" t="s">
        <v>565</v>
      </c>
      <c r="Z10" s="14" t="s">
        <v>114</v>
      </c>
      <c r="AA10" s="14"/>
      <c r="AB10" s="14"/>
      <c r="AC10" s="14"/>
      <c r="AD10" s="14" t="s">
        <v>525</v>
      </c>
      <c r="AE10" s="14" t="s">
        <v>116</v>
      </c>
      <c r="AF10" s="14"/>
      <c r="AG10" s="14"/>
      <c r="AH10" s="14"/>
      <c r="AI10" s="14" t="s">
        <v>540</v>
      </c>
      <c r="AJ10" s="14" t="s">
        <v>339</v>
      </c>
      <c r="AK10" s="14"/>
      <c r="AL10" s="14"/>
      <c r="AM10" s="14"/>
      <c r="AN10" s="14"/>
      <c r="AO10" s="14"/>
      <c r="AP10" s="14" t="s">
        <v>527</v>
      </c>
      <c r="AQ10" s="14"/>
      <c r="AR10" s="14"/>
      <c r="AS10" s="14"/>
      <c r="AT10" s="14" t="s">
        <v>359</v>
      </c>
      <c r="AU10" s="15" t="str">
        <f>IF($AT10="","",IFERROR(INDEX(InstructorMap!$B:$B, MATCH($AT10, InstructorMap!$A:$A, 0)),""))</f>
        <v>rpaquini@andrews.edu</v>
      </c>
      <c r="AV10" s="15" t="str">
        <f>IF($AT10="","",IFERROR(INDEX(InstructorMap!$C:$C, MATCH($AT10, InstructorMap!$A:$A, 0)),""))</f>
        <v>000105171</v>
      </c>
      <c r="AW10" s="14" t="s">
        <v>121</v>
      </c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 t="s">
        <v>519</v>
      </c>
      <c r="BI10" s="14" t="s">
        <v>124</v>
      </c>
      <c r="BJ10" s="14" t="s">
        <v>125</v>
      </c>
      <c r="BK10" s="14"/>
      <c r="BL10" s="14" t="s">
        <v>249</v>
      </c>
      <c r="BM10" s="14"/>
      <c r="BN10" s="14"/>
      <c r="BO10" s="14" t="s">
        <v>127</v>
      </c>
      <c r="BP10" s="14"/>
      <c r="BQ10" s="14"/>
      <c r="BR10" s="14"/>
      <c r="BS10" s="14"/>
      <c r="BT10" s="14" t="s">
        <v>128</v>
      </c>
      <c r="BU10" s="14" t="s">
        <v>129</v>
      </c>
      <c r="BV10" s="14" t="s">
        <v>129</v>
      </c>
      <c r="BW10" s="14" t="s">
        <v>130</v>
      </c>
      <c r="BX10" s="14" t="s">
        <v>131</v>
      </c>
      <c r="BY10" s="14" t="s">
        <v>525</v>
      </c>
      <c r="BZ10" s="14" t="s">
        <v>116</v>
      </c>
      <c r="CA10" s="14" t="s">
        <v>525</v>
      </c>
      <c r="CB10" s="14" t="s">
        <v>116</v>
      </c>
      <c r="CC10" s="14" t="s">
        <v>134</v>
      </c>
      <c r="CD10" s="14" t="s">
        <v>528</v>
      </c>
      <c r="CE10" s="14"/>
      <c r="CF10" s="14" t="s">
        <v>130</v>
      </c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 t="s">
        <v>133</v>
      </c>
      <c r="CU10" s="14"/>
      <c r="CV10" s="14"/>
    </row>
    <row r="11" spans="1:100" s="16" customFormat="1" x14ac:dyDescent="0.2">
      <c r="A11" s="41" t="b">
        <v>0</v>
      </c>
      <c r="B11" s="42" t="b">
        <v>0</v>
      </c>
      <c r="C11" s="42" t="b">
        <v>0</v>
      </c>
      <c r="D11" s="42" t="b">
        <v>0</v>
      </c>
      <c r="E11" s="42" t="b">
        <v>0</v>
      </c>
      <c r="F11" s="41" t="b">
        <v>0</v>
      </c>
      <c r="G11" s="43"/>
      <c r="H11" s="14" t="s">
        <v>566</v>
      </c>
      <c r="I11" s="14" t="s">
        <v>567</v>
      </c>
      <c r="J11" s="14" t="s">
        <v>519</v>
      </c>
      <c r="K11" s="14" t="s">
        <v>520</v>
      </c>
      <c r="L11" s="14" t="s">
        <v>255</v>
      </c>
      <c r="M11" s="14"/>
      <c r="N11" s="14" t="s">
        <v>521</v>
      </c>
      <c r="O11" s="14" t="s">
        <v>568</v>
      </c>
      <c r="P11" s="14"/>
      <c r="Q11" s="14"/>
      <c r="R11" s="14" t="s">
        <v>108</v>
      </c>
      <c r="S11" s="14"/>
      <c r="T11" s="14"/>
      <c r="U11" s="14" t="s">
        <v>114</v>
      </c>
      <c r="V11" s="14"/>
      <c r="W11" s="14" t="s">
        <v>129</v>
      </c>
      <c r="X11" s="14"/>
      <c r="Y11" s="14" t="s">
        <v>148</v>
      </c>
      <c r="Z11" s="14" t="s">
        <v>114</v>
      </c>
      <c r="AA11" s="14"/>
      <c r="AB11" s="14"/>
      <c r="AC11" s="14"/>
      <c r="AD11" s="14" t="s">
        <v>525</v>
      </c>
      <c r="AE11" s="14" t="s">
        <v>116</v>
      </c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 t="s">
        <v>285</v>
      </c>
      <c r="AU11" s="15" t="str">
        <f>IF($AT11="","",IFERROR(INDEX(InstructorMap!$B:$B, MATCH($AT11, InstructorMap!$A:$A, 0)),""))</f>
        <v/>
      </c>
      <c r="AV11" s="15" t="str">
        <f>IF($AT11="","",IFERROR(INDEX(InstructorMap!$C:$C, MATCH($AT11, InstructorMap!$A:$A, 0)),""))</f>
        <v/>
      </c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 t="s">
        <v>519</v>
      </c>
      <c r="BI11" s="14" t="s">
        <v>124</v>
      </c>
      <c r="BJ11" s="14" t="s">
        <v>125</v>
      </c>
      <c r="BK11" s="14"/>
      <c r="BL11" s="14" t="s">
        <v>249</v>
      </c>
      <c r="BM11" s="14"/>
      <c r="BN11" s="14"/>
      <c r="BO11" s="14" t="s">
        <v>127</v>
      </c>
      <c r="BP11" s="14"/>
      <c r="BQ11" s="14"/>
      <c r="BR11" s="14"/>
      <c r="BS11" s="14"/>
      <c r="BT11" s="14" t="s">
        <v>128</v>
      </c>
      <c r="BU11" s="14" t="s">
        <v>129</v>
      </c>
      <c r="BV11" s="14" t="s">
        <v>129</v>
      </c>
      <c r="BW11" s="14"/>
      <c r="BX11" s="14"/>
      <c r="BY11" s="14" t="s">
        <v>525</v>
      </c>
      <c r="BZ11" s="14" t="s">
        <v>116</v>
      </c>
      <c r="CA11" s="14" t="s">
        <v>525</v>
      </c>
      <c r="CB11" s="14" t="s">
        <v>116</v>
      </c>
      <c r="CC11" s="14" t="s">
        <v>134</v>
      </c>
      <c r="CD11" s="14" t="s">
        <v>528</v>
      </c>
      <c r="CE11" s="14"/>
      <c r="CF11" s="14" t="s">
        <v>130</v>
      </c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 t="s">
        <v>133</v>
      </c>
      <c r="CU11" s="14"/>
      <c r="CV11" s="14"/>
    </row>
    <row r="12" spans="1:100" s="16" customFormat="1" x14ac:dyDescent="0.2">
      <c r="A12" s="41" t="b">
        <v>0</v>
      </c>
      <c r="B12" s="42" t="b">
        <v>0</v>
      </c>
      <c r="C12" s="42" t="b">
        <v>0</v>
      </c>
      <c r="D12" s="42" t="b">
        <v>0</v>
      </c>
      <c r="E12" s="42" t="b">
        <v>0</v>
      </c>
      <c r="F12" s="41" t="b">
        <v>0</v>
      </c>
      <c r="G12" s="43"/>
      <c r="H12" s="14" t="s">
        <v>569</v>
      </c>
      <c r="I12" s="14" t="s">
        <v>570</v>
      </c>
      <c r="J12" s="14" t="s">
        <v>519</v>
      </c>
      <c r="K12" s="14" t="s">
        <v>520</v>
      </c>
      <c r="L12" s="14" t="s">
        <v>258</v>
      </c>
      <c r="M12" s="14"/>
      <c r="N12" s="14" t="s">
        <v>521</v>
      </c>
      <c r="O12" s="14" t="s">
        <v>550</v>
      </c>
      <c r="P12" s="14"/>
      <c r="Q12" s="14"/>
      <c r="R12" s="14" t="s">
        <v>108</v>
      </c>
      <c r="S12" s="14"/>
      <c r="T12" s="14"/>
      <c r="U12" s="14" t="s">
        <v>114</v>
      </c>
      <c r="V12" s="14"/>
      <c r="W12" s="14" t="s">
        <v>129</v>
      </c>
      <c r="X12" s="14"/>
      <c r="Y12" s="14" t="s">
        <v>113</v>
      </c>
      <c r="Z12" s="14" t="s">
        <v>114</v>
      </c>
      <c r="AA12" s="14"/>
      <c r="AB12" s="14"/>
      <c r="AC12" s="14"/>
      <c r="AD12" s="14" t="s">
        <v>525</v>
      </c>
      <c r="AE12" s="14" t="s">
        <v>116</v>
      </c>
      <c r="AF12" s="14"/>
      <c r="AG12" s="14"/>
      <c r="AH12" s="14"/>
      <c r="AI12" s="14" t="s">
        <v>175</v>
      </c>
      <c r="AJ12" s="14" t="s">
        <v>534</v>
      </c>
      <c r="AK12" s="14"/>
      <c r="AL12" s="14"/>
      <c r="AM12" s="14"/>
      <c r="AN12" s="14"/>
      <c r="AO12" s="14"/>
      <c r="AP12" s="14" t="s">
        <v>527</v>
      </c>
      <c r="AQ12" s="14"/>
      <c r="AR12" s="14"/>
      <c r="AS12" s="14"/>
      <c r="AT12" s="14" t="s">
        <v>552</v>
      </c>
      <c r="AU12" s="15" t="str">
        <f>IF($AT12="","",IFERROR(INDEX(InstructorMap!$B:$B, MATCH($AT12, InstructorMap!$A:$A, 0)),""))</f>
        <v>skinnerj@andrews.edu</v>
      </c>
      <c r="AV12" s="15" t="str">
        <f>IF($AT12="","",IFERROR(INDEX(InstructorMap!$C:$C, MATCH($AT12, InstructorMap!$A:$A, 0)),""))</f>
        <v>000117063</v>
      </c>
      <c r="AW12" s="14" t="s">
        <v>121</v>
      </c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 t="s">
        <v>519</v>
      </c>
      <c r="BI12" s="14" t="s">
        <v>124</v>
      </c>
      <c r="BJ12" s="14" t="s">
        <v>125</v>
      </c>
      <c r="BK12" s="14"/>
      <c r="BL12" s="14" t="s">
        <v>249</v>
      </c>
      <c r="BM12" s="14"/>
      <c r="BN12" s="14"/>
      <c r="BO12" s="14" t="s">
        <v>127</v>
      </c>
      <c r="BP12" s="14"/>
      <c r="BQ12" s="14"/>
      <c r="BR12" s="14"/>
      <c r="BS12" s="14"/>
      <c r="BT12" s="14" t="s">
        <v>128</v>
      </c>
      <c r="BU12" s="14" t="s">
        <v>129</v>
      </c>
      <c r="BV12" s="14" t="s">
        <v>129</v>
      </c>
      <c r="BW12" s="14" t="s">
        <v>130</v>
      </c>
      <c r="BX12" s="14" t="s">
        <v>131</v>
      </c>
      <c r="BY12" s="14" t="s">
        <v>525</v>
      </c>
      <c r="BZ12" s="14" t="s">
        <v>116</v>
      </c>
      <c r="CA12" s="14" t="s">
        <v>525</v>
      </c>
      <c r="CB12" s="14" t="s">
        <v>116</v>
      </c>
      <c r="CC12" s="14" t="s">
        <v>134</v>
      </c>
      <c r="CD12" s="14" t="s">
        <v>528</v>
      </c>
      <c r="CE12" s="14"/>
      <c r="CF12" s="14" t="s">
        <v>130</v>
      </c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 t="s">
        <v>133</v>
      </c>
      <c r="CU12" s="14"/>
      <c r="CV12" s="14"/>
    </row>
    <row r="13" spans="1:100" s="16" customFormat="1" x14ac:dyDescent="0.2">
      <c r="A13" s="41" t="b">
        <v>0</v>
      </c>
      <c r="B13" s="42" t="b">
        <v>0</v>
      </c>
      <c r="C13" s="42" t="b">
        <v>0</v>
      </c>
      <c r="D13" s="42" t="b">
        <v>0</v>
      </c>
      <c r="E13" s="42" t="b">
        <v>0</v>
      </c>
      <c r="F13" s="41" t="b">
        <v>0</v>
      </c>
      <c r="G13" s="43"/>
      <c r="H13" s="14" t="s">
        <v>571</v>
      </c>
      <c r="I13" s="14" t="s">
        <v>572</v>
      </c>
      <c r="J13" s="14" t="s">
        <v>519</v>
      </c>
      <c r="K13" s="14" t="s">
        <v>520</v>
      </c>
      <c r="L13" s="14" t="s">
        <v>297</v>
      </c>
      <c r="M13" s="14"/>
      <c r="N13" s="14" t="s">
        <v>521</v>
      </c>
      <c r="O13" s="14" t="s">
        <v>573</v>
      </c>
      <c r="P13" s="14"/>
      <c r="Q13" s="14"/>
      <c r="R13" s="14" t="s">
        <v>108</v>
      </c>
      <c r="S13" s="14"/>
      <c r="T13" s="14"/>
      <c r="U13" s="14" t="s">
        <v>114</v>
      </c>
      <c r="V13" s="14"/>
      <c r="W13" s="14" t="s">
        <v>129</v>
      </c>
      <c r="X13" s="14"/>
      <c r="Y13" s="14" t="s">
        <v>121</v>
      </c>
      <c r="Z13" s="14" t="s">
        <v>114</v>
      </c>
      <c r="AA13" s="14"/>
      <c r="AB13" s="14"/>
      <c r="AC13" s="14"/>
      <c r="AD13" s="14" t="s">
        <v>525</v>
      </c>
      <c r="AE13" s="14" t="s">
        <v>116</v>
      </c>
      <c r="AF13" s="14"/>
      <c r="AG13" s="14"/>
      <c r="AH13" s="14"/>
      <c r="AI13" s="14"/>
      <c r="AJ13" s="14"/>
      <c r="AK13" s="14" t="s">
        <v>574</v>
      </c>
      <c r="AL13" s="14"/>
      <c r="AM13" s="14"/>
      <c r="AN13" s="14"/>
      <c r="AO13" s="14"/>
      <c r="AP13" s="14"/>
      <c r="AQ13" s="14"/>
      <c r="AR13" s="14"/>
      <c r="AS13" s="14"/>
      <c r="AT13" s="14" t="s">
        <v>575</v>
      </c>
      <c r="AU13" s="15" t="str">
        <f>IF($AT13="","",IFERROR(INDEX(InstructorMap!$B:$B, MATCH($AT13, InstructorMap!$A:$A, 0)),""))</f>
        <v>coralie@andrews.edu</v>
      </c>
      <c r="AV13" s="15" t="str">
        <f>IF($AT13="","",IFERROR(INDEX(InstructorMap!$C:$C, MATCH($AT13, InstructorMap!$A:$A, 0)),""))</f>
        <v>000076162</v>
      </c>
      <c r="AW13" s="14" t="s">
        <v>121</v>
      </c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 t="s">
        <v>519</v>
      </c>
      <c r="BI13" s="14" t="s">
        <v>124</v>
      </c>
      <c r="BJ13" s="14" t="s">
        <v>125</v>
      </c>
      <c r="BK13" s="14"/>
      <c r="BL13" s="14" t="s">
        <v>249</v>
      </c>
      <c r="BM13" s="14"/>
      <c r="BN13" s="14"/>
      <c r="BO13" s="14" t="s">
        <v>127</v>
      </c>
      <c r="BP13" s="14"/>
      <c r="BQ13" s="14"/>
      <c r="BR13" s="14"/>
      <c r="BS13" s="14"/>
      <c r="BT13" s="14" t="s">
        <v>128</v>
      </c>
      <c r="BU13" s="14" t="s">
        <v>129</v>
      </c>
      <c r="BV13" s="14" t="s">
        <v>129</v>
      </c>
      <c r="BW13" s="14" t="s">
        <v>130</v>
      </c>
      <c r="BX13" s="14"/>
      <c r="BY13" s="14" t="s">
        <v>525</v>
      </c>
      <c r="BZ13" s="14" t="s">
        <v>116</v>
      </c>
      <c r="CA13" s="14" t="s">
        <v>525</v>
      </c>
      <c r="CB13" s="14" t="s">
        <v>116</v>
      </c>
      <c r="CC13" s="14" t="s">
        <v>134</v>
      </c>
      <c r="CD13" s="14" t="s">
        <v>528</v>
      </c>
      <c r="CE13" s="14"/>
      <c r="CF13" s="14" t="s">
        <v>130</v>
      </c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 t="s">
        <v>133</v>
      </c>
      <c r="CU13" s="14"/>
      <c r="CV13" s="14"/>
    </row>
    <row r="14" spans="1:100" s="16" customFormat="1" x14ac:dyDescent="0.2">
      <c r="A14" s="41" t="b">
        <v>0</v>
      </c>
      <c r="B14" s="42" t="b">
        <v>0</v>
      </c>
      <c r="C14" s="42" t="b">
        <v>0</v>
      </c>
      <c r="D14" s="42" t="b">
        <v>0</v>
      </c>
      <c r="E14" s="42" t="b">
        <v>0</v>
      </c>
      <c r="F14" s="41" t="b">
        <v>0</v>
      </c>
      <c r="G14" s="43"/>
      <c r="H14" s="14" t="s">
        <v>576</v>
      </c>
      <c r="I14" s="14" t="s">
        <v>577</v>
      </c>
      <c r="J14" s="14" t="s">
        <v>519</v>
      </c>
      <c r="K14" s="14" t="s">
        <v>520</v>
      </c>
      <c r="L14" s="14" t="s">
        <v>252</v>
      </c>
      <c r="M14" s="14"/>
      <c r="N14" s="14" t="s">
        <v>521</v>
      </c>
      <c r="O14" s="14" t="s">
        <v>578</v>
      </c>
      <c r="P14" s="14"/>
      <c r="Q14" s="14"/>
      <c r="R14" s="14" t="s">
        <v>108</v>
      </c>
      <c r="S14" s="14"/>
      <c r="T14" s="14"/>
      <c r="U14" s="14" t="s">
        <v>114</v>
      </c>
      <c r="V14" s="14"/>
      <c r="W14" s="14" t="s">
        <v>129</v>
      </c>
      <c r="X14" s="14"/>
      <c r="Y14" s="14" t="s">
        <v>121</v>
      </c>
      <c r="Z14" s="14" t="s">
        <v>114</v>
      </c>
      <c r="AA14" s="14"/>
      <c r="AB14" s="14"/>
      <c r="AC14" s="14"/>
      <c r="AD14" s="14" t="s">
        <v>525</v>
      </c>
      <c r="AE14" s="14" t="s">
        <v>116</v>
      </c>
      <c r="AF14" s="14"/>
      <c r="AG14" s="14"/>
      <c r="AH14" s="14"/>
      <c r="AI14" s="14"/>
      <c r="AJ14" s="14"/>
      <c r="AK14" s="14" t="s">
        <v>574</v>
      </c>
      <c r="AL14" s="14"/>
      <c r="AM14" s="14"/>
      <c r="AN14" s="14"/>
      <c r="AO14" s="14"/>
      <c r="AP14" s="14"/>
      <c r="AQ14" s="14"/>
      <c r="AR14" s="14"/>
      <c r="AS14" s="14"/>
      <c r="AT14" s="14" t="s">
        <v>546</v>
      </c>
      <c r="AU14" s="15" t="str">
        <f>IF($AT14="","",IFERROR(INDEX(InstructorMap!$B:$B, MATCH($AT14, InstructorMap!$A:$A, 0)),""))</f>
        <v>royg@andrews.edu</v>
      </c>
      <c r="AV14" s="15" t="str">
        <f>IF($AT14="","",IFERROR(INDEX(InstructorMap!$C:$C, MATCH($AT14, InstructorMap!$A:$A, 0)),""))</f>
        <v>000048477</v>
      </c>
      <c r="AW14" s="14" t="s">
        <v>121</v>
      </c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 t="s">
        <v>519</v>
      </c>
      <c r="BI14" s="14" t="s">
        <v>124</v>
      </c>
      <c r="BJ14" s="14" t="s">
        <v>125</v>
      </c>
      <c r="BK14" s="14"/>
      <c r="BL14" s="14" t="s">
        <v>249</v>
      </c>
      <c r="BM14" s="14"/>
      <c r="BN14" s="14"/>
      <c r="BO14" s="14" t="s">
        <v>127</v>
      </c>
      <c r="BP14" s="14"/>
      <c r="BQ14" s="14"/>
      <c r="BR14" s="14"/>
      <c r="BS14" s="14"/>
      <c r="BT14" s="14" t="s">
        <v>128</v>
      </c>
      <c r="BU14" s="14" t="s">
        <v>129</v>
      </c>
      <c r="BV14" s="14" t="s">
        <v>129</v>
      </c>
      <c r="BW14" s="14" t="s">
        <v>130</v>
      </c>
      <c r="BX14" s="14"/>
      <c r="BY14" s="14" t="s">
        <v>525</v>
      </c>
      <c r="BZ14" s="14" t="s">
        <v>116</v>
      </c>
      <c r="CA14" s="14" t="s">
        <v>525</v>
      </c>
      <c r="CB14" s="14" t="s">
        <v>116</v>
      </c>
      <c r="CC14" s="14" t="s">
        <v>134</v>
      </c>
      <c r="CD14" s="14" t="s">
        <v>528</v>
      </c>
      <c r="CE14" s="14"/>
      <c r="CF14" s="14" t="s">
        <v>130</v>
      </c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 t="s">
        <v>133</v>
      </c>
      <c r="CU14" s="14"/>
      <c r="CV14" s="14"/>
    </row>
    <row r="15" spans="1:100" x14ac:dyDescent="0.2">
      <c r="A15" s="28" t="b">
        <v>0</v>
      </c>
      <c r="B15" s="28" t="b">
        <v>0</v>
      </c>
      <c r="C15" s="28" t="b">
        <v>0</v>
      </c>
      <c r="D15" s="28" t="b">
        <v>0</v>
      </c>
      <c r="E15" s="28" t="b">
        <v>0</v>
      </c>
      <c r="F15" s="28" t="b">
        <v>0</v>
      </c>
      <c r="G15" s="29"/>
      <c r="H15" s="4" t="s">
        <v>579</v>
      </c>
      <c r="I15" s="4" t="s">
        <v>580</v>
      </c>
      <c r="J15" s="4" t="s">
        <v>519</v>
      </c>
      <c r="K15" s="4" t="s">
        <v>581</v>
      </c>
      <c r="L15" s="4" t="s">
        <v>137</v>
      </c>
      <c r="M15" s="4"/>
      <c r="N15" s="4" t="s">
        <v>582</v>
      </c>
      <c r="O15" s="4"/>
      <c r="P15" s="4"/>
      <c r="Q15" s="4" t="s">
        <v>583</v>
      </c>
      <c r="R15" s="4" t="s">
        <v>129</v>
      </c>
      <c r="S15" s="4"/>
      <c r="T15" s="4"/>
      <c r="U15" s="4"/>
      <c r="V15" s="4"/>
      <c r="W15" s="4" t="s">
        <v>112</v>
      </c>
      <c r="X15" s="4" t="s">
        <v>112</v>
      </c>
      <c r="Y15" s="4" t="s">
        <v>565</v>
      </c>
      <c r="Z15" s="4" t="s">
        <v>142</v>
      </c>
      <c r="AA15" s="4" t="s">
        <v>115</v>
      </c>
      <c r="AB15" s="4"/>
      <c r="AC15" s="4"/>
      <c r="AD15" s="4" t="s">
        <v>115</v>
      </c>
      <c r="AE15" s="4" t="s">
        <v>116</v>
      </c>
      <c r="AF15" s="4"/>
      <c r="AG15" s="4"/>
      <c r="AH15" s="4" t="s">
        <v>116</v>
      </c>
      <c r="AI15" s="4" t="s">
        <v>117</v>
      </c>
      <c r="AJ15" s="4" t="s">
        <v>194</v>
      </c>
      <c r="AK15" s="4"/>
      <c r="AL15" s="4"/>
      <c r="AM15" s="4"/>
      <c r="AN15" s="4" t="s">
        <v>177</v>
      </c>
      <c r="AO15" s="4"/>
      <c r="AP15" s="4"/>
      <c r="AQ15" s="4"/>
      <c r="AR15" s="4" t="s">
        <v>212</v>
      </c>
      <c r="AS15" s="4" t="s">
        <v>144</v>
      </c>
      <c r="AT15" s="4" t="s">
        <v>196</v>
      </c>
      <c r="AU15" s="5" t="str">
        <f>IF($AT15="","",IFERROR(INDEX(InstructorMap!$B:$B, MATCH($AT15, InstructorMap!$A:$A, 0)),""))</f>
        <v/>
      </c>
      <c r="AV15" s="5" t="str">
        <f>IF($AT15="","",IFERROR(INDEX(InstructorMap!$C:$C, MATCH($AT15, InstructorMap!$A:$A, 0)),""))</f>
        <v/>
      </c>
      <c r="AW15" s="4" t="s">
        <v>121</v>
      </c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 t="s">
        <v>519</v>
      </c>
      <c r="BI15" s="4" t="s">
        <v>124</v>
      </c>
      <c r="BJ15" s="4" t="s">
        <v>125</v>
      </c>
      <c r="BK15" s="4"/>
      <c r="BL15" s="4" t="s">
        <v>125</v>
      </c>
      <c r="BM15" s="4"/>
      <c r="BN15" s="4"/>
      <c r="BO15" s="4" t="s">
        <v>127</v>
      </c>
      <c r="BP15" s="4"/>
      <c r="BQ15" s="4"/>
      <c r="BR15" s="4"/>
      <c r="BS15" s="4"/>
      <c r="BT15" s="4" t="s">
        <v>128</v>
      </c>
      <c r="BU15" s="4" t="s">
        <v>129</v>
      </c>
      <c r="BV15" s="4" t="s">
        <v>129</v>
      </c>
      <c r="BW15" s="4" t="s">
        <v>130</v>
      </c>
      <c r="BX15" s="4" t="s">
        <v>131</v>
      </c>
      <c r="BY15" s="4"/>
      <c r="BZ15" s="4"/>
      <c r="CA15" s="4"/>
      <c r="CB15" s="4"/>
      <c r="CC15" s="4"/>
      <c r="CD15" s="4"/>
      <c r="CE15" s="4"/>
      <c r="CF15" s="4" t="s">
        <v>130</v>
      </c>
      <c r="CG15" s="4"/>
      <c r="CH15" s="4" t="s">
        <v>131</v>
      </c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 t="s">
        <v>146</v>
      </c>
      <c r="CT15" s="4" t="s">
        <v>133</v>
      </c>
      <c r="CU15" s="4" t="s">
        <v>134</v>
      </c>
      <c r="CV15" s="4"/>
    </row>
    <row r="16" spans="1:100" x14ac:dyDescent="0.2">
      <c r="A16" s="30" t="b">
        <v>0</v>
      </c>
      <c r="B16" s="31" t="b">
        <v>0</v>
      </c>
      <c r="C16" s="31" t="b">
        <v>0</v>
      </c>
      <c r="D16" s="31" t="b">
        <v>0</v>
      </c>
      <c r="E16" s="31" t="b">
        <v>0</v>
      </c>
      <c r="F16" s="31" t="b">
        <v>0</v>
      </c>
      <c r="G16" s="8"/>
      <c r="H16" s="8" t="s">
        <v>584</v>
      </c>
      <c r="I16" s="8" t="s">
        <v>585</v>
      </c>
      <c r="J16" s="8" t="s">
        <v>519</v>
      </c>
      <c r="K16" s="8" t="s">
        <v>581</v>
      </c>
      <c r="L16" s="8" t="s">
        <v>148</v>
      </c>
      <c r="M16" s="8"/>
      <c r="N16" s="8" t="s">
        <v>582</v>
      </c>
      <c r="O16" s="8"/>
      <c r="P16" s="8"/>
      <c r="Q16" s="8"/>
      <c r="R16" s="8" t="s">
        <v>108</v>
      </c>
      <c r="S16" s="8"/>
      <c r="T16" s="8"/>
      <c r="U16" s="8" t="s">
        <v>149</v>
      </c>
      <c r="V16" s="8"/>
      <c r="W16" s="8" t="s">
        <v>112</v>
      </c>
      <c r="X16" s="8"/>
      <c r="Y16" s="8" t="s">
        <v>132</v>
      </c>
      <c r="Z16" s="8" t="s">
        <v>114</v>
      </c>
      <c r="AA16" s="8" t="s">
        <v>115</v>
      </c>
      <c r="AB16" s="8"/>
      <c r="AC16" s="8"/>
      <c r="AD16" s="8" t="s">
        <v>115</v>
      </c>
      <c r="AE16" s="8" t="s">
        <v>116</v>
      </c>
      <c r="AF16" s="8"/>
      <c r="AG16" s="8"/>
      <c r="AH16" s="8" t="s">
        <v>116</v>
      </c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 t="s">
        <v>279</v>
      </c>
      <c r="AU16" s="9" t="str">
        <f>IF($AT16="","",IFERROR(INDEX(InstructorMap!$B:$B, MATCH($AT16, InstructorMap!$A:$A, 0)),""))</f>
        <v>davidson@andrews.edu</v>
      </c>
      <c r="AV16" s="9" t="str">
        <f>IF($AT16="","",IFERROR(INDEX(InstructorMap!$C:$C, MATCH($AT16, InstructorMap!$A:$A, 0)),""))</f>
        <v>000012107</v>
      </c>
      <c r="AW16" s="8" t="s">
        <v>121</v>
      </c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 t="s">
        <v>519</v>
      </c>
      <c r="BI16" s="8" t="s">
        <v>124</v>
      </c>
      <c r="BJ16" s="8" t="s">
        <v>125</v>
      </c>
      <c r="BK16" s="8"/>
      <c r="BL16" s="8" t="s">
        <v>126</v>
      </c>
      <c r="BM16" s="8"/>
      <c r="BN16" s="8"/>
      <c r="BO16" s="8" t="s">
        <v>127</v>
      </c>
      <c r="BP16" s="8"/>
      <c r="BQ16" s="8"/>
      <c r="BR16" s="8"/>
      <c r="BS16" s="8"/>
      <c r="BT16" s="8" t="s">
        <v>128</v>
      </c>
      <c r="BU16" s="8" t="s">
        <v>129</v>
      </c>
      <c r="BV16" s="8" t="s">
        <v>145</v>
      </c>
      <c r="BW16" s="8" t="s">
        <v>130</v>
      </c>
      <c r="BX16" s="8"/>
      <c r="BY16" s="8"/>
      <c r="BZ16" s="8"/>
      <c r="CA16" s="8"/>
      <c r="CB16" s="8"/>
      <c r="CC16" s="8"/>
      <c r="CD16" s="8"/>
      <c r="CE16" s="8"/>
      <c r="CF16" s="8" t="s">
        <v>130</v>
      </c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 t="s">
        <v>132</v>
      </c>
      <c r="CT16" s="8" t="s">
        <v>133</v>
      </c>
      <c r="CU16" s="8" t="s">
        <v>134</v>
      </c>
      <c r="CV16" s="8"/>
    </row>
    <row r="17" spans="1:100" x14ac:dyDescent="0.2">
      <c r="A17" s="30" t="b">
        <v>0</v>
      </c>
      <c r="B17" s="31" t="b">
        <v>0</v>
      </c>
      <c r="C17" s="31" t="b">
        <v>0</v>
      </c>
      <c r="D17" s="31" t="b">
        <v>0</v>
      </c>
      <c r="E17" s="31" t="b">
        <v>0</v>
      </c>
      <c r="F17" s="31" t="b">
        <v>0</v>
      </c>
      <c r="G17" s="8"/>
      <c r="H17" s="8" t="s">
        <v>586</v>
      </c>
      <c r="I17" s="8" t="s">
        <v>587</v>
      </c>
      <c r="J17" s="8" t="s">
        <v>519</v>
      </c>
      <c r="K17" s="8" t="s">
        <v>581</v>
      </c>
      <c r="L17" s="8" t="s">
        <v>105</v>
      </c>
      <c r="M17" s="8"/>
      <c r="N17" s="8" t="s">
        <v>582</v>
      </c>
      <c r="O17" s="8"/>
      <c r="P17" s="8"/>
      <c r="Q17" s="8" t="s">
        <v>583</v>
      </c>
      <c r="R17" s="8" t="s">
        <v>108</v>
      </c>
      <c r="S17" s="8"/>
      <c r="T17" s="8"/>
      <c r="U17" s="8" t="s">
        <v>110</v>
      </c>
      <c r="V17" s="8"/>
      <c r="W17" s="8" t="s">
        <v>112</v>
      </c>
      <c r="X17" s="8"/>
      <c r="Y17" s="8" t="s">
        <v>203</v>
      </c>
      <c r="Z17" s="8" t="s">
        <v>114</v>
      </c>
      <c r="AA17" s="8" t="s">
        <v>115</v>
      </c>
      <c r="AB17" s="8"/>
      <c r="AC17" s="8"/>
      <c r="AD17" s="8" t="s">
        <v>115</v>
      </c>
      <c r="AE17" s="8" t="s">
        <v>116</v>
      </c>
      <c r="AF17" s="8"/>
      <c r="AG17" s="8"/>
      <c r="AH17" s="8" t="s">
        <v>116</v>
      </c>
      <c r="AI17" s="8" t="s">
        <v>357</v>
      </c>
      <c r="AJ17" s="8" t="s">
        <v>358</v>
      </c>
      <c r="AK17" s="8"/>
      <c r="AL17" s="8"/>
      <c r="AM17" s="8"/>
      <c r="AN17" s="8" t="s">
        <v>177</v>
      </c>
      <c r="AO17" s="8"/>
      <c r="AP17" s="8"/>
      <c r="AQ17" s="8"/>
      <c r="AR17" s="8"/>
      <c r="AS17" s="8"/>
      <c r="AT17" s="8" t="s">
        <v>588</v>
      </c>
      <c r="AU17" s="9" t="str">
        <f>IF($AT17="","",IFERROR(INDEX(InstructorMap!$B:$B, MATCH($AT17, InstructorMap!$A:$A, 0)),""))</f>
        <v>gane@andrews.edu</v>
      </c>
      <c r="AV17" s="9" t="str">
        <f>IF($AT17="","",IFERROR(INDEX(InstructorMap!$C:$C, MATCH($AT17, InstructorMap!$A:$A, 0)),""))</f>
        <v>000008963</v>
      </c>
      <c r="AW17" s="8" t="s">
        <v>121</v>
      </c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 t="s">
        <v>519</v>
      </c>
      <c r="BI17" s="8" t="s">
        <v>124</v>
      </c>
      <c r="BJ17" s="8" t="s">
        <v>125</v>
      </c>
      <c r="BK17" s="8"/>
      <c r="BL17" s="8" t="s">
        <v>126</v>
      </c>
      <c r="BM17" s="8"/>
      <c r="BN17" s="8"/>
      <c r="BO17" s="8" t="s">
        <v>127</v>
      </c>
      <c r="BP17" s="8"/>
      <c r="BQ17" s="8"/>
      <c r="BR17" s="8"/>
      <c r="BS17" s="8"/>
      <c r="BT17" s="8" t="s">
        <v>128</v>
      </c>
      <c r="BU17" s="8" t="s">
        <v>129</v>
      </c>
      <c r="BV17" s="8" t="s">
        <v>129</v>
      </c>
      <c r="BW17" s="8" t="s">
        <v>130</v>
      </c>
      <c r="BX17" s="8" t="s">
        <v>131</v>
      </c>
      <c r="BY17" s="8"/>
      <c r="BZ17" s="8"/>
      <c r="CA17" s="8"/>
      <c r="CB17" s="8"/>
      <c r="CC17" s="8"/>
      <c r="CD17" s="8"/>
      <c r="CE17" s="8"/>
      <c r="CF17" s="8" t="s">
        <v>130</v>
      </c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 t="s">
        <v>132</v>
      </c>
      <c r="CT17" s="8" t="s">
        <v>133</v>
      </c>
      <c r="CU17" s="8" t="s">
        <v>134</v>
      </c>
      <c r="CV17" s="8"/>
    </row>
    <row r="18" spans="1:100" x14ac:dyDescent="0.2">
      <c r="A18" s="30" t="b">
        <v>0</v>
      </c>
      <c r="B18" s="31" t="b">
        <v>0</v>
      </c>
      <c r="C18" s="31" t="b">
        <v>0</v>
      </c>
      <c r="D18" s="31" t="b">
        <v>0</v>
      </c>
      <c r="E18" s="31" t="b">
        <v>0</v>
      </c>
      <c r="F18" s="31" t="b">
        <v>0</v>
      </c>
      <c r="G18" s="8"/>
      <c r="H18" s="8" t="s">
        <v>589</v>
      </c>
      <c r="I18" s="8" t="s">
        <v>590</v>
      </c>
      <c r="J18" s="8" t="s">
        <v>519</v>
      </c>
      <c r="K18" s="8" t="s">
        <v>581</v>
      </c>
      <c r="L18" s="8" t="s">
        <v>282</v>
      </c>
      <c r="M18" s="8"/>
      <c r="N18" s="8" t="s">
        <v>582</v>
      </c>
      <c r="O18" s="8"/>
      <c r="P18" s="8"/>
      <c r="Q18" s="8"/>
      <c r="R18" s="8" t="s">
        <v>108</v>
      </c>
      <c r="S18" s="8"/>
      <c r="T18" s="8"/>
      <c r="U18" s="8" t="s">
        <v>149</v>
      </c>
      <c r="V18" s="8"/>
      <c r="W18" s="8" t="s">
        <v>112</v>
      </c>
      <c r="X18" s="8"/>
      <c r="Y18" s="8" t="s">
        <v>591</v>
      </c>
      <c r="Z18" s="8" t="s">
        <v>114</v>
      </c>
      <c r="AA18" s="8" t="s">
        <v>115</v>
      </c>
      <c r="AB18" s="8"/>
      <c r="AC18" s="8"/>
      <c r="AD18" s="8" t="s">
        <v>115</v>
      </c>
      <c r="AE18" s="8" t="s">
        <v>116</v>
      </c>
      <c r="AF18" s="8"/>
      <c r="AG18" s="8"/>
      <c r="AH18" s="8" t="s">
        <v>116</v>
      </c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 t="s">
        <v>279</v>
      </c>
      <c r="AU18" s="9" t="str">
        <f>IF($AT18="","",IFERROR(INDEX(InstructorMap!$B:$B, MATCH($AT18, InstructorMap!$A:$A, 0)),""))</f>
        <v>davidson@andrews.edu</v>
      </c>
      <c r="AV18" s="9" t="str">
        <f>IF($AT18="","",IFERROR(INDEX(InstructorMap!$C:$C, MATCH($AT18, InstructorMap!$A:$A, 0)),""))</f>
        <v>000012107</v>
      </c>
      <c r="AW18" s="8" t="s">
        <v>121</v>
      </c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 t="s">
        <v>519</v>
      </c>
      <c r="BI18" s="8" t="s">
        <v>124</v>
      </c>
      <c r="BJ18" s="8" t="s">
        <v>125</v>
      </c>
      <c r="BK18" s="8"/>
      <c r="BL18" s="8" t="s">
        <v>126</v>
      </c>
      <c r="BM18" s="8"/>
      <c r="BN18" s="8"/>
      <c r="BO18" s="8" t="s">
        <v>127</v>
      </c>
      <c r="BP18" s="8"/>
      <c r="BQ18" s="8"/>
      <c r="BR18" s="8"/>
      <c r="BS18" s="8"/>
      <c r="BT18" s="8" t="s">
        <v>128</v>
      </c>
      <c r="BU18" s="8" t="s">
        <v>129</v>
      </c>
      <c r="BV18" s="8" t="s">
        <v>129</v>
      </c>
      <c r="BW18" s="8" t="s">
        <v>130</v>
      </c>
      <c r="BX18" s="8"/>
      <c r="BY18" s="8"/>
      <c r="BZ18" s="8"/>
      <c r="CA18" s="8"/>
      <c r="CB18" s="8"/>
      <c r="CC18" s="8"/>
      <c r="CD18" s="8"/>
      <c r="CE18" s="8"/>
      <c r="CF18" s="8" t="s">
        <v>130</v>
      </c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 t="s">
        <v>132</v>
      </c>
      <c r="CT18" s="8" t="s">
        <v>133</v>
      </c>
      <c r="CU18" s="8" t="s">
        <v>134</v>
      </c>
      <c r="CV18" s="8"/>
    </row>
    <row r="19" spans="1:100" x14ac:dyDescent="0.2">
      <c r="A19" s="28" t="b">
        <v>0</v>
      </c>
      <c r="B19" s="28" t="b">
        <v>0</v>
      </c>
      <c r="C19" s="28" t="b">
        <v>0</v>
      </c>
      <c r="D19" s="28" t="b">
        <v>0</v>
      </c>
      <c r="E19" s="28" t="b">
        <v>0</v>
      </c>
      <c r="F19" s="28" t="b">
        <v>0</v>
      </c>
      <c r="G19" s="29"/>
      <c r="H19" s="4" t="s">
        <v>592</v>
      </c>
      <c r="I19" s="4" t="s">
        <v>593</v>
      </c>
      <c r="J19" s="4" t="s">
        <v>519</v>
      </c>
      <c r="K19" s="4" t="s">
        <v>403</v>
      </c>
      <c r="L19" s="4" t="s">
        <v>137</v>
      </c>
      <c r="M19" s="4"/>
      <c r="N19" s="4" t="s">
        <v>594</v>
      </c>
      <c r="O19" s="4"/>
      <c r="P19" s="4"/>
      <c r="Q19" s="4" t="s">
        <v>595</v>
      </c>
      <c r="R19" s="4" t="s">
        <v>129</v>
      </c>
      <c r="S19" s="4"/>
      <c r="T19" s="4"/>
      <c r="U19" s="4"/>
      <c r="V19" s="4"/>
      <c r="W19" s="4" t="s">
        <v>112</v>
      </c>
      <c r="X19" s="4" t="s">
        <v>112</v>
      </c>
      <c r="Y19" s="4" t="s">
        <v>132</v>
      </c>
      <c r="Z19" s="4" t="s">
        <v>142</v>
      </c>
      <c r="AA19" s="4" t="s">
        <v>115</v>
      </c>
      <c r="AB19" s="4"/>
      <c r="AC19" s="4"/>
      <c r="AD19" s="4" t="s">
        <v>115</v>
      </c>
      <c r="AE19" s="4" t="s">
        <v>116</v>
      </c>
      <c r="AF19" s="4"/>
      <c r="AG19" s="4"/>
      <c r="AH19" s="4" t="s">
        <v>116</v>
      </c>
      <c r="AI19" s="4" t="s">
        <v>117</v>
      </c>
      <c r="AJ19" s="4" t="s">
        <v>118</v>
      </c>
      <c r="AK19" s="4"/>
      <c r="AL19" s="4"/>
      <c r="AM19" s="4" t="s">
        <v>211</v>
      </c>
      <c r="AN19" s="4"/>
      <c r="AO19" s="4"/>
      <c r="AP19" s="4"/>
      <c r="AQ19" s="4"/>
      <c r="AR19" s="4" t="s">
        <v>422</v>
      </c>
      <c r="AS19" s="4" t="s">
        <v>144</v>
      </c>
      <c r="AT19" s="4" t="s">
        <v>596</v>
      </c>
      <c r="AU19" s="5" t="str">
        <f>IF($AT19="","",IFERROR(INDEX(InstructorMap!$B:$B, MATCH($AT19, InstructorMap!$A:$A, 0)),""))</f>
        <v/>
      </c>
      <c r="AV19" s="5" t="str">
        <f>IF($AT19="","",IFERROR(INDEX(InstructorMap!$C:$C, MATCH($AT19, InstructorMap!$A:$A, 0)),""))</f>
        <v/>
      </c>
      <c r="AW19" s="4" t="s">
        <v>121</v>
      </c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 t="s">
        <v>519</v>
      </c>
      <c r="BI19" s="4" t="s">
        <v>124</v>
      </c>
      <c r="BJ19" s="4" t="s">
        <v>125</v>
      </c>
      <c r="BK19" s="4"/>
      <c r="BL19" s="4" t="s">
        <v>125</v>
      </c>
      <c r="BM19" s="4"/>
      <c r="BN19" s="4"/>
      <c r="BO19" s="4" t="s">
        <v>127</v>
      </c>
      <c r="BP19" s="4"/>
      <c r="BQ19" s="4"/>
      <c r="BR19" s="4"/>
      <c r="BS19" s="4"/>
      <c r="BT19" s="4" t="s">
        <v>128</v>
      </c>
      <c r="BU19" s="4" t="s">
        <v>129</v>
      </c>
      <c r="BV19" s="4" t="s">
        <v>129</v>
      </c>
      <c r="BW19" s="4" t="s">
        <v>130</v>
      </c>
      <c r="BX19" s="4" t="s">
        <v>131</v>
      </c>
      <c r="BY19" s="4"/>
      <c r="BZ19" s="4"/>
      <c r="CA19" s="4"/>
      <c r="CB19" s="4"/>
      <c r="CC19" s="4"/>
      <c r="CD19" s="4"/>
      <c r="CE19" s="4"/>
      <c r="CF19" s="4" t="s">
        <v>130</v>
      </c>
      <c r="CG19" s="4"/>
      <c r="CH19" s="4" t="s">
        <v>131</v>
      </c>
      <c r="CI19" s="4"/>
      <c r="CJ19" s="4"/>
      <c r="CK19" s="4"/>
      <c r="CL19" s="4"/>
      <c r="CM19" s="4"/>
      <c r="CN19" s="4"/>
      <c r="CO19" s="4"/>
      <c r="CP19" s="4"/>
      <c r="CQ19" s="4"/>
      <c r="CR19" s="4" t="s">
        <v>249</v>
      </c>
      <c r="CS19" s="4" t="s">
        <v>146</v>
      </c>
      <c r="CT19" s="4" t="s">
        <v>133</v>
      </c>
      <c r="CU19" s="4" t="s">
        <v>134</v>
      </c>
      <c r="CV19" s="4"/>
    </row>
    <row r="20" spans="1:100" x14ac:dyDescent="0.2">
      <c r="A20" s="30" t="b">
        <v>0</v>
      </c>
      <c r="B20" s="31" t="b">
        <v>0</v>
      </c>
      <c r="C20" s="31" t="b">
        <v>0</v>
      </c>
      <c r="D20" s="31" t="b">
        <v>0</v>
      </c>
      <c r="E20" s="31" t="b">
        <v>0</v>
      </c>
      <c r="F20" s="31" t="b">
        <v>0</v>
      </c>
      <c r="G20" s="8"/>
      <c r="H20" s="8" t="s">
        <v>597</v>
      </c>
      <c r="I20" s="8" t="s">
        <v>598</v>
      </c>
      <c r="J20" s="8" t="s">
        <v>519</v>
      </c>
      <c r="K20" s="8" t="s">
        <v>403</v>
      </c>
      <c r="L20" s="8" t="s">
        <v>105</v>
      </c>
      <c r="M20" s="8"/>
      <c r="N20" s="8" t="s">
        <v>594</v>
      </c>
      <c r="O20" s="8"/>
      <c r="P20" s="8"/>
      <c r="Q20" s="8" t="s">
        <v>595</v>
      </c>
      <c r="R20" s="8" t="s">
        <v>108</v>
      </c>
      <c r="S20" s="8"/>
      <c r="T20" s="8"/>
      <c r="U20" s="8" t="s">
        <v>110</v>
      </c>
      <c r="V20" s="8"/>
      <c r="W20" s="8" t="s">
        <v>112</v>
      </c>
      <c r="X20" s="8"/>
      <c r="Y20" s="8" t="s">
        <v>203</v>
      </c>
      <c r="Z20" s="8" t="s">
        <v>114</v>
      </c>
      <c r="AA20" s="8" t="s">
        <v>115</v>
      </c>
      <c r="AB20" s="8"/>
      <c r="AC20" s="8"/>
      <c r="AD20" s="8" t="s">
        <v>115</v>
      </c>
      <c r="AE20" s="8" t="s">
        <v>116</v>
      </c>
      <c r="AF20" s="8"/>
      <c r="AG20" s="8"/>
      <c r="AH20" s="8" t="s">
        <v>116</v>
      </c>
      <c r="AI20" s="8" t="s">
        <v>277</v>
      </c>
      <c r="AJ20" s="8" t="s">
        <v>194</v>
      </c>
      <c r="AK20" s="8"/>
      <c r="AL20" s="8"/>
      <c r="AM20" s="8" t="s">
        <v>211</v>
      </c>
      <c r="AN20" s="8"/>
      <c r="AO20" s="8"/>
      <c r="AP20" s="8"/>
      <c r="AQ20" s="8"/>
      <c r="AR20" s="8"/>
      <c r="AS20" s="8"/>
      <c r="AT20" s="8" t="s">
        <v>120</v>
      </c>
      <c r="AU20" s="9" t="str">
        <f>IF($AT20="","",IFERROR(INDEX(InstructorMap!$B:$B, MATCH($AT20, InstructorMap!$A:$A, 0)),""))</f>
        <v>jreeve@andrews.edu</v>
      </c>
      <c r="AV20" s="9" t="str">
        <f>IF($AT20="","",IFERROR(INDEX(InstructorMap!$C:$C, MATCH($AT20, InstructorMap!$A:$A, 0)),""))</f>
        <v>000049018</v>
      </c>
      <c r="AW20" s="8" t="s">
        <v>121</v>
      </c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 t="s">
        <v>519</v>
      </c>
      <c r="BI20" s="8" t="s">
        <v>124</v>
      </c>
      <c r="BJ20" s="8" t="s">
        <v>125</v>
      </c>
      <c r="BK20" s="8"/>
      <c r="BL20" s="8" t="s">
        <v>126</v>
      </c>
      <c r="BM20" s="8"/>
      <c r="BN20" s="8"/>
      <c r="BO20" s="8" t="s">
        <v>127</v>
      </c>
      <c r="BP20" s="8"/>
      <c r="BQ20" s="8"/>
      <c r="BR20" s="8"/>
      <c r="BS20" s="8"/>
      <c r="BT20" s="8" t="s">
        <v>128</v>
      </c>
      <c r="BU20" s="8" t="s">
        <v>129</v>
      </c>
      <c r="BV20" s="8" t="s">
        <v>129</v>
      </c>
      <c r="BW20" s="8" t="s">
        <v>130</v>
      </c>
      <c r="BX20" s="8" t="s">
        <v>131</v>
      </c>
      <c r="BY20" s="8"/>
      <c r="BZ20" s="8"/>
      <c r="CA20" s="8"/>
      <c r="CB20" s="8"/>
      <c r="CC20" s="8"/>
      <c r="CD20" s="8"/>
      <c r="CE20" s="8"/>
      <c r="CF20" s="8" t="s">
        <v>130</v>
      </c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 t="s">
        <v>249</v>
      </c>
      <c r="CS20" s="8" t="s">
        <v>132</v>
      </c>
      <c r="CT20" s="8" t="s">
        <v>133</v>
      </c>
      <c r="CU20" s="8" t="s">
        <v>134</v>
      </c>
      <c r="CV20" s="8"/>
    </row>
    <row r="21" spans="1:100" x14ac:dyDescent="0.2">
      <c r="A21" s="28" t="b">
        <v>0</v>
      </c>
      <c r="B21" s="28" t="b">
        <v>0</v>
      </c>
      <c r="C21" s="28" t="b">
        <v>0</v>
      </c>
      <c r="D21" s="28" t="b">
        <v>0</v>
      </c>
      <c r="E21" s="28" t="b">
        <v>0</v>
      </c>
      <c r="F21" s="28" t="b">
        <v>0</v>
      </c>
      <c r="G21" s="29"/>
      <c r="H21" s="4" t="s">
        <v>599</v>
      </c>
      <c r="I21" s="4" t="s">
        <v>600</v>
      </c>
      <c r="J21" s="4" t="s">
        <v>519</v>
      </c>
      <c r="K21" s="4" t="s">
        <v>601</v>
      </c>
      <c r="L21" s="4" t="s">
        <v>137</v>
      </c>
      <c r="M21" s="4"/>
      <c r="N21" s="4" t="s">
        <v>602</v>
      </c>
      <c r="O21" s="4"/>
      <c r="P21" s="4"/>
      <c r="Q21" s="4" t="s">
        <v>276</v>
      </c>
      <c r="R21" s="4" t="s">
        <v>129</v>
      </c>
      <c r="S21" s="4"/>
      <c r="T21" s="4"/>
      <c r="U21" s="4"/>
      <c r="V21" s="4"/>
      <c r="W21" s="4" t="s">
        <v>112</v>
      </c>
      <c r="X21" s="4" t="s">
        <v>112</v>
      </c>
      <c r="Y21" s="4" t="s">
        <v>565</v>
      </c>
      <c r="Z21" s="4" t="s">
        <v>142</v>
      </c>
      <c r="AA21" s="4" t="s">
        <v>115</v>
      </c>
      <c r="AB21" s="4"/>
      <c r="AC21" s="4"/>
      <c r="AD21" s="4" t="s">
        <v>115</v>
      </c>
      <c r="AE21" s="4" t="s">
        <v>116</v>
      </c>
      <c r="AF21" s="4"/>
      <c r="AG21" s="4"/>
      <c r="AH21" s="4" t="s">
        <v>116</v>
      </c>
      <c r="AI21" s="4" t="s">
        <v>117</v>
      </c>
      <c r="AJ21" s="4" t="s">
        <v>194</v>
      </c>
      <c r="AK21" s="4"/>
      <c r="AL21" s="4"/>
      <c r="AM21" s="4" t="s">
        <v>211</v>
      </c>
      <c r="AN21" s="4"/>
      <c r="AO21" s="4"/>
      <c r="AP21" s="4"/>
      <c r="AQ21" s="4"/>
      <c r="AR21" s="4" t="s">
        <v>195</v>
      </c>
      <c r="AS21" s="4" t="s">
        <v>144</v>
      </c>
      <c r="AT21" s="4" t="s">
        <v>603</v>
      </c>
      <c r="AU21" s="5" t="str">
        <f>IF($AT21="","",IFERROR(INDEX(InstructorMap!$B:$B, MATCH($AT21, InstructorMap!$A:$A, 0)),""))</f>
        <v/>
      </c>
      <c r="AV21" s="5" t="str">
        <f>IF($AT21="","",IFERROR(INDEX(InstructorMap!$C:$C, MATCH($AT21, InstructorMap!$A:$A, 0)),""))</f>
        <v/>
      </c>
      <c r="AW21" s="4" t="s">
        <v>121</v>
      </c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 t="s">
        <v>519</v>
      </c>
      <c r="BI21" s="4" t="s">
        <v>124</v>
      </c>
      <c r="BJ21" s="4" t="s">
        <v>125</v>
      </c>
      <c r="BK21" s="4"/>
      <c r="BL21" s="4" t="s">
        <v>125</v>
      </c>
      <c r="BM21" s="4"/>
      <c r="BN21" s="4"/>
      <c r="BO21" s="4" t="s">
        <v>127</v>
      </c>
      <c r="BP21" s="4"/>
      <c r="BQ21" s="4"/>
      <c r="BR21" s="4"/>
      <c r="BS21" s="4"/>
      <c r="BT21" s="4" t="s">
        <v>128</v>
      </c>
      <c r="BU21" s="4" t="s">
        <v>129</v>
      </c>
      <c r="BV21" s="4" t="s">
        <v>145</v>
      </c>
      <c r="BW21" s="4" t="s">
        <v>130</v>
      </c>
      <c r="BX21" s="4" t="s">
        <v>131</v>
      </c>
      <c r="BY21" s="4"/>
      <c r="BZ21" s="4"/>
      <c r="CA21" s="4"/>
      <c r="CB21" s="4"/>
      <c r="CC21" s="4"/>
      <c r="CD21" s="4"/>
      <c r="CE21" s="4"/>
      <c r="CF21" s="4" t="s">
        <v>130</v>
      </c>
      <c r="CG21" s="4"/>
      <c r="CH21" s="4" t="s">
        <v>131</v>
      </c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 t="s">
        <v>146</v>
      </c>
      <c r="CT21" s="4" t="s">
        <v>133</v>
      </c>
      <c r="CU21" s="4" t="s">
        <v>134</v>
      </c>
      <c r="CV21" s="4"/>
    </row>
    <row r="22" spans="1:100" x14ac:dyDescent="0.2">
      <c r="A22" s="30" t="b">
        <v>0</v>
      </c>
      <c r="B22" s="31" t="b">
        <v>0</v>
      </c>
      <c r="C22" s="31" t="b">
        <v>0</v>
      </c>
      <c r="D22" s="31" t="b">
        <v>0</v>
      </c>
      <c r="E22" s="31" t="b">
        <v>0</v>
      </c>
      <c r="F22" s="31" t="b">
        <v>0</v>
      </c>
      <c r="G22" s="8"/>
      <c r="H22" s="8" t="s">
        <v>604</v>
      </c>
      <c r="I22" s="8" t="s">
        <v>605</v>
      </c>
      <c r="J22" s="8" t="s">
        <v>519</v>
      </c>
      <c r="K22" s="8" t="s">
        <v>601</v>
      </c>
      <c r="L22" s="8" t="s">
        <v>148</v>
      </c>
      <c r="M22" s="8"/>
      <c r="N22" s="8" t="s">
        <v>606</v>
      </c>
      <c r="O22" s="8"/>
      <c r="P22" s="8"/>
      <c r="Q22" s="8"/>
      <c r="R22" s="8" t="s">
        <v>108</v>
      </c>
      <c r="S22" s="8"/>
      <c r="T22" s="8"/>
      <c r="U22" s="8" t="s">
        <v>149</v>
      </c>
      <c r="V22" s="8"/>
      <c r="W22" s="8" t="s">
        <v>112</v>
      </c>
      <c r="X22" s="8"/>
      <c r="Y22" s="8" t="s">
        <v>151</v>
      </c>
      <c r="Z22" s="8" t="s">
        <v>114</v>
      </c>
      <c r="AA22" s="8" t="s">
        <v>115</v>
      </c>
      <c r="AB22" s="8"/>
      <c r="AC22" s="8"/>
      <c r="AD22" s="8" t="s">
        <v>115</v>
      </c>
      <c r="AE22" s="8" t="s">
        <v>116</v>
      </c>
      <c r="AF22" s="8"/>
      <c r="AG22" s="8"/>
      <c r="AH22" s="8" t="s">
        <v>116</v>
      </c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 t="s">
        <v>279</v>
      </c>
      <c r="AU22" s="9" t="str">
        <f>IF($AT22="","",IFERROR(INDEX(InstructorMap!$B:$B, MATCH($AT22, InstructorMap!$A:$A, 0)),""))</f>
        <v>davidson@andrews.edu</v>
      </c>
      <c r="AV22" s="9" t="str">
        <f>IF($AT22="","",IFERROR(INDEX(InstructorMap!$C:$C, MATCH($AT22, InstructorMap!$A:$A, 0)),""))</f>
        <v>000012107</v>
      </c>
      <c r="AW22" s="8" t="s">
        <v>121</v>
      </c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 t="s">
        <v>519</v>
      </c>
      <c r="BI22" s="8" t="s">
        <v>124</v>
      </c>
      <c r="BJ22" s="8" t="s">
        <v>125</v>
      </c>
      <c r="BK22" s="8"/>
      <c r="BL22" s="8" t="s">
        <v>126</v>
      </c>
      <c r="BM22" s="8"/>
      <c r="BN22" s="8"/>
      <c r="BO22" s="8" t="s">
        <v>127</v>
      </c>
      <c r="BP22" s="8"/>
      <c r="BQ22" s="8"/>
      <c r="BR22" s="8"/>
      <c r="BS22" s="8"/>
      <c r="BT22" s="8" t="s">
        <v>128</v>
      </c>
      <c r="BU22" s="8" t="s">
        <v>129</v>
      </c>
      <c r="BV22" s="8" t="s">
        <v>129</v>
      </c>
      <c r="BW22" s="8" t="s">
        <v>130</v>
      </c>
      <c r="BX22" s="8"/>
      <c r="BY22" s="8"/>
      <c r="BZ22" s="8"/>
      <c r="CA22" s="8"/>
      <c r="CB22" s="8"/>
      <c r="CC22" s="8"/>
      <c r="CD22" s="8"/>
      <c r="CE22" s="8"/>
      <c r="CF22" s="8" t="s">
        <v>130</v>
      </c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 t="s">
        <v>132</v>
      </c>
      <c r="CT22" s="8" t="s">
        <v>133</v>
      </c>
      <c r="CU22" s="8" t="s">
        <v>134</v>
      </c>
      <c r="CV22" s="8"/>
    </row>
    <row r="23" spans="1:100" x14ac:dyDescent="0.2">
      <c r="A23" s="38" t="b">
        <v>0</v>
      </c>
      <c r="B23" s="39" t="b">
        <v>0</v>
      </c>
      <c r="C23" s="39" t="b">
        <v>0</v>
      </c>
      <c r="D23" s="39" t="b">
        <v>0</v>
      </c>
      <c r="E23" s="39" t="b">
        <v>0</v>
      </c>
      <c r="F23" s="37" t="b">
        <v>0</v>
      </c>
      <c r="G23" s="36"/>
      <c r="H23" s="6" t="s">
        <v>607</v>
      </c>
      <c r="I23" s="6" t="s">
        <v>608</v>
      </c>
      <c r="J23" s="6" t="s">
        <v>519</v>
      </c>
      <c r="K23" s="6" t="s">
        <v>472</v>
      </c>
      <c r="L23" s="6" t="s">
        <v>137</v>
      </c>
      <c r="M23" s="6"/>
      <c r="N23" s="6" t="s">
        <v>609</v>
      </c>
      <c r="O23" s="6"/>
      <c r="P23" s="6"/>
      <c r="Q23" s="6"/>
      <c r="R23" s="6" t="s">
        <v>129</v>
      </c>
      <c r="S23" s="6"/>
      <c r="T23" s="6"/>
      <c r="U23" s="6"/>
      <c r="V23" s="6"/>
      <c r="W23" s="6" t="s">
        <v>129</v>
      </c>
      <c r="X23" s="6"/>
      <c r="Y23" s="6" t="s">
        <v>148</v>
      </c>
      <c r="Z23" s="6" t="s">
        <v>142</v>
      </c>
      <c r="AA23" s="6" t="s">
        <v>115</v>
      </c>
      <c r="AB23" s="6"/>
      <c r="AC23" s="6"/>
      <c r="AD23" s="6" t="s">
        <v>115</v>
      </c>
      <c r="AE23" s="6" t="s">
        <v>116</v>
      </c>
      <c r="AF23" s="6"/>
      <c r="AG23" s="6"/>
      <c r="AH23" s="6" t="s">
        <v>116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 t="s">
        <v>359</v>
      </c>
      <c r="AU23" s="7" t="str">
        <f>IF($AT23="","",IFERROR(INDEX(InstructorMap!$B:$B, MATCH($AT23, InstructorMap!$A:$A, 0)),""))</f>
        <v>rpaquini@andrews.edu</v>
      </c>
      <c r="AV23" s="7" t="str">
        <f>IF($AT23="","",IFERROR(INDEX(InstructorMap!$C:$C, MATCH($AT23, InstructorMap!$A:$A, 0)),""))</f>
        <v>000105171</v>
      </c>
      <c r="AW23" s="6" t="s">
        <v>121</v>
      </c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 t="s">
        <v>519</v>
      </c>
      <c r="BI23" s="6" t="s">
        <v>124</v>
      </c>
      <c r="BJ23" s="6" t="s">
        <v>125</v>
      </c>
      <c r="BK23" s="6"/>
      <c r="BL23" s="6" t="s">
        <v>249</v>
      </c>
      <c r="BM23" s="6"/>
      <c r="BN23" s="6"/>
      <c r="BO23" s="6" t="s">
        <v>127</v>
      </c>
      <c r="BP23" s="6"/>
      <c r="BQ23" s="6" t="s">
        <v>511</v>
      </c>
      <c r="BR23" s="6"/>
      <c r="BS23" s="6"/>
      <c r="BT23" s="6" t="s">
        <v>128</v>
      </c>
      <c r="BU23" s="6" t="s">
        <v>129</v>
      </c>
      <c r="BV23" s="6" t="s">
        <v>129</v>
      </c>
      <c r="BW23" s="6" t="s">
        <v>130</v>
      </c>
      <c r="BX23" s="6"/>
      <c r="BY23" s="6"/>
      <c r="BZ23" s="6"/>
      <c r="CA23" s="6"/>
      <c r="CB23" s="6"/>
      <c r="CC23" s="6"/>
      <c r="CD23" s="6"/>
      <c r="CE23" s="6"/>
      <c r="CF23" s="6" t="s">
        <v>130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 t="s">
        <v>132</v>
      </c>
      <c r="CT23" s="6" t="s">
        <v>133</v>
      </c>
      <c r="CU23" s="6" t="s">
        <v>134</v>
      </c>
      <c r="CV23" s="6"/>
    </row>
    <row r="24" spans="1:100" x14ac:dyDescent="0.2">
      <c r="A24" s="38" t="b">
        <v>0</v>
      </c>
      <c r="B24" s="39" t="b">
        <v>0</v>
      </c>
      <c r="C24" s="39" t="b">
        <v>0</v>
      </c>
      <c r="D24" s="39" t="b">
        <v>0</v>
      </c>
      <c r="E24" s="39" t="b">
        <v>0</v>
      </c>
      <c r="F24" s="38" t="b">
        <v>0</v>
      </c>
      <c r="G24" s="36"/>
      <c r="H24" s="6" t="s">
        <v>610</v>
      </c>
      <c r="I24" s="6" t="s">
        <v>611</v>
      </c>
      <c r="J24" s="6" t="s">
        <v>519</v>
      </c>
      <c r="K24" s="6" t="s">
        <v>472</v>
      </c>
      <c r="L24" s="6" t="s">
        <v>255</v>
      </c>
      <c r="M24" s="6"/>
      <c r="N24" s="6" t="s">
        <v>609</v>
      </c>
      <c r="O24" s="6"/>
      <c r="P24" s="6"/>
      <c r="Q24" s="6"/>
      <c r="R24" s="6" t="s">
        <v>108</v>
      </c>
      <c r="S24" s="6"/>
      <c r="T24" s="6"/>
      <c r="U24" s="6"/>
      <c r="V24" s="6"/>
      <c r="W24" s="6" t="s">
        <v>129</v>
      </c>
      <c r="X24" s="6"/>
      <c r="Y24" s="6" t="s">
        <v>148</v>
      </c>
      <c r="Z24" s="6" t="s">
        <v>114</v>
      </c>
      <c r="AA24" s="6" t="s">
        <v>115</v>
      </c>
      <c r="AB24" s="6"/>
      <c r="AC24" s="6"/>
      <c r="AD24" s="6" t="s">
        <v>115</v>
      </c>
      <c r="AE24" s="6" t="s">
        <v>116</v>
      </c>
      <c r="AF24" s="6"/>
      <c r="AG24" s="6"/>
      <c r="AH24" s="6" t="s">
        <v>116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 t="s">
        <v>612</v>
      </c>
      <c r="AU24" s="7" t="str">
        <f>IF($AT24="","",IFERROR(INDEX(InstructorMap!$B:$B, MATCH($AT24, InstructorMap!$A:$A, 0)),""))</f>
        <v>cvine@andrews.edu</v>
      </c>
      <c r="AV24" s="7" t="str">
        <f>IF($AT24="","",IFERROR(INDEX(InstructorMap!$C:$C, MATCH($AT24, InstructorMap!$A:$A, 0)),""))</f>
        <v>000093509</v>
      </c>
      <c r="AW24" s="6" t="s">
        <v>121</v>
      </c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 t="s">
        <v>519</v>
      </c>
      <c r="BI24" s="6" t="s">
        <v>124</v>
      </c>
      <c r="BJ24" s="6" t="s">
        <v>125</v>
      </c>
      <c r="BK24" s="6"/>
      <c r="BL24" s="6" t="s">
        <v>249</v>
      </c>
      <c r="BM24" s="6"/>
      <c r="BN24" s="6"/>
      <c r="BO24" s="6" t="s">
        <v>127</v>
      </c>
      <c r="BP24" s="6"/>
      <c r="BQ24" s="6" t="s">
        <v>511</v>
      </c>
      <c r="BR24" s="6"/>
      <c r="BS24" s="6"/>
      <c r="BT24" s="6" t="s">
        <v>128</v>
      </c>
      <c r="BU24" s="6" t="s">
        <v>129</v>
      </c>
      <c r="BV24" s="6" t="s">
        <v>129</v>
      </c>
      <c r="BW24" s="6" t="s">
        <v>130</v>
      </c>
      <c r="BX24" s="6"/>
      <c r="BY24" s="6"/>
      <c r="BZ24" s="6"/>
      <c r="CA24" s="6"/>
      <c r="CB24" s="6"/>
      <c r="CC24" s="6"/>
      <c r="CD24" s="6"/>
      <c r="CE24" s="6"/>
      <c r="CF24" s="6" t="s">
        <v>130</v>
      </c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 t="s">
        <v>132</v>
      </c>
      <c r="CT24" s="6" t="s">
        <v>133</v>
      </c>
      <c r="CU24" s="6" t="s">
        <v>134</v>
      </c>
      <c r="CV24" s="6"/>
    </row>
    <row r="25" spans="1:100" x14ac:dyDescent="0.2">
      <c r="A25" s="38" t="b">
        <v>0</v>
      </c>
      <c r="B25" s="39" t="b">
        <v>0</v>
      </c>
      <c r="C25" s="39" t="b">
        <v>0</v>
      </c>
      <c r="D25" s="39" t="b">
        <v>0</v>
      </c>
      <c r="E25" s="39" t="b">
        <v>0</v>
      </c>
      <c r="F25" s="38" t="b">
        <v>0</v>
      </c>
      <c r="G25" s="36"/>
      <c r="H25" s="6" t="s">
        <v>613</v>
      </c>
      <c r="I25" s="6" t="s">
        <v>614</v>
      </c>
      <c r="J25" s="6" t="s">
        <v>519</v>
      </c>
      <c r="K25" s="6" t="s">
        <v>615</v>
      </c>
      <c r="L25" s="6" t="s">
        <v>137</v>
      </c>
      <c r="M25" s="6"/>
      <c r="N25" s="6" t="s">
        <v>616</v>
      </c>
      <c r="O25" s="6" t="s">
        <v>616</v>
      </c>
      <c r="P25" s="6"/>
      <c r="Q25" s="6"/>
      <c r="R25" s="6" t="s">
        <v>129</v>
      </c>
      <c r="S25" s="6"/>
      <c r="T25" s="6"/>
      <c r="U25" s="6"/>
      <c r="V25" s="6"/>
      <c r="W25" s="6" t="s">
        <v>129</v>
      </c>
      <c r="X25" s="6"/>
      <c r="Y25" s="6" t="s">
        <v>148</v>
      </c>
      <c r="Z25" s="6" t="s">
        <v>142</v>
      </c>
      <c r="AA25" s="6" t="s">
        <v>115</v>
      </c>
      <c r="AB25" s="6"/>
      <c r="AC25" s="6"/>
      <c r="AD25" s="6" t="s">
        <v>115</v>
      </c>
      <c r="AE25" s="6" t="s">
        <v>116</v>
      </c>
      <c r="AF25" s="6"/>
      <c r="AG25" s="6"/>
      <c r="AH25" s="6" t="s">
        <v>116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 t="s">
        <v>612</v>
      </c>
      <c r="AU25" s="7" t="str">
        <f>IF($AT25="","",IFERROR(INDEX(InstructorMap!$B:$B, MATCH($AT25, InstructorMap!$A:$A, 0)),""))</f>
        <v>cvine@andrews.edu</v>
      </c>
      <c r="AV25" s="7" t="str">
        <f>IF($AT25="","",IFERROR(INDEX(InstructorMap!$C:$C, MATCH($AT25, InstructorMap!$A:$A, 0)),""))</f>
        <v>000093509</v>
      </c>
      <c r="AW25" s="6" t="s">
        <v>121</v>
      </c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 t="s">
        <v>519</v>
      </c>
      <c r="BI25" s="6" t="s">
        <v>124</v>
      </c>
      <c r="BJ25" s="6" t="s">
        <v>125</v>
      </c>
      <c r="BK25" s="6"/>
      <c r="BL25" s="6" t="s">
        <v>249</v>
      </c>
      <c r="BM25" s="6"/>
      <c r="BN25" s="6"/>
      <c r="BO25" s="6" t="s">
        <v>127</v>
      </c>
      <c r="BP25" s="6"/>
      <c r="BQ25" s="6" t="s">
        <v>511</v>
      </c>
      <c r="BR25" s="6"/>
      <c r="BS25" s="6"/>
      <c r="BT25" s="6" t="s">
        <v>128</v>
      </c>
      <c r="BU25" s="6" t="s">
        <v>129</v>
      </c>
      <c r="BV25" s="6" t="s">
        <v>129</v>
      </c>
      <c r="BW25" s="6" t="s">
        <v>130</v>
      </c>
      <c r="BX25" s="6"/>
      <c r="BY25" s="6"/>
      <c r="BZ25" s="6"/>
      <c r="CA25" s="6"/>
      <c r="CB25" s="6"/>
      <c r="CC25" s="6"/>
      <c r="CD25" s="6"/>
      <c r="CE25" s="6"/>
      <c r="CF25" s="6" t="s">
        <v>130</v>
      </c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 t="s">
        <v>132</v>
      </c>
      <c r="CT25" s="6" t="s">
        <v>133</v>
      </c>
      <c r="CU25" s="6" t="s">
        <v>134</v>
      </c>
      <c r="CV25" s="6"/>
    </row>
    <row r="26" spans="1:100" x14ac:dyDescent="0.2">
      <c r="A26" s="38" t="b">
        <v>0</v>
      </c>
      <c r="B26" s="39" t="b">
        <v>0</v>
      </c>
      <c r="C26" s="39" t="b">
        <v>0</v>
      </c>
      <c r="D26" s="39" t="b">
        <v>0</v>
      </c>
      <c r="E26" s="39" t="b">
        <v>0</v>
      </c>
      <c r="F26" s="38" t="b">
        <v>0</v>
      </c>
      <c r="G26" s="36"/>
      <c r="H26" s="6" t="s">
        <v>617</v>
      </c>
      <c r="I26" s="6" t="s">
        <v>618</v>
      </c>
      <c r="J26" s="6" t="s">
        <v>519</v>
      </c>
      <c r="K26" s="6" t="s">
        <v>615</v>
      </c>
      <c r="L26" s="6" t="s">
        <v>255</v>
      </c>
      <c r="M26" s="6"/>
      <c r="N26" s="6" t="s">
        <v>616</v>
      </c>
      <c r="O26" s="6"/>
      <c r="P26" s="6"/>
      <c r="Q26" s="6"/>
      <c r="R26" s="6" t="s">
        <v>108</v>
      </c>
      <c r="S26" s="6"/>
      <c r="T26" s="6"/>
      <c r="U26" s="6"/>
      <c r="V26" s="6"/>
      <c r="W26" s="6" t="s">
        <v>129</v>
      </c>
      <c r="X26" s="6"/>
      <c r="Y26" s="6" t="s">
        <v>148</v>
      </c>
      <c r="Z26" s="6" t="s">
        <v>114</v>
      </c>
      <c r="AA26" s="6" t="s">
        <v>115</v>
      </c>
      <c r="AB26" s="6"/>
      <c r="AC26" s="6"/>
      <c r="AD26" s="6" t="s">
        <v>115</v>
      </c>
      <c r="AE26" s="6" t="s">
        <v>116</v>
      </c>
      <c r="AF26" s="6"/>
      <c r="AG26" s="6"/>
      <c r="AH26" s="6" t="s">
        <v>116</v>
      </c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 t="s">
        <v>612</v>
      </c>
      <c r="AU26" s="7" t="str">
        <f>IF($AT26="","",IFERROR(INDEX(InstructorMap!$B:$B, MATCH($AT26, InstructorMap!$A:$A, 0)),""))</f>
        <v>cvine@andrews.edu</v>
      </c>
      <c r="AV26" s="7" t="str">
        <f>IF($AT26="","",IFERROR(INDEX(InstructorMap!$C:$C, MATCH($AT26, InstructorMap!$A:$A, 0)),""))</f>
        <v>000093509</v>
      </c>
      <c r="AW26" s="6" t="s">
        <v>121</v>
      </c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 t="s">
        <v>519</v>
      </c>
      <c r="BI26" s="6" t="s">
        <v>124</v>
      </c>
      <c r="BJ26" s="6" t="s">
        <v>125</v>
      </c>
      <c r="BK26" s="6"/>
      <c r="BL26" s="6" t="s">
        <v>249</v>
      </c>
      <c r="BM26" s="6"/>
      <c r="BN26" s="6"/>
      <c r="BO26" s="6" t="s">
        <v>127</v>
      </c>
      <c r="BP26" s="6"/>
      <c r="BQ26" s="6" t="s">
        <v>511</v>
      </c>
      <c r="BR26" s="6"/>
      <c r="BS26" s="6"/>
      <c r="BT26" s="6" t="s">
        <v>128</v>
      </c>
      <c r="BU26" s="6" t="s">
        <v>129</v>
      </c>
      <c r="BV26" s="6" t="s">
        <v>129</v>
      </c>
      <c r="BW26" s="6" t="s">
        <v>130</v>
      </c>
      <c r="BX26" s="6"/>
      <c r="BY26" s="6"/>
      <c r="BZ26" s="6"/>
      <c r="CA26" s="6"/>
      <c r="CB26" s="6"/>
      <c r="CC26" s="6"/>
      <c r="CD26" s="6"/>
      <c r="CE26" s="6"/>
      <c r="CF26" s="6" t="s">
        <v>130</v>
      </c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 t="s">
        <v>132</v>
      </c>
      <c r="CT26" s="6" t="s">
        <v>133</v>
      </c>
      <c r="CU26" s="6" t="s">
        <v>134</v>
      </c>
      <c r="CV26" s="6"/>
    </row>
    <row r="27" spans="1:100" x14ac:dyDescent="0.2">
      <c r="A27" s="38" t="b">
        <v>0</v>
      </c>
      <c r="B27" s="39" t="b">
        <v>0</v>
      </c>
      <c r="C27" s="39" t="b">
        <v>0</v>
      </c>
      <c r="D27" s="39" t="b">
        <v>0</v>
      </c>
      <c r="E27" s="39" t="b">
        <v>0</v>
      </c>
      <c r="F27" s="38" t="b">
        <v>0</v>
      </c>
      <c r="G27" s="36"/>
      <c r="H27" s="6" t="s">
        <v>619</v>
      </c>
      <c r="I27" s="6" t="s">
        <v>620</v>
      </c>
      <c r="J27" s="6" t="s">
        <v>519</v>
      </c>
      <c r="K27" s="6" t="s">
        <v>621</v>
      </c>
      <c r="L27" s="6" t="s">
        <v>137</v>
      </c>
      <c r="M27" s="6"/>
      <c r="N27" s="6" t="s">
        <v>622</v>
      </c>
      <c r="O27" s="6" t="s">
        <v>622</v>
      </c>
      <c r="P27" s="6"/>
      <c r="Q27" s="6"/>
      <c r="R27" s="6" t="s">
        <v>129</v>
      </c>
      <c r="S27" s="6"/>
      <c r="T27" s="6"/>
      <c r="U27" s="6"/>
      <c r="V27" s="6"/>
      <c r="W27" s="6" t="s">
        <v>623</v>
      </c>
      <c r="X27" s="6"/>
      <c r="Y27" s="6" t="s">
        <v>148</v>
      </c>
      <c r="Z27" s="6" t="s">
        <v>142</v>
      </c>
      <c r="AA27" s="6" t="s">
        <v>115</v>
      </c>
      <c r="AB27" s="6"/>
      <c r="AC27" s="6"/>
      <c r="AD27" s="6" t="s">
        <v>115</v>
      </c>
      <c r="AE27" s="6" t="s">
        <v>116</v>
      </c>
      <c r="AF27" s="6"/>
      <c r="AG27" s="6"/>
      <c r="AH27" s="6" t="s">
        <v>116</v>
      </c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 t="s">
        <v>612</v>
      </c>
      <c r="AU27" s="7" t="str">
        <f>IF($AT27="","",IFERROR(INDEX(InstructorMap!$B:$B, MATCH($AT27, InstructorMap!$A:$A, 0)),""))</f>
        <v>cvine@andrews.edu</v>
      </c>
      <c r="AV27" s="7" t="str">
        <f>IF($AT27="","",IFERROR(INDEX(InstructorMap!$C:$C, MATCH($AT27, InstructorMap!$A:$A, 0)),""))</f>
        <v>000093509</v>
      </c>
      <c r="AW27" s="6" t="s">
        <v>121</v>
      </c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 t="s">
        <v>519</v>
      </c>
      <c r="BI27" s="6" t="s">
        <v>124</v>
      </c>
      <c r="BJ27" s="6" t="s">
        <v>125</v>
      </c>
      <c r="BK27" s="6"/>
      <c r="BL27" s="6" t="s">
        <v>249</v>
      </c>
      <c r="BM27" s="6"/>
      <c r="BN27" s="6"/>
      <c r="BO27" s="6" t="s">
        <v>127</v>
      </c>
      <c r="BP27" s="6"/>
      <c r="BQ27" s="6"/>
      <c r="BR27" s="6"/>
      <c r="BS27" s="6"/>
      <c r="BT27" s="6" t="s">
        <v>128</v>
      </c>
      <c r="BU27" s="6" t="s">
        <v>129</v>
      </c>
      <c r="BV27" s="6" t="s">
        <v>129</v>
      </c>
      <c r="BW27" s="6" t="s">
        <v>130</v>
      </c>
      <c r="BX27" s="6"/>
      <c r="BY27" s="6"/>
      <c r="BZ27" s="6"/>
      <c r="CA27" s="6"/>
      <c r="CB27" s="6"/>
      <c r="CC27" s="6"/>
      <c r="CD27" s="6"/>
      <c r="CE27" s="6"/>
      <c r="CF27" s="6" t="s">
        <v>130</v>
      </c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 t="s">
        <v>132</v>
      </c>
      <c r="CT27" s="6" t="s">
        <v>133</v>
      </c>
      <c r="CU27" s="6" t="s">
        <v>134</v>
      </c>
      <c r="CV27" s="6"/>
    </row>
    <row r="28" spans="1:100" x14ac:dyDescent="0.2">
      <c r="A28" s="38" t="b">
        <v>0</v>
      </c>
      <c r="B28" s="39" t="b">
        <v>0</v>
      </c>
      <c r="C28" s="39" t="b">
        <v>0</v>
      </c>
      <c r="D28" s="39" t="b">
        <v>0</v>
      </c>
      <c r="E28" s="39" t="b">
        <v>0</v>
      </c>
      <c r="F28" s="38" t="b">
        <v>0</v>
      </c>
      <c r="G28" s="36"/>
      <c r="H28" s="6" t="s">
        <v>624</v>
      </c>
      <c r="I28" s="6" t="s">
        <v>625</v>
      </c>
      <c r="J28" s="6" t="s">
        <v>519</v>
      </c>
      <c r="K28" s="6" t="s">
        <v>621</v>
      </c>
      <c r="L28" s="6" t="s">
        <v>255</v>
      </c>
      <c r="M28" s="6"/>
      <c r="N28" s="6" t="s">
        <v>622</v>
      </c>
      <c r="O28" s="6"/>
      <c r="P28" s="6"/>
      <c r="Q28" s="6"/>
      <c r="R28" s="6" t="s">
        <v>108</v>
      </c>
      <c r="S28" s="6"/>
      <c r="T28" s="6"/>
      <c r="U28" s="6"/>
      <c r="V28" s="6"/>
      <c r="W28" s="6" t="s">
        <v>623</v>
      </c>
      <c r="X28" s="6"/>
      <c r="Y28" s="6" t="s">
        <v>148</v>
      </c>
      <c r="Z28" s="6" t="s">
        <v>114</v>
      </c>
      <c r="AA28" s="6" t="s">
        <v>115</v>
      </c>
      <c r="AB28" s="6"/>
      <c r="AC28" s="6"/>
      <c r="AD28" s="6" t="s">
        <v>115</v>
      </c>
      <c r="AE28" s="6" t="s">
        <v>116</v>
      </c>
      <c r="AF28" s="6"/>
      <c r="AG28" s="6"/>
      <c r="AH28" s="6" t="s">
        <v>116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 t="s">
        <v>612</v>
      </c>
      <c r="AU28" s="7" t="str">
        <f>IF($AT28="","",IFERROR(INDEX(InstructorMap!$B:$B, MATCH($AT28, InstructorMap!$A:$A, 0)),""))</f>
        <v>cvine@andrews.edu</v>
      </c>
      <c r="AV28" s="7" t="str">
        <f>IF($AT28="","",IFERROR(INDEX(InstructorMap!$C:$C, MATCH($AT28, InstructorMap!$A:$A, 0)),""))</f>
        <v>000093509</v>
      </c>
      <c r="AW28" s="6" t="s">
        <v>121</v>
      </c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 t="s">
        <v>519</v>
      </c>
      <c r="BI28" s="6" t="s">
        <v>124</v>
      </c>
      <c r="BJ28" s="6" t="s">
        <v>125</v>
      </c>
      <c r="BK28" s="6"/>
      <c r="BL28" s="6" t="s">
        <v>249</v>
      </c>
      <c r="BM28" s="6"/>
      <c r="BN28" s="6"/>
      <c r="BO28" s="6" t="s">
        <v>127</v>
      </c>
      <c r="BP28" s="6"/>
      <c r="BQ28" s="6"/>
      <c r="BR28" s="6"/>
      <c r="BS28" s="6"/>
      <c r="BT28" s="6" t="s">
        <v>128</v>
      </c>
      <c r="BU28" s="6" t="s">
        <v>129</v>
      </c>
      <c r="BV28" s="6" t="s">
        <v>129</v>
      </c>
      <c r="BW28" s="6" t="s">
        <v>130</v>
      </c>
      <c r="BX28" s="6"/>
      <c r="BY28" s="6"/>
      <c r="BZ28" s="6"/>
      <c r="CA28" s="6"/>
      <c r="CB28" s="6"/>
      <c r="CC28" s="6"/>
      <c r="CD28" s="6"/>
      <c r="CE28" s="6"/>
      <c r="CF28" s="6" t="s">
        <v>130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 t="s">
        <v>132</v>
      </c>
      <c r="CT28" s="6" t="s">
        <v>133</v>
      </c>
      <c r="CU28" s="6" t="s">
        <v>134</v>
      </c>
      <c r="CV28" s="6"/>
    </row>
    <row r="29" spans="1:100" x14ac:dyDescent="0.2">
      <c r="A29" s="38" t="b">
        <v>0</v>
      </c>
      <c r="B29" s="39" t="b">
        <v>0</v>
      </c>
      <c r="C29" s="39" t="b">
        <v>0</v>
      </c>
      <c r="D29" s="39" t="b">
        <v>0</v>
      </c>
      <c r="E29" s="39" t="b">
        <v>0</v>
      </c>
      <c r="F29" s="38" t="b">
        <v>0</v>
      </c>
      <c r="G29" s="36"/>
      <c r="H29" s="6" t="s">
        <v>626</v>
      </c>
      <c r="I29" s="6" t="s">
        <v>627</v>
      </c>
      <c r="J29" s="6" t="s">
        <v>519</v>
      </c>
      <c r="K29" s="6" t="s">
        <v>628</v>
      </c>
      <c r="L29" s="6" t="s">
        <v>137</v>
      </c>
      <c r="M29" s="6"/>
      <c r="N29" s="6" t="s">
        <v>629</v>
      </c>
      <c r="O29" s="6" t="s">
        <v>630</v>
      </c>
      <c r="P29" s="6"/>
      <c r="Q29" s="6"/>
      <c r="R29" s="6" t="s">
        <v>129</v>
      </c>
      <c r="S29" s="6" t="s">
        <v>129</v>
      </c>
      <c r="T29" s="6"/>
      <c r="U29" s="6"/>
      <c r="V29" s="6"/>
      <c r="W29" s="6" t="s">
        <v>631</v>
      </c>
      <c r="X29" s="6"/>
      <c r="Y29" s="6" t="s">
        <v>148</v>
      </c>
      <c r="Z29" s="6" t="s">
        <v>142</v>
      </c>
      <c r="AA29" s="6" t="s">
        <v>115</v>
      </c>
      <c r="AB29" s="6"/>
      <c r="AC29" s="6"/>
      <c r="AD29" s="6" t="s">
        <v>115</v>
      </c>
      <c r="AE29" s="6" t="s">
        <v>116</v>
      </c>
      <c r="AF29" s="6"/>
      <c r="AG29" s="6"/>
      <c r="AH29" s="6" t="s">
        <v>116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 t="s">
        <v>612</v>
      </c>
      <c r="AU29" s="7" t="str">
        <f>IF($AT29="","",IFERROR(INDEX(InstructorMap!$B:$B, MATCH($AT29, InstructorMap!$A:$A, 0)),""))</f>
        <v>cvine@andrews.edu</v>
      </c>
      <c r="AV29" s="7" t="str">
        <f>IF($AT29="","",IFERROR(INDEX(InstructorMap!$C:$C, MATCH($AT29, InstructorMap!$A:$A, 0)),""))</f>
        <v>000093509</v>
      </c>
      <c r="AW29" s="6" t="s">
        <v>121</v>
      </c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 t="s">
        <v>519</v>
      </c>
      <c r="BI29" s="6" t="s">
        <v>124</v>
      </c>
      <c r="BJ29" s="6" t="s">
        <v>125</v>
      </c>
      <c r="BK29" s="6"/>
      <c r="BL29" s="6" t="s">
        <v>249</v>
      </c>
      <c r="BM29" s="6"/>
      <c r="BN29" s="6"/>
      <c r="BO29" s="6" t="s">
        <v>127</v>
      </c>
      <c r="BP29" s="6"/>
      <c r="BQ29" s="6" t="s">
        <v>511</v>
      </c>
      <c r="BR29" s="6"/>
      <c r="BS29" s="6"/>
      <c r="BT29" s="6" t="s">
        <v>128</v>
      </c>
      <c r="BU29" s="6" t="s">
        <v>129</v>
      </c>
      <c r="BV29" s="6" t="s">
        <v>129</v>
      </c>
      <c r="BW29" s="6" t="s">
        <v>130</v>
      </c>
      <c r="BX29" s="6"/>
      <c r="BY29" s="6"/>
      <c r="BZ29" s="6"/>
      <c r="CA29" s="6"/>
      <c r="CB29" s="6"/>
      <c r="CC29" s="6"/>
      <c r="CD29" s="6"/>
      <c r="CE29" s="6"/>
      <c r="CF29" s="6" t="s">
        <v>130</v>
      </c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 t="s">
        <v>132</v>
      </c>
      <c r="CT29" s="6" t="s">
        <v>133</v>
      </c>
      <c r="CU29" s="6" t="s">
        <v>134</v>
      </c>
      <c r="CV29" s="6"/>
    </row>
    <row r="30" spans="1:100" x14ac:dyDescent="0.2">
      <c r="A30" s="38" t="b">
        <v>0</v>
      </c>
      <c r="B30" s="39" t="b">
        <v>0</v>
      </c>
      <c r="C30" s="39" t="b">
        <v>0</v>
      </c>
      <c r="D30" s="39" t="b">
        <v>0</v>
      </c>
      <c r="E30" s="39" t="b">
        <v>0</v>
      </c>
      <c r="F30" s="38" t="b">
        <v>0</v>
      </c>
      <c r="G30" s="36"/>
      <c r="H30" s="6" t="s">
        <v>632</v>
      </c>
      <c r="I30" s="6" t="s">
        <v>627</v>
      </c>
      <c r="J30" s="6" t="s">
        <v>519</v>
      </c>
      <c r="K30" s="6" t="s">
        <v>628</v>
      </c>
      <c r="L30" s="6" t="s">
        <v>137</v>
      </c>
      <c r="M30" s="6"/>
      <c r="N30" s="6" t="s">
        <v>629</v>
      </c>
      <c r="O30" s="6" t="s">
        <v>630</v>
      </c>
      <c r="P30" s="6"/>
      <c r="Q30" s="6"/>
      <c r="R30" s="6" t="s">
        <v>129</v>
      </c>
      <c r="S30" s="6" t="s">
        <v>633</v>
      </c>
      <c r="T30" s="6"/>
      <c r="U30" s="6"/>
      <c r="V30" s="6"/>
      <c r="W30" s="6" t="s">
        <v>631</v>
      </c>
      <c r="X30" s="6"/>
      <c r="Y30" s="6" t="s">
        <v>148</v>
      </c>
      <c r="Z30" s="6" t="s">
        <v>142</v>
      </c>
      <c r="AA30" s="6" t="s">
        <v>115</v>
      </c>
      <c r="AB30" s="6"/>
      <c r="AC30" s="6"/>
      <c r="AD30" s="6" t="s">
        <v>115</v>
      </c>
      <c r="AE30" s="6" t="s">
        <v>116</v>
      </c>
      <c r="AF30" s="6"/>
      <c r="AG30" s="6"/>
      <c r="AH30" s="6" t="s">
        <v>116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 t="s">
        <v>612</v>
      </c>
      <c r="AU30" s="7" t="str">
        <f>IF($AT30="","",IFERROR(INDEX(InstructorMap!$B:$B, MATCH($AT30, InstructorMap!$A:$A, 0)),""))</f>
        <v>cvine@andrews.edu</v>
      </c>
      <c r="AV30" s="7" t="str">
        <f>IF($AT30="","",IFERROR(INDEX(InstructorMap!$C:$C, MATCH($AT30, InstructorMap!$A:$A, 0)),""))</f>
        <v>000093509</v>
      </c>
      <c r="AW30" s="6" t="s">
        <v>121</v>
      </c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 t="s">
        <v>519</v>
      </c>
      <c r="BI30" s="6" t="s">
        <v>124</v>
      </c>
      <c r="BJ30" s="6" t="s">
        <v>125</v>
      </c>
      <c r="BK30" s="6"/>
      <c r="BL30" s="6" t="s">
        <v>249</v>
      </c>
      <c r="BM30" s="6"/>
      <c r="BN30" s="6"/>
      <c r="BO30" s="6" t="s">
        <v>127</v>
      </c>
      <c r="BP30" s="6"/>
      <c r="BQ30" s="6" t="s">
        <v>511</v>
      </c>
      <c r="BR30" s="6"/>
      <c r="BS30" s="6"/>
      <c r="BT30" s="6" t="s">
        <v>128</v>
      </c>
      <c r="BU30" s="6" t="s">
        <v>129</v>
      </c>
      <c r="BV30" s="6" t="s">
        <v>129</v>
      </c>
      <c r="BW30" s="6" t="s">
        <v>130</v>
      </c>
      <c r="BX30" s="6"/>
      <c r="BY30" s="6"/>
      <c r="BZ30" s="6"/>
      <c r="CA30" s="6"/>
      <c r="CB30" s="6"/>
      <c r="CC30" s="6"/>
      <c r="CD30" s="6"/>
      <c r="CE30" s="6"/>
      <c r="CF30" s="6" t="s">
        <v>130</v>
      </c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 t="s">
        <v>132</v>
      </c>
      <c r="CT30" s="6" t="s">
        <v>133</v>
      </c>
      <c r="CU30" s="6" t="s">
        <v>134</v>
      </c>
      <c r="CV30" s="6"/>
    </row>
    <row r="31" spans="1:100" x14ac:dyDescent="0.2">
      <c r="A31" s="38" t="b">
        <v>0</v>
      </c>
      <c r="B31" s="39" t="b">
        <v>0</v>
      </c>
      <c r="C31" s="39" t="b">
        <v>0</v>
      </c>
      <c r="D31" s="39" t="b">
        <v>0</v>
      </c>
      <c r="E31" s="39" t="b">
        <v>0</v>
      </c>
      <c r="F31" s="38" t="b">
        <v>0</v>
      </c>
      <c r="G31" s="36"/>
      <c r="H31" s="6" t="s">
        <v>634</v>
      </c>
      <c r="I31" s="6" t="s">
        <v>627</v>
      </c>
      <c r="J31" s="6" t="s">
        <v>519</v>
      </c>
      <c r="K31" s="6" t="s">
        <v>628</v>
      </c>
      <c r="L31" s="6" t="s">
        <v>137</v>
      </c>
      <c r="M31" s="6"/>
      <c r="N31" s="6" t="s">
        <v>629</v>
      </c>
      <c r="O31" s="6" t="s">
        <v>630</v>
      </c>
      <c r="P31" s="6"/>
      <c r="Q31" s="6"/>
      <c r="R31" s="6" t="s">
        <v>129</v>
      </c>
      <c r="S31" s="6" t="s">
        <v>635</v>
      </c>
      <c r="T31" s="6"/>
      <c r="U31" s="6"/>
      <c r="V31" s="6"/>
      <c r="W31" s="6" t="s">
        <v>631</v>
      </c>
      <c r="X31" s="6"/>
      <c r="Y31" s="6" t="s">
        <v>148</v>
      </c>
      <c r="Z31" s="6" t="s">
        <v>142</v>
      </c>
      <c r="AA31" s="6" t="s">
        <v>115</v>
      </c>
      <c r="AB31" s="6"/>
      <c r="AC31" s="6"/>
      <c r="AD31" s="6" t="s">
        <v>115</v>
      </c>
      <c r="AE31" s="6" t="s">
        <v>116</v>
      </c>
      <c r="AF31" s="6"/>
      <c r="AG31" s="6"/>
      <c r="AH31" s="6" t="s">
        <v>116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 t="s">
        <v>612</v>
      </c>
      <c r="AU31" s="7" t="str">
        <f>IF($AT31="","",IFERROR(INDEX(InstructorMap!$B:$B, MATCH($AT31, InstructorMap!$A:$A, 0)),""))</f>
        <v>cvine@andrews.edu</v>
      </c>
      <c r="AV31" s="7" t="str">
        <f>IF($AT31="","",IFERROR(INDEX(InstructorMap!$C:$C, MATCH($AT31, InstructorMap!$A:$A, 0)),""))</f>
        <v>000093509</v>
      </c>
      <c r="AW31" s="6" t="s">
        <v>121</v>
      </c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 t="s">
        <v>519</v>
      </c>
      <c r="BI31" s="6" t="s">
        <v>124</v>
      </c>
      <c r="BJ31" s="6" t="s">
        <v>125</v>
      </c>
      <c r="BK31" s="6"/>
      <c r="BL31" s="6" t="s">
        <v>249</v>
      </c>
      <c r="BM31" s="6"/>
      <c r="BN31" s="6"/>
      <c r="BO31" s="6" t="s">
        <v>127</v>
      </c>
      <c r="BP31" s="6"/>
      <c r="BQ31" s="6" t="s">
        <v>511</v>
      </c>
      <c r="BR31" s="6"/>
      <c r="BS31" s="6"/>
      <c r="BT31" s="6" t="s">
        <v>128</v>
      </c>
      <c r="BU31" s="6" t="s">
        <v>129</v>
      </c>
      <c r="BV31" s="6" t="s">
        <v>129</v>
      </c>
      <c r="BW31" s="6" t="s">
        <v>130</v>
      </c>
      <c r="BX31" s="6"/>
      <c r="BY31" s="6"/>
      <c r="BZ31" s="6"/>
      <c r="CA31" s="6"/>
      <c r="CB31" s="6"/>
      <c r="CC31" s="6"/>
      <c r="CD31" s="6"/>
      <c r="CE31" s="6"/>
      <c r="CF31" s="6" t="s">
        <v>130</v>
      </c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 t="s">
        <v>132</v>
      </c>
      <c r="CT31" s="6" t="s">
        <v>133</v>
      </c>
      <c r="CU31" s="6" t="s">
        <v>134</v>
      </c>
      <c r="CV31" s="6"/>
    </row>
    <row r="32" spans="1:100" x14ac:dyDescent="0.2">
      <c r="A32" s="38" t="b">
        <v>0</v>
      </c>
      <c r="B32" s="39" t="b">
        <v>0</v>
      </c>
      <c r="C32" s="39" t="b">
        <v>0</v>
      </c>
      <c r="D32" s="39" t="b">
        <v>0</v>
      </c>
      <c r="E32" s="39" t="b">
        <v>0</v>
      </c>
      <c r="F32" s="38" t="b">
        <v>0</v>
      </c>
      <c r="G32" s="36"/>
      <c r="H32" s="6" t="s">
        <v>636</v>
      </c>
      <c r="I32" s="6" t="s">
        <v>637</v>
      </c>
      <c r="J32" s="6" t="s">
        <v>519</v>
      </c>
      <c r="K32" s="6" t="s">
        <v>628</v>
      </c>
      <c r="L32" s="6" t="s">
        <v>255</v>
      </c>
      <c r="M32" s="6"/>
      <c r="N32" s="6" t="s">
        <v>629</v>
      </c>
      <c r="O32" s="6" t="s">
        <v>630</v>
      </c>
      <c r="P32" s="6"/>
      <c r="Q32" s="6"/>
      <c r="R32" s="6" t="s">
        <v>108</v>
      </c>
      <c r="S32" s="6" t="s">
        <v>129</v>
      </c>
      <c r="T32" s="6"/>
      <c r="U32" s="6"/>
      <c r="V32" s="6"/>
      <c r="W32" s="6" t="s">
        <v>631</v>
      </c>
      <c r="X32" s="6"/>
      <c r="Y32" s="6" t="s">
        <v>148</v>
      </c>
      <c r="Z32" s="6" t="s">
        <v>114</v>
      </c>
      <c r="AA32" s="6" t="s">
        <v>115</v>
      </c>
      <c r="AB32" s="6"/>
      <c r="AC32" s="6"/>
      <c r="AD32" s="6" t="s">
        <v>115</v>
      </c>
      <c r="AE32" s="6" t="s">
        <v>116</v>
      </c>
      <c r="AF32" s="6"/>
      <c r="AG32" s="6"/>
      <c r="AH32" s="6" t="s">
        <v>116</v>
      </c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 t="s">
        <v>612</v>
      </c>
      <c r="AU32" s="7" t="str">
        <f>IF($AT32="","",IFERROR(INDEX(InstructorMap!$B:$B, MATCH($AT32, InstructorMap!$A:$A, 0)),""))</f>
        <v>cvine@andrews.edu</v>
      </c>
      <c r="AV32" s="7" t="str">
        <f>IF($AT32="","",IFERROR(INDEX(InstructorMap!$C:$C, MATCH($AT32, InstructorMap!$A:$A, 0)),""))</f>
        <v>000093509</v>
      </c>
      <c r="AW32" s="6" t="s">
        <v>121</v>
      </c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 t="s">
        <v>519</v>
      </c>
      <c r="BI32" s="6" t="s">
        <v>124</v>
      </c>
      <c r="BJ32" s="6" t="s">
        <v>125</v>
      </c>
      <c r="BK32" s="6"/>
      <c r="BL32" s="6" t="s">
        <v>249</v>
      </c>
      <c r="BM32" s="6"/>
      <c r="BN32" s="6"/>
      <c r="BO32" s="6" t="s">
        <v>127</v>
      </c>
      <c r="BP32" s="6"/>
      <c r="BQ32" s="6" t="s">
        <v>511</v>
      </c>
      <c r="BR32" s="6"/>
      <c r="BS32" s="6"/>
      <c r="BT32" s="6" t="s">
        <v>128</v>
      </c>
      <c r="BU32" s="6" t="s">
        <v>129</v>
      </c>
      <c r="BV32" s="6" t="s">
        <v>129</v>
      </c>
      <c r="BW32" s="6" t="s">
        <v>130</v>
      </c>
      <c r="BX32" s="6"/>
      <c r="BY32" s="6"/>
      <c r="BZ32" s="6"/>
      <c r="CA32" s="6"/>
      <c r="CB32" s="6"/>
      <c r="CC32" s="6"/>
      <c r="CD32" s="6"/>
      <c r="CE32" s="6"/>
      <c r="CF32" s="6" t="s">
        <v>130</v>
      </c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 t="s">
        <v>132</v>
      </c>
      <c r="CT32" s="6" t="s">
        <v>133</v>
      </c>
      <c r="CU32" s="6" t="s">
        <v>134</v>
      </c>
      <c r="CV32" s="6"/>
    </row>
    <row r="33" spans="1:100" x14ac:dyDescent="0.2">
      <c r="A33" s="38" t="b">
        <v>0</v>
      </c>
      <c r="B33" s="39" t="b">
        <v>0</v>
      </c>
      <c r="C33" s="39" t="b">
        <v>0</v>
      </c>
      <c r="D33" s="39" t="b">
        <v>0</v>
      </c>
      <c r="E33" s="39" t="b">
        <v>0</v>
      </c>
      <c r="F33" s="38" t="b">
        <v>0</v>
      </c>
      <c r="G33" s="36"/>
      <c r="H33" s="6" t="s">
        <v>638</v>
      </c>
      <c r="I33" s="6" t="s">
        <v>637</v>
      </c>
      <c r="J33" s="6" t="s">
        <v>519</v>
      </c>
      <c r="K33" s="6" t="s">
        <v>628</v>
      </c>
      <c r="L33" s="6" t="s">
        <v>255</v>
      </c>
      <c r="M33" s="6"/>
      <c r="N33" s="6" t="s">
        <v>629</v>
      </c>
      <c r="O33" s="6" t="s">
        <v>630</v>
      </c>
      <c r="P33" s="6"/>
      <c r="Q33" s="6"/>
      <c r="R33" s="6" t="s">
        <v>108</v>
      </c>
      <c r="S33" s="6" t="s">
        <v>633</v>
      </c>
      <c r="T33" s="6"/>
      <c r="U33" s="6"/>
      <c r="V33" s="6"/>
      <c r="W33" s="6" t="s">
        <v>631</v>
      </c>
      <c r="X33" s="6"/>
      <c r="Y33" s="6" t="s">
        <v>148</v>
      </c>
      <c r="Z33" s="6" t="s">
        <v>114</v>
      </c>
      <c r="AA33" s="6" t="s">
        <v>115</v>
      </c>
      <c r="AB33" s="6"/>
      <c r="AC33" s="6"/>
      <c r="AD33" s="6" t="s">
        <v>115</v>
      </c>
      <c r="AE33" s="6" t="s">
        <v>116</v>
      </c>
      <c r="AF33" s="6"/>
      <c r="AG33" s="6"/>
      <c r="AH33" s="6" t="s">
        <v>116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 t="s">
        <v>612</v>
      </c>
      <c r="AU33" s="7" t="str">
        <f>IF($AT33="","",IFERROR(INDEX(InstructorMap!$B:$B, MATCH($AT33, InstructorMap!$A:$A, 0)),""))</f>
        <v>cvine@andrews.edu</v>
      </c>
      <c r="AV33" s="7" t="str">
        <f>IF($AT33="","",IFERROR(INDEX(InstructorMap!$C:$C, MATCH($AT33, InstructorMap!$A:$A, 0)),""))</f>
        <v>000093509</v>
      </c>
      <c r="AW33" s="6" t="s">
        <v>121</v>
      </c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 t="s">
        <v>519</v>
      </c>
      <c r="BI33" s="6" t="s">
        <v>124</v>
      </c>
      <c r="BJ33" s="6" t="s">
        <v>125</v>
      </c>
      <c r="BK33" s="6"/>
      <c r="BL33" s="6" t="s">
        <v>249</v>
      </c>
      <c r="BM33" s="6"/>
      <c r="BN33" s="6"/>
      <c r="BO33" s="6" t="s">
        <v>127</v>
      </c>
      <c r="BP33" s="6"/>
      <c r="BQ33" s="6" t="s">
        <v>511</v>
      </c>
      <c r="BR33" s="6"/>
      <c r="BS33" s="6"/>
      <c r="BT33" s="6" t="s">
        <v>128</v>
      </c>
      <c r="BU33" s="6" t="s">
        <v>129</v>
      </c>
      <c r="BV33" s="6" t="s">
        <v>129</v>
      </c>
      <c r="BW33" s="6" t="s">
        <v>130</v>
      </c>
      <c r="BX33" s="6"/>
      <c r="BY33" s="6"/>
      <c r="BZ33" s="6"/>
      <c r="CA33" s="6"/>
      <c r="CB33" s="6"/>
      <c r="CC33" s="6"/>
      <c r="CD33" s="6"/>
      <c r="CE33" s="6"/>
      <c r="CF33" s="6" t="s">
        <v>130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 t="s">
        <v>132</v>
      </c>
      <c r="CT33" s="6" t="s">
        <v>133</v>
      </c>
      <c r="CU33" s="6" t="s">
        <v>134</v>
      </c>
      <c r="CV33" s="6"/>
    </row>
    <row r="34" spans="1:100" x14ac:dyDescent="0.2">
      <c r="A34" s="38" t="b">
        <v>0</v>
      </c>
      <c r="B34" s="39" t="b">
        <v>0</v>
      </c>
      <c r="C34" s="39" t="b">
        <v>0</v>
      </c>
      <c r="D34" s="39" t="b">
        <v>0</v>
      </c>
      <c r="E34" s="39" t="b">
        <v>0</v>
      </c>
      <c r="F34" s="40" t="b">
        <v>0</v>
      </c>
      <c r="G34" s="36"/>
      <c r="H34" s="6" t="s">
        <v>639</v>
      </c>
      <c r="I34" s="6" t="s">
        <v>637</v>
      </c>
      <c r="J34" s="6" t="s">
        <v>519</v>
      </c>
      <c r="K34" s="6" t="s">
        <v>628</v>
      </c>
      <c r="L34" s="6" t="s">
        <v>255</v>
      </c>
      <c r="M34" s="6"/>
      <c r="N34" s="6" t="s">
        <v>629</v>
      </c>
      <c r="O34" s="6" t="s">
        <v>630</v>
      </c>
      <c r="P34" s="6"/>
      <c r="Q34" s="6"/>
      <c r="R34" s="6" t="s">
        <v>108</v>
      </c>
      <c r="S34" s="6" t="s">
        <v>635</v>
      </c>
      <c r="T34" s="6"/>
      <c r="U34" s="6"/>
      <c r="V34" s="6"/>
      <c r="W34" s="6" t="s">
        <v>631</v>
      </c>
      <c r="X34" s="6"/>
      <c r="Y34" s="6" t="s">
        <v>148</v>
      </c>
      <c r="Z34" s="6" t="s">
        <v>114</v>
      </c>
      <c r="AA34" s="6" t="s">
        <v>115</v>
      </c>
      <c r="AB34" s="6"/>
      <c r="AC34" s="6"/>
      <c r="AD34" s="6" t="s">
        <v>115</v>
      </c>
      <c r="AE34" s="6" t="s">
        <v>116</v>
      </c>
      <c r="AF34" s="6"/>
      <c r="AG34" s="6"/>
      <c r="AH34" s="6" t="s">
        <v>116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 t="s">
        <v>612</v>
      </c>
      <c r="AU34" s="7" t="str">
        <f>IF($AT34="","",IFERROR(INDEX(InstructorMap!$B:$B, MATCH($AT34, InstructorMap!$A:$A, 0)),""))</f>
        <v>cvine@andrews.edu</v>
      </c>
      <c r="AV34" s="7" t="str">
        <f>IF($AT34="","",IFERROR(INDEX(InstructorMap!$C:$C, MATCH($AT34, InstructorMap!$A:$A, 0)),""))</f>
        <v>000093509</v>
      </c>
      <c r="AW34" s="6" t="s">
        <v>121</v>
      </c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 t="s">
        <v>519</v>
      </c>
      <c r="BI34" s="6" t="s">
        <v>124</v>
      </c>
      <c r="BJ34" s="6" t="s">
        <v>125</v>
      </c>
      <c r="BK34" s="6"/>
      <c r="BL34" s="6" t="s">
        <v>249</v>
      </c>
      <c r="BM34" s="6"/>
      <c r="BN34" s="6"/>
      <c r="BO34" s="6" t="s">
        <v>127</v>
      </c>
      <c r="BP34" s="6"/>
      <c r="BQ34" s="6" t="s">
        <v>511</v>
      </c>
      <c r="BR34" s="6"/>
      <c r="BS34" s="6"/>
      <c r="BT34" s="6" t="s">
        <v>128</v>
      </c>
      <c r="BU34" s="6" t="s">
        <v>129</v>
      </c>
      <c r="BV34" s="6" t="s">
        <v>129</v>
      </c>
      <c r="BW34" s="6" t="s">
        <v>130</v>
      </c>
      <c r="BX34" s="6"/>
      <c r="BY34" s="6"/>
      <c r="BZ34" s="6"/>
      <c r="CA34" s="6"/>
      <c r="CB34" s="6"/>
      <c r="CC34" s="6"/>
      <c r="CD34" s="6"/>
      <c r="CE34" s="6"/>
      <c r="CF34" s="6" t="s">
        <v>130</v>
      </c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 t="s">
        <v>132</v>
      </c>
      <c r="CT34" s="6" t="s">
        <v>133</v>
      </c>
      <c r="CU34" s="6" t="s">
        <v>134</v>
      </c>
      <c r="CV34" s="6"/>
    </row>
    <row r="35" spans="1:100" x14ac:dyDescent="0.2">
      <c r="A35" s="28" t="b">
        <v>0</v>
      </c>
      <c r="B35" s="28" t="b">
        <v>0</v>
      </c>
      <c r="C35" s="28" t="b">
        <v>0</v>
      </c>
      <c r="D35" s="28" t="b">
        <v>0</v>
      </c>
      <c r="E35" s="28" t="b">
        <v>0</v>
      </c>
      <c r="F35" s="28" t="b">
        <v>0</v>
      </c>
      <c r="G35" s="29"/>
      <c r="H35" s="4" t="s">
        <v>640</v>
      </c>
      <c r="I35" s="4" t="s">
        <v>641</v>
      </c>
      <c r="J35" s="4" t="s">
        <v>519</v>
      </c>
      <c r="K35" s="4" t="s">
        <v>642</v>
      </c>
      <c r="L35" s="4" t="s">
        <v>137</v>
      </c>
      <c r="M35" s="4"/>
      <c r="N35" s="4" t="s">
        <v>643</v>
      </c>
      <c r="O35" s="4"/>
      <c r="P35" s="4"/>
      <c r="Q35" s="4"/>
      <c r="R35" s="4" t="s">
        <v>129</v>
      </c>
      <c r="S35" s="4"/>
      <c r="T35" s="4"/>
      <c r="U35" s="4"/>
      <c r="V35" s="4"/>
      <c r="W35" s="4" t="s">
        <v>129</v>
      </c>
      <c r="X35" s="4" t="s">
        <v>129</v>
      </c>
      <c r="Y35" s="4" t="s">
        <v>565</v>
      </c>
      <c r="Z35" s="4" t="s">
        <v>142</v>
      </c>
      <c r="AA35" s="4" t="s">
        <v>115</v>
      </c>
      <c r="AB35" s="4"/>
      <c r="AC35" s="4"/>
      <c r="AD35" s="4" t="s">
        <v>115</v>
      </c>
      <c r="AE35" s="4" t="s">
        <v>116</v>
      </c>
      <c r="AF35" s="4"/>
      <c r="AG35" s="4"/>
      <c r="AH35" s="4" t="s">
        <v>116</v>
      </c>
      <c r="AI35" s="4" t="s">
        <v>644</v>
      </c>
      <c r="AJ35" s="4" t="s">
        <v>463</v>
      </c>
      <c r="AK35" s="4"/>
      <c r="AL35" s="4"/>
      <c r="AM35" s="4" t="s">
        <v>211</v>
      </c>
      <c r="AN35" s="4"/>
      <c r="AO35" s="4"/>
      <c r="AP35" s="4"/>
      <c r="AQ35" s="4"/>
      <c r="AR35" s="4" t="s">
        <v>333</v>
      </c>
      <c r="AS35" s="4" t="s">
        <v>144</v>
      </c>
      <c r="AT35" s="4" t="s">
        <v>596</v>
      </c>
      <c r="AU35" s="5" t="str">
        <f>IF($AT35="","",IFERROR(INDEX(InstructorMap!$B:$B, MATCH($AT35, InstructorMap!$A:$A, 0)),""))</f>
        <v/>
      </c>
      <c r="AV35" s="5" t="str">
        <f>IF($AT35="","",IFERROR(INDEX(InstructorMap!$C:$C, MATCH($AT35, InstructorMap!$A:$A, 0)),""))</f>
        <v/>
      </c>
      <c r="AW35" s="4" t="s">
        <v>121</v>
      </c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 t="s">
        <v>519</v>
      </c>
      <c r="BI35" s="4" t="s">
        <v>124</v>
      </c>
      <c r="BJ35" s="4" t="s">
        <v>125</v>
      </c>
      <c r="BK35" s="4"/>
      <c r="BL35" s="4" t="s">
        <v>125</v>
      </c>
      <c r="BM35" s="4"/>
      <c r="BN35" s="4"/>
      <c r="BO35" s="4" t="s">
        <v>127</v>
      </c>
      <c r="BP35" s="4"/>
      <c r="BQ35" s="4"/>
      <c r="BR35" s="4"/>
      <c r="BS35" s="4"/>
      <c r="BT35" s="4" t="s">
        <v>128</v>
      </c>
      <c r="BU35" s="4" t="s">
        <v>129</v>
      </c>
      <c r="BV35" s="4" t="s">
        <v>129</v>
      </c>
      <c r="BW35" s="4" t="s">
        <v>130</v>
      </c>
      <c r="BX35" s="4"/>
      <c r="BY35" s="4"/>
      <c r="BZ35" s="4"/>
      <c r="CA35" s="4"/>
      <c r="CB35" s="4"/>
      <c r="CC35" s="4"/>
      <c r="CD35" s="4"/>
      <c r="CE35" s="4"/>
      <c r="CF35" s="4" t="s">
        <v>130</v>
      </c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 t="s">
        <v>146</v>
      </c>
      <c r="CT35" s="4" t="s">
        <v>133</v>
      </c>
      <c r="CU35" s="4" t="s">
        <v>134</v>
      </c>
      <c r="CV35" s="4"/>
    </row>
    <row r="36" spans="1:100" x14ac:dyDescent="0.2">
      <c r="A36" s="38" t="b">
        <v>0</v>
      </c>
      <c r="B36" s="39" t="b">
        <v>0</v>
      </c>
      <c r="C36" s="39" t="b">
        <v>0</v>
      </c>
      <c r="D36" s="39" t="b">
        <v>0</v>
      </c>
      <c r="E36" s="39" t="b">
        <v>0</v>
      </c>
      <c r="F36" s="37" t="b">
        <v>0</v>
      </c>
      <c r="G36" s="36"/>
      <c r="H36" s="6" t="s">
        <v>645</v>
      </c>
      <c r="I36" s="6" t="s">
        <v>646</v>
      </c>
      <c r="J36" s="6" t="s">
        <v>519</v>
      </c>
      <c r="K36" s="6" t="s">
        <v>647</v>
      </c>
      <c r="L36" s="6" t="s">
        <v>297</v>
      </c>
      <c r="M36" s="6"/>
      <c r="N36" s="6" t="s">
        <v>648</v>
      </c>
      <c r="O36" s="6" t="s">
        <v>648</v>
      </c>
      <c r="P36" s="6"/>
      <c r="Q36" s="6"/>
      <c r="R36" s="6" t="s">
        <v>129</v>
      </c>
      <c r="S36" s="6"/>
      <c r="T36" s="6"/>
      <c r="U36" s="6"/>
      <c r="V36" s="6"/>
      <c r="W36" s="6" t="s">
        <v>129</v>
      </c>
      <c r="X36" s="6"/>
      <c r="Y36" s="6" t="s">
        <v>148</v>
      </c>
      <c r="Z36" s="6" t="s">
        <v>142</v>
      </c>
      <c r="AA36" s="6" t="s">
        <v>115</v>
      </c>
      <c r="AB36" s="6"/>
      <c r="AC36" s="6"/>
      <c r="AD36" s="6" t="s">
        <v>115</v>
      </c>
      <c r="AE36" s="6" t="s">
        <v>116</v>
      </c>
      <c r="AF36" s="6"/>
      <c r="AG36" s="6"/>
      <c r="AH36" s="6" t="s">
        <v>116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 t="s">
        <v>334</v>
      </c>
      <c r="AU36" s="7" t="str">
        <f>IF($AT36="","",IFERROR(INDEX(InstructorMap!$B:$B, MATCH($AT36, InstructorMap!$A:$A, 0)),""))</f>
        <v>fraserj@andrews.edu</v>
      </c>
      <c r="AV36" s="7" t="str">
        <f>IF($AT36="","",IFERROR(INDEX(InstructorMap!$C:$C, MATCH($AT36, InstructorMap!$A:$A, 0)),""))</f>
        <v>000129106</v>
      </c>
      <c r="AW36" s="6" t="s">
        <v>121</v>
      </c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 t="s">
        <v>519</v>
      </c>
      <c r="BI36" s="6" t="s">
        <v>124</v>
      </c>
      <c r="BJ36" s="6" t="s">
        <v>125</v>
      </c>
      <c r="BK36" s="6"/>
      <c r="BL36" s="6" t="s">
        <v>249</v>
      </c>
      <c r="BM36" s="6"/>
      <c r="BN36" s="6"/>
      <c r="BO36" s="6" t="s">
        <v>127</v>
      </c>
      <c r="BP36" s="6"/>
      <c r="BQ36" s="6" t="s">
        <v>511</v>
      </c>
      <c r="BR36" s="6"/>
      <c r="BS36" s="6"/>
      <c r="BT36" s="6" t="s">
        <v>128</v>
      </c>
      <c r="BU36" s="6" t="s">
        <v>129</v>
      </c>
      <c r="BV36" s="6" t="s">
        <v>129</v>
      </c>
      <c r="BW36" s="6" t="s">
        <v>130</v>
      </c>
      <c r="BX36" s="6"/>
      <c r="BY36" s="6"/>
      <c r="BZ36" s="6"/>
      <c r="CA36" s="6"/>
      <c r="CB36" s="6"/>
      <c r="CC36" s="6"/>
      <c r="CD36" s="6"/>
      <c r="CE36" s="6"/>
      <c r="CF36" s="6" t="s">
        <v>130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 t="s">
        <v>132</v>
      </c>
      <c r="CT36" s="6" t="s">
        <v>133</v>
      </c>
      <c r="CU36" s="6" t="s">
        <v>134</v>
      </c>
      <c r="CV36" s="6"/>
    </row>
    <row r="37" spans="1:100" x14ac:dyDescent="0.2">
      <c r="A37" s="38" t="b">
        <v>0</v>
      </c>
      <c r="B37" s="39" t="b">
        <v>0</v>
      </c>
      <c r="C37" s="39" t="b">
        <v>0</v>
      </c>
      <c r="D37" s="39" t="b">
        <v>0</v>
      </c>
      <c r="E37" s="39" t="b">
        <v>0</v>
      </c>
      <c r="F37" s="38" t="b">
        <v>0</v>
      </c>
      <c r="G37" s="36"/>
      <c r="H37" s="6" t="s">
        <v>649</v>
      </c>
      <c r="I37" s="6" t="s">
        <v>650</v>
      </c>
      <c r="J37" s="6" t="s">
        <v>519</v>
      </c>
      <c r="K37" s="6" t="s">
        <v>647</v>
      </c>
      <c r="L37" s="6" t="s">
        <v>255</v>
      </c>
      <c r="M37" s="6"/>
      <c r="N37" s="6" t="s">
        <v>648</v>
      </c>
      <c r="O37" s="6" t="s">
        <v>648</v>
      </c>
      <c r="P37" s="6"/>
      <c r="Q37" s="6"/>
      <c r="R37" s="6" t="s">
        <v>129</v>
      </c>
      <c r="S37" s="6"/>
      <c r="T37" s="6"/>
      <c r="U37" s="6"/>
      <c r="V37" s="6"/>
      <c r="W37" s="6" t="s">
        <v>129</v>
      </c>
      <c r="X37" s="6"/>
      <c r="Y37" s="6" t="s">
        <v>148</v>
      </c>
      <c r="Z37" s="6" t="s">
        <v>142</v>
      </c>
      <c r="AA37" s="6" t="s">
        <v>115</v>
      </c>
      <c r="AB37" s="6"/>
      <c r="AC37" s="6"/>
      <c r="AD37" s="6" t="s">
        <v>115</v>
      </c>
      <c r="AE37" s="6" t="s">
        <v>116</v>
      </c>
      <c r="AF37" s="6"/>
      <c r="AG37" s="6"/>
      <c r="AH37" s="6" t="s">
        <v>116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 t="s">
        <v>120</v>
      </c>
      <c r="AU37" s="7" t="str">
        <f>IF($AT37="","",IFERROR(INDEX(InstructorMap!$B:$B, MATCH($AT37, InstructorMap!$A:$A, 0)),""))</f>
        <v>jreeve@andrews.edu</v>
      </c>
      <c r="AV37" s="7" t="str">
        <f>IF($AT37="","",IFERROR(INDEX(InstructorMap!$C:$C, MATCH($AT37, InstructorMap!$A:$A, 0)),""))</f>
        <v>000049018</v>
      </c>
      <c r="AW37" s="6" t="s">
        <v>121</v>
      </c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 t="s">
        <v>519</v>
      </c>
      <c r="BI37" s="6" t="s">
        <v>124</v>
      </c>
      <c r="BJ37" s="6" t="s">
        <v>125</v>
      </c>
      <c r="BK37" s="6"/>
      <c r="BL37" s="6" t="s">
        <v>249</v>
      </c>
      <c r="BM37" s="6"/>
      <c r="BN37" s="6"/>
      <c r="BO37" s="6" t="s">
        <v>127</v>
      </c>
      <c r="BP37" s="6"/>
      <c r="BQ37" s="6" t="s">
        <v>511</v>
      </c>
      <c r="BR37" s="6"/>
      <c r="BS37" s="6"/>
      <c r="BT37" s="6" t="s">
        <v>128</v>
      </c>
      <c r="BU37" s="6" t="s">
        <v>129</v>
      </c>
      <c r="BV37" s="6" t="s">
        <v>129</v>
      </c>
      <c r="BW37" s="6" t="s">
        <v>130</v>
      </c>
      <c r="BX37" s="6"/>
      <c r="BY37" s="6"/>
      <c r="BZ37" s="6"/>
      <c r="CA37" s="6"/>
      <c r="CB37" s="6"/>
      <c r="CC37" s="6"/>
      <c r="CD37" s="6"/>
      <c r="CE37" s="6"/>
      <c r="CF37" s="6" t="s">
        <v>130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 t="s">
        <v>132</v>
      </c>
      <c r="CT37" s="6" t="s">
        <v>133</v>
      </c>
      <c r="CU37" s="6" t="s">
        <v>134</v>
      </c>
      <c r="CV37" s="6"/>
    </row>
    <row r="38" spans="1:100" x14ac:dyDescent="0.2">
      <c r="A38" s="38" t="b">
        <v>0</v>
      </c>
      <c r="B38" s="39" t="b">
        <v>0</v>
      </c>
      <c r="C38" s="39" t="b">
        <v>0</v>
      </c>
      <c r="D38" s="39" t="b">
        <v>0</v>
      </c>
      <c r="E38" s="39" t="b">
        <v>0</v>
      </c>
      <c r="F38" s="38" t="b">
        <v>0</v>
      </c>
      <c r="G38" s="36"/>
      <c r="H38" s="6" t="s">
        <v>651</v>
      </c>
      <c r="I38" s="6" t="s">
        <v>358</v>
      </c>
      <c r="J38" s="6" t="s">
        <v>519</v>
      </c>
      <c r="K38" s="6" t="s">
        <v>647</v>
      </c>
      <c r="L38" s="6" t="s">
        <v>252</v>
      </c>
      <c r="M38" s="6"/>
      <c r="N38" s="6" t="s">
        <v>648</v>
      </c>
      <c r="O38" s="6" t="s">
        <v>648</v>
      </c>
      <c r="P38" s="6"/>
      <c r="Q38" s="6"/>
      <c r="R38" s="6" t="s">
        <v>129</v>
      </c>
      <c r="S38" s="6"/>
      <c r="T38" s="6"/>
      <c r="U38" s="6"/>
      <c r="V38" s="6"/>
      <c r="W38" s="6" t="s">
        <v>129</v>
      </c>
      <c r="X38" s="6"/>
      <c r="Y38" s="6" t="s">
        <v>148</v>
      </c>
      <c r="Z38" s="6" t="s">
        <v>142</v>
      </c>
      <c r="AA38" s="6" t="s">
        <v>115</v>
      </c>
      <c r="AB38" s="6"/>
      <c r="AC38" s="6"/>
      <c r="AD38" s="6" t="s">
        <v>115</v>
      </c>
      <c r="AE38" s="6" t="s">
        <v>116</v>
      </c>
      <c r="AF38" s="6"/>
      <c r="AG38" s="6"/>
      <c r="AH38" s="6" t="s">
        <v>116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 t="s">
        <v>652</v>
      </c>
      <c r="AU38" s="7" t="str">
        <f>IF($AT38="","",IFERROR(INDEX(InstructorMap!$B:$B, MATCH($AT38, InstructorMap!$A:$A, 0)),""))</f>
        <v>younker@andrews.edu</v>
      </c>
      <c r="AV38" s="7" t="str">
        <f>IF($AT38="","",IFERROR(INDEX(InstructorMap!$C:$C, MATCH($AT38, InstructorMap!$A:$A, 0)),""))</f>
        <v>000042559</v>
      </c>
      <c r="AW38" s="6" t="s">
        <v>121</v>
      </c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 t="s">
        <v>519</v>
      </c>
      <c r="BI38" s="6" t="s">
        <v>124</v>
      </c>
      <c r="BJ38" s="6" t="s">
        <v>125</v>
      </c>
      <c r="BK38" s="6"/>
      <c r="BL38" s="6" t="s">
        <v>249</v>
      </c>
      <c r="BM38" s="6"/>
      <c r="BN38" s="6"/>
      <c r="BO38" s="6" t="s">
        <v>127</v>
      </c>
      <c r="BP38" s="6"/>
      <c r="BQ38" s="6" t="s">
        <v>511</v>
      </c>
      <c r="BR38" s="6"/>
      <c r="BS38" s="6"/>
      <c r="BT38" s="6" t="s">
        <v>128</v>
      </c>
      <c r="BU38" s="6" t="s">
        <v>129</v>
      </c>
      <c r="BV38" s="6" t="s">
        <v>129</v>
      </c>
      <c r="BW38" s="6" t="s">
        <v>130</v>
      </c>
      <c r="BX38" s="6"/>
      <c r="BY38" s="6"/>
      <c r="BZ38" s="6"/>
      <c r="CA38" s="6"/>
      <c r="CB38" s="6"/>
      <c r="CC38" s="6"/>
      <c r="CD38" s="6"/>
      <c r="CE38" s="6"/>
      <c r="CF38" s="6" t="s">
        <v>130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 t="s">
        <v>132</v>
      </c>
      <c r="CT38" s="6" t="s">
        <v>133</v>
      </c>
      <c r="CU38" s="6" t="s">
        <v>134</v>
      </c>
      <c r="CV38" s="6"/>
    </row>
    <row r="39" spans="1:100" x14ac:dyDescent="0.2">
      <c r="A39" s="38" t="b">
        <v>0</v>
      </c>
      <c r="B39" s="39" t="b">
        <v>0</v>
      </c>
      <c r="C39" s="39" t="b">
        <v>0</v>
      </c>
      <c r="D39" s="39" t="b">
        <v>0</v>
      </c>
      <c r="E39" s="39" t="b">
        <v>0</v>
      </c>
      <c r="F39" s="38" t="b">
        <v>0</v>
      </c>
      <c r="G39" s="36"/>
      <c r="H39" s="6" t="s">
        <v>653</v>
      </c>
      <c r="I39" s="6" t="s">
        <v>484</v>
      </c>
      <c r="J39" s="6" t="s">
        <v>519</v>
      </c>
      <c r="K39" s="6" t="s">
        <v>263</v>
      </c>
      <c r="L39" s="6" t="s">
        <v>297</v>
      </c>
      <c r="M39" s="6"/>
      <c r="N39" s="6" t="s">
        <v>654</v>
      </c>
      <c r="O39" s="6" t="s">
        <v>654</v>
      </c>
      <c r="P39" s="6"/>
      <c r="Q39" s="6"/>
      <c r="R39" s="6" t="s">
        <v>129</v>
      </c>
      <c r="S39" s="6"/>
      <c r="T39" s="6"/>
      <c r="U39" s="6"/>
      <c r="V39" s="6"/>
      <c r="W39" s="6" t="s">
        <v>129</v>
      </c>
      <c r="X39" s="6"/>
      <c r="Y39" s="6" t="s">
        <v>148</v>
      </c>
      <c r="Z39" s="6" t="s">
        <v>142</v>
      </c>
      <c r="AA39" s="6" t="s">
        <v>115</v>
      </c>
      <c r="AB39" s="6"/>
      <c r="AC39" s="6"/>
      <c r="AD39" s="6" t="s">
        <v>115</v>
      </c>
      <c r="AE39" s="6" t="s">
        <v>116</v>
      </c>
      <c r="AF39" s="6"/>
      <c r="AG39" s="6"/>
      <c r="AH39" s="6" t="s">
        <v>116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 t="s">
        <v>334</v>
      </c>
      <c r="AU39" s="7" t="str">
        <f>IF($AT39="","",IFERROR(INDEX(InstructorMap!$B:$B, MATCH($AT39, InstructorMap!$A:$A, 0)),""))</f>
        <v>fraserj@andrews.edu</v>
      </c>
      <c r="AV39" s="7" t="str">
        <f>IF($AT39="","",IFERROR(INDEX(InstructorMap!$C:$C, MATCH($AT39, InstructorMap!$A:$A, 0)),""))</f>
        <v>000129106</v>
      </c>
      <c r="AW39" s="6" t="s">
        <v>121</v>
      </c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 t="s">
        <v>519</v>
      </c>
      <c r="BI39" s="6" t="s">
        <v>124</v>
      </c>
      <c r="BJ39" s="6" t="s">
        <v>125</v>
      </c>
      <c r="BK39" s="6"/>
      <c r="BL39" s="6" t="s">
        <v>249</v>
      </c>
      <c r="BM39" s="6"/>
      <c r="BN39" s="6"/>
      <c r="BO39" s="6" t="s">
        <v>127</v>
      </c>
      <c r="BP39" s="6"/>
      <c r="BQ39" s="6" t="s">
        <v>511</v>
      </c>
      <c r="BR39" s="6"/>
      <c r="BS39" s="6"/>
      <c r="BT39" s="6" t="s">
        <v>128</v>
      </c>
      <c r="BU39" s="6" t="s">
        <v>129</v>
      </c>
      <c r="BV39" s="6" t="s">
        <v>129</v>
      </c>
      <c r="BW39" s="6" t="s">
        <v>130</v>
      </c>
      <c r="BX39" s="6"/>
      <c r="BY39" s="6"/>
      <c r="BZ39" s="6"/>
      <c r="CA39" s="6"/>
      <c r="CB39" s="6"/>
      <c r="CC39" s="6"/>
      <c r="CD39" s="6"/>
      <c r="CE39" s="6"/>
      <c r="CF39" s="6" t="s">
        <v>130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 t="s">
        <v>132</v>
      </c>
      <c r="CT39" s="6" t="s">
        <v>133</v>
      </c>
      <c r="CU39" s="6" t="s">
        <v>134</v>
      </c>
      <c r="CV39" s="6"/>
    </row>
    <row r="40" spans="1:100" x14ac:dyDescent="0.2">
      <c r="A40" s="38" t="b">
        <v>0</v>
      </c>
      <c r="B40" s="39" t="b">
        <v>0</v>
      </c>
      <c r="C40" s="39" t="b">
        <v>0</v>
      </c>
      <c r="D40" s="39" t="b">
        <v>0</v>
      </c>
      <c r="E40" s="39" t="b">
        <v>0</v>
      </c>
      <c r="F40" s="38" t="b">
        <v>0</v>
      </c>
      <c r="G40" s="36"/>
      <c r="H40" s="6" t="s">
        <v>655</v>
      </c>
      <c r="I40" s="6" t="s">
        <v>656</v>
      </c>
      <c r="J40" s="6" t="s">
        <v>519</v>
      </c>
      <c r="K40" s="6" t="s">
        <v>263</v>
      </c>
      <c r="L40" s="6" t="s">
        <v>255</v>
      </c>
      <c r="M40" s="6"/>
      <c r="N40" s="6" t="s">
        <v>654</v>
      </c>
      <c r="O40" s="6" t="s">
        <v>654</v>
      </c>
      <c r="P40" s="6"/>
      <c r="Q40" s="6"/>
      <c r="R40" s="6" t="s">
        <v>129</v>
      </c>
      <c r="S40" s="6"/>
      <c r="T40" s="6"/>
      <c r="U40" s="6"/>
      <c r="V40" s="6"/>
      <c r="W40" s="6" t="s">
        <v>129</v>
      </c>
      <c r="X40" s="6"/>
      <c r="Y40" s="6" t="s">
        <v>148</v>
      </c>
      <c r="Z40" s="6" t="s">
        <v>142</v>
      </c>
      <c r="AA40" s="6" t="s">
        <v>115</v>
      </c>
      <c r="AB40" s="6"/>
      <c r="AC40" s="6"/>
      <c r="AD40" s="6" t="s">
        <v>115</v>
      </c>
      <c r="AE40" s="6" t="s">
        <v>116</v>
      </c>
      <c r="AF40" s="6"/>
      <c r="AG40" s="6"/>
      <c r="AH40" s="6" t="s">
        <v>116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 t="s">
        <v>120</v>
      </c>
      <c r="AU40" s="7" t="str">
        <f>IF($AT40="","",IFERROR(INDEX(InstructorMap!$B:$B, MATCH($AT40, InstructorMap!$A:$A, 0)),""))</f>
        <v>jreeve@andrews.edu</v>
      </c>
      <c r="AV40" s="7" t="str">
        <f>IF($AT40="","",IFERROR(INDEX(InstructorMap!$C:$C, MATCH($AT40, InstructorMap!$A:$A, 0)),""))</f>
        <v>000049018</v>
      </c>
      <c r="AW40" s="6" t="s">
        <v>121</v>
      </c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 t="s">
        <v>519</v>
      </c>
      <c r="BI40" s="6" t="s">
        <v>124</v>
      </c>
      <c r="BJ40" s="6" t="s">
        <v>125</v>
      </c>
      <c r="BK40" s="6"/>
      <c r="BL40" s="6" t="s">
        <v>249</v>
      </c>
      <c r="BM40" s="6"/>
      <c r="BN40" s="6"/>
      <c r="BO40" s="6" t="s">
        <v>127</v>
      </c>
      <c r="BP40" s="6"/>
      <c r="BQ40" s="6" t="s">
        <v>511</v>
      </c>
      <c r="BR40" s="6"/>
      <c r="BS40" s="6"/>
      <c r="BT40" s="6" t="s">
        <v>128</v>
      </c>
      <c r="BU40" s="6" t="s">
        <v>129</v>
      </c>
      <c r="BV40" s="6" t="s">
        <v>129</v>
      </c>
      <c r="BW40" s="6" t="s">
        <v>130</v>
      </c>
      <c r="BX40" s="6"/>
      <c r="BY40" s="6"/>
      <c r="BZ40" s="6"/>
      <c r="CA40" s="6"/>
      <c r="CB40" s="6"/>
      <c r="CC40" s="6"/>
      <c r="CD40" s="6"/>
      <c r="CE40" s="6"/>
      <c r="CF40" s="6" t="s">
        <v>130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 t="s">
        <v>132</v>
      </c>
      <c r="CT40" s="6" t="s">
        <v>133</v>
      </c>
      <c r="CU40" s="6" t="s">
        <v>134</v>
      </c>
      <c r="CV40" s="6"/>
    </row>
    <row r="41" spans="1:100" x14ac:dyDescent="0.2">
      <c r="A41" s="38" t="b">
        <v>0</v>
      </c>
      <c r="B41" s="39" t="b">
        <v>0</v>
      </c>
      <c r="C41" s="39" t="b">
        <v>0</v>
      </c>
      <c r="D41" s="39" t="b">
        <v>0</v>
      </c>
      <c r="E41" s="39" t="b">
        <v>0</v>
      </c>
      <c r="F41" s="38" t="b">
        <v>0</v>
      </c>
      <c r="G41" s="36"/>
      <c r="H41" s="6" t="s">
        <v>657</v>
      </c>
      <c r="I41" s="6" t="s">
        <v>658</v>
      </c>
      <c r="J41" s="6" t="s">
        <v>519</v>
      </c>
      <c r="K41" s="6" t="s">
        <v>263</v>
      </c>
      <c r="L41" s="6" t="s">
        <v>252</v>
      </c>
      <c r="M41" s="6"/>
      <c r="N41" s="6" t="s">
        <v>654</v>
      </c>
      <c r="O41" s="6" t="s">
        <v>654</v>
      </c>
      <c r="P41" s="6"/>
      <c r="Q41" s="6"/>
      <c r="R41" s="6" t="s">
        <v>129</v>
      </c>
      <c r="S41" s="6"/>
      <c r="T41" s="6"/>
      <c r="U41" s="6"/>
      <c r="V41" s="6"/>
      <c r="W41" s="6" t="s">
        <v>129</v>
      </c>
      <c r="X41" s="6"/>
      <c r="Y41" s="6" t="s">
        <v>148</v>
      </c>
      <c r="Z41" s="6" t="s">
        <v>142</v>
      </c>
      <c r="AA41" s="6" t="s">
        <v>115</v>
      </c>
      <c r="AB41" s="6"/>
      <c r="AC41" s="6"/>
      <c r="AD41" s="6" t="s">
        <v>115</v>
      </c>
      <c r="AE41" s="6" t="s">
        <v>116</v>
      </c>
      <c r="AF41" s="6"/>
      <c r="AG41" s="6"/>
      <c r="AH41" s="6" t="s">
        <v>116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 t="s">
        <v>652</v>
      </c>
      <c r="AU41" s="7" t="str">
        <f>IF($AT41="","",IFERROR(INDEX(InstructorMap!$B:$B, MATCH($AT41, InstructorMap!$A:$A, 0)),""))</f>
        <v>younker@andrews.edu</v>
      </c>
      <c r="AV41" s="7" t="str">
        <f>IF($AT41="","",IFERROR(INDEX(InstructorMap!$C:$C, MATCH($AT41, InstructorMap!$A:$A, 0)),""))</f>
        <v>000042559</v>
      </c>
      <c r="AW41" s="6" t="s">
        <v>121</v>
      </c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 t="s">
        <v>519</v>
      </c>
      <c r="BI41" s="6" t="s">
        <v>124</v>
      </c>
      <c r="BJ41" s="6" t="s">
        <v>125</v>
      </c>
      <c r="BK41" s="6"/>
      <c r="BL41" s="6" t="s">
        <v>249</v>
      </c>
      <c r="BM41" s="6"/>
      <c r="BN41" s="6"/>
      <c r="BO41" s="6" t="s">
        <v>127</v>
      </c>
      <c r="BP41" s="6"/>
      <c r="BQ41" s="6" t="s">
        <v>511</v>
      </c>
      <c r="BR41" s="6"/>
      <c r="BS41" s="6"/>
      <c r="BT41" s="6" t="s">
        <v>128</v>
      </c>
      <c r="BU41" s="6" t="s">
        <v>129</v>
      </c>
      <c r="BV41" s="6" t="s">
        <v>129</v>
      </c>
      <c r="BW41" s="6" t="s">
        <v>130</v>
      </c>
      <c r="BX41" s="6"/>
      <c r="BY41" s="6"/>
      <c r="BZ41" s="6"/>
      <c r="CA41" s="6"/>
      <c r="CB41" s="6"/>
      <c r="CC41" s="6"/>
      <c r="CD41" s="6"/>
      <c r="CE41" s="6"/>
      <c r="CF41" s="6" t="s">
        <v>130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 t="s">
        <v>132</v>
      </c>
      <c r="CT41" s="6" t="s">
        <v>133</v>
      </c>
      <c r="CU41" s="6" t="s">
        <v>134</v>
      </c>
      <c r="CV41" s="6"/>
    </row>
    <row r="42" spans="1:100" x14ac:dyDescent="0.2">
      <c r="A42" s="38" t="b">
        <v>0</v>
      </c>
      <c r="B42" s="39" t="b">
        <v>0</v>
      </c>
      <c r="C42" s="39" t="b">
        <v>0</v>
      </c>
      <c r="D42" s="39" t="b">
        <v>0</v>
      </c>
      <c r="E42" s="39" t="b">
        <v>0</v>
      </c>
      <c r="F42" s="38" t="b">
        <v>0</v>
      </c>
      <c r="G42" s="36"/>
      <c r="H42" s="6" t="s">
        <v>659</v>
      </c>
      <c r="I42" s="6" t="s">
        <v>660</v>
      </c>
      <c r="J42" s="6" t="s">
        <v>519</v>
      </c>
      <c r="K42" s="6" t="s">
        <v>267</v>
      </c>
      <c r="L42" s="6" t="s">
        <v>297</v>
      </c>
      <c r="M42" s="6"/>
      <c r="N42" s="6" t="s">
        <v>661</v>
      </c>
      <c r="O42" s="6" t="s">
        <v>661</v>
      </c>
      <c r="P42" s="6"/>
      <c r="Q42" s="6"/>
      <c r="R42" s="6" t="s">
        <v>129</v>
      </c>
      <c r="S42" s="6"/>
      <c r="T42" s="6"/>
      <c r="U42" s="6"/>
      <c r="V42" s="6"/>
      <c r="W42" s="6" t="s">
        <v>129</v>
      </c>
      <c r="X42" s="6"/>
      <c r="Y42" s="6" t="s">
        <v>148</v>
      </c>
      <c r="Z42" s="6" t="s">
        <v>142</v>
      </c>
      <c r="AA42" s="6" t="s">
        <v>115</v>
      </c>
      <c r="AB42" s="6"/>
      <c r="AC42" s="6"/>
      <c r="AD42" s="6" t="s">
        <v>115</v>
      </c>
      <c r="AE42" s="6" t="s">
        <v>116</v>
      </c>
      <c r="AF42" s="6"/>
      <c r="AG42" s="6"/>
      <c r="AH42" s="6" t="s">
        <v>116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 t="s">
        <v>334</v>
      </c>
      <c r="AU42" s="7" t="str">
        <f>IF($AT42="","",IFERROR(INDEX(InstructorMap!$B:$B, MATCH($AT42, InstructorMap!$A:$A, 0)),""))</f>
        <v>fraserj@andrews.edu</v>
      </c>
      <c r="AV42" s="7" t="str">
        <f>IF($AT42="","",IFERROR(INDEX(InstructorMap!$C:$C, MATCH($AT42, InstructorMap!$A:$A, 0)),""))</f>
        <v>000129106</v>
      </c>
      <c r="AW42" s="6" t="s">
        <v>121</v>
      </c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 t="s">
        <v>519</v>
      </c>
      <c r="BI42" s="6" t="s">
        <v>124</v>
      </c>
      <c r="BJ42" s="6" t="s">
        <v>125</v>
      </c>
      <c r="BK42" s="6"/>
      <c r="BL42" s="6" t="s">
        <v>249</v>
      </c>
      <c r="BM42" s="6"/>
      <c r="BN42" s="6"/>
      <c r="BO42" s="6" t="s">
        <v>127</v>
      </c>
      <c r="BP42" s="6"/>
      <c r="BQ42" s="6" t="s">
        <v>511</v>
      </c>
      <c r="BR42" s="6"/>
      <c r="BS42" s="6"/>
      <c r="BT42" s="6" t="s">
        <v>128</v>
      </c>
      <c r="BU42" s="6" t="s">
        <v>129</v>
      </c>
      <c r="BV42" s="6" t="s">
        <v>129</v>
      </c>
      <c r="BW42" s="6" t="s">
        <v>130</v>
      </c>
      <c r="BX42" s="6"/>
      <c r="BY42" s="6"/>
      <c r="BZ42" s="6"/>
      <c r="CA42" s="6"/>
      <c r="CB42" s="6"/>
      <c r="CC42" s="6"/>
      <c r="CD42" s="6"/>
      <c r="CE42" s="6"/>
      <c r="CF42" s="6" t="s">
        <v>130</v>
      </c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 t="s">
        <v>132</v>
      </c>
      <c r="CT42" s="6" t="s">
        <v>133</v>
      </c>
      <c r="CU42" s="6" t="s">
        <v>134</v>
      </c>
      <c r="CV42" s="6"/>
    </row>
    <row r="43" spans="1:100" x14ac:dyDescent="0.2">
      <c r="A43" s="38" t="b">
        <v>0</v>
      </c>
      <c r="B43" s="39" t="b">
        <v>0</v>
      </c>
      <c r="C43" s="39" t="b">
        <v>0</v>
      </c>
      <c r="D43" s="39" t="b">
        <v>0</v>
      </c>
      <c r="E43" s="39" t="b">
        <v>0</v>
      </c>
      <c r="F43" s="38" t="b">
        <v>0</v>
      </c>
      <c r="G43" s="36"/>
      <c r="H43" s="6" t="s">
        <v>662</v>
      </c>
      <c r="I43" s="6" t="s">
        <v>663</v>
      </c>
      <c r="J43" s="6" t="s">
        <v>519</v>
      </c>
      <c r="K43" s="6" t="s">
        <v>267</v>
      </c>
      <c r="L43" s="6" t="s">
        <v>255</v>
      </c>
      <c r="M43" s="6"/>
      <c r="N43" s="6" t="s">
        <v>661</v>
      </c>
      <c r="O43" s="6" t="s">
        <v>661</v>
      </c>
      <c r="P43" s="6"/>
      <c r="Q43" s="6"/>
      <c r="R43" s="6" t="s">
        <v>129</v>
      </c>
      <c r="S43" s="6"/>
      <c r="T43" s="6"/>
      <c r="U43" s="6"/>
      <c r="V43" s="6"/>
      <c r="W43" s="6" t="s">
        <v>129</v>
      </c>
      <c r="X43" s="6"/>
      <c r="Y43" s="6" t="s">
        <v>148</v>
      </c>
      <c r="Z43" s="6" t="s">
        <v>142</v>
      </c>
      <c r="AA43" s="6" t="s">
        <v>115</v>
      </c>
      <c r="AB43" s="6"/>
      <c r="AC43" s="6"/>
      <c r="AD43" s="6" t="s">
        <v>115</v>
      </c>
      <c r="AE43" s="6" t="s">
        <v>116</v>
      </c>
      <c r="AF43" s="6"/>
      <c r="AG43" s="6"/>
      <c r="AH43" s="6" t="s">
        <v>116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 t="s">
        <v>120</v>
      </c>
      <c r="AU43" s="7" t="str">
        <f>IF($AT43="","",IFERROR(INDEX(InstructorMap!$B:$B, MATCH($AT43, InstructorMap!$A:$A, 0)),""))</f>
        <v>jreeve@andrews.edu</v>
      </c>
      <c r="AV43" s="7" t="str">
        <f>IF($AT43="","",IFERROR(INDEX(InstructorMap!$C:$C, MATCH($AT43, InstructorMap!$A:$A, 0)),""))</f>
        <v>000049018</v>
      </c>
      <c r="AW43" s="6" t="s">
        <v>121</v>
      </c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 t="s">
        <v>519</v>
      </c>
      <c r="BI43" s="6" t="s">
        <v>124</v>
      </c>
      <c r="BJ43" s="6" t="s">
        <v>125</v>
      </c>
      <c r="BK43" s="6"/>
      <c r="BL43" s="6" t="s">
        <v>249</v>
      </c>
      <c r="BM43" s="6"/>
      <c r="BN43" s="6"/>
      <c r="BO43" s="6" t="s">
        <v>127</v>
      </c>
      <c r="BP43" s="6"/>
      <c r="BQ43" s="6" t="s">
        <v>511</v>
      </c>
      <c r="BR43" s="6"/>
      <c r="BS43" s="6"/>
      <c r="BT43" s="6" t="s">
        <v>128</v>
      </c>
      <c r="BU43" s="6" t="s">
        <v>129</v>
      </c>
      <c r="BV43" s="6" t="s">
        <v>129</v>
      </c>
      <c r="BW43" s="6" t="s">
        <v>130</v>
      </c>
      <c r="BX43" s="6"/>
      <c r="BY43" s="6"/>
      <c r="BZ43" s="6"/>
      <c r="CA43" s="6"/>
      <c r="CB43" s="6"/>
      <c r="CC43" s="6"/>
      <c r="CD43" s="6"/>
      <c r="CE43" s="6"/>
      <c r="CF43" s="6" t="s">
        <v>130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 t="s">
        <v>132</v>
      </c>
      <c r="CT43" s="6" t="s">
        <v>133</v>
      </c>
      <c r="CU43" s="6" t="s">
        <v>134</v>
      </c>
      <c r="CV43" s="6"/>
    </row>
    <row r="44" spans="1:100" x14ac:dyDescent="0.2">
      <c r="A44" s="38" t="b">
        <v>0</v>
      </c>
      <c r="B44" s="39" t="b">
        <v>0</v>
      </c>
      <c r="C44" s="39" t="b">
        <v>0</v>
      </c>
      <c r="D44" s="39" t="b">
        <v>0</v>
      </c>
      <c r="E44" s="39" t="b">
        <v>0</v>
      </c>
      <c r="F44" s="38" t="b">
        <v>0</v>
      </c>
      <c r="G44" s="36"/>
      <c r="H44" s="6" t="s">
        <v>664</v>
      </c>
      <c r="I44" s="6" t="s">
        <v>665</v>
      </c>
      <c r="J44" s="6" t="s">
        <v>519</v>
      </c>
      <c r="K44" s="6" t="s">
        <v>267</v>
      </c>
      <c r="L44" s="6" t="s">
        <v>252</v>
      </c>
      <c r="M44" s="6"/>
      <c r="N44" s="6" t="s">
        <v>661</v>
      </c>
      <c r="O44" s="6" t="s">
        <v>661</v>
      </c>
      <c r="P44" s="6"/>
      <c r="Q44" s="6"/>
      <c r="R44" s="6" t="s">
        <v>129</v>
      </c>
      <c r="S44" s="6"/>
      <c r="T44" s="6"/>
      <c r="U44" s="6"/>
      <c r="V44" s="6"/>
      <c r="W44" s="6" t="s">
        <v>129</v>
      </c>
      <c r="X44" s="6"/>
      <c r="Y44" s="6" t="s">
        <v>148</v>
      </c>
      <c r="Z44" s="6" t="s">
        <v>142</v>
      </c>
      <c r="AA44" s="6" t="s">
        <v>115</v>
      </c>
      <c r="AB44" s="6"/>
      <c r="AC44" s="6"/>
      <c r="AD44" s="6" t="s">
        <v>115</v>
      </c>
      <c r="AE44" s="6" t="s">
        <v>116</v>
      </c>
      <c r="AF44" s="6"/>
      <c r="AG44" s="6"/>
      <c r="AH44" s="6" t="s">
        <v>116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 t="s">
        <v>652</v>
      </c>
      <c r="AU44" s="7" t="str">
        <f>IF($AT44="","",IFERROR(INDEX(InstructorMap!$B:$B, MATCH($AT44, InstructorMap!$A:$A, 0)),""))</f>
        <v>younker@andrews.edu</v>
      </c>
      <c r="AV44" s="7" t="str">
        <f>IF($AT44="","",IFERROR(INDEX(InstructorMap!$C:$C, MATCH($AT44, InstructorMap!$A:$A, 0)),""))</f>
        <v>000042559</v>
      </c>
      <c r="AW44" s="6" t="s">
        <v>121</v>
      </c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 t="s">
        <v>519</v>
      </c>
      <c r="BI44" s="6" t="s">
        <v>124</v>
      </c>
      <c r="BJ44" s="6" t="s">
        <v>125</v>
      </c>
      <c r="BK44" s="6"/>
      <c r="BL44" s="6" t="s">
        <v>249</v>
      </c>
      <c r="BM44" s="6"/>
      <c r="BN44" s="6"/>
      <c r="BO44" s="6" t="s">
        <v>127</v>
      </c>
      <c r="BP44" s="6"/>
      <c r="BQ44" s="6" t="s">
        <v>511</v>
      </c>
      <c r="BR44" s="6"/>
      <c r="BS44" s="6"/>
      <c r="BT44" s="6" t="s">
        <v>128</v>
      </c>
      <c r="BU44" s="6" t="s">
        <v>129</v>
      </c>
      <c r="BV44" s="6" t="s">
        <v>129</v>
      </c>
      <c r="BW44" s="6" t="s">
        <v>130</v>
      </c>
      <c r="BX44" s="6"/>
      <c r="BY44" s="6"/>
      <c r="BZ44" s="6"/>
      <c r="CA44" s="6"/>
      <c r="CB44" s="6"/>
      <c r="CC44" s="6"/>
      <c r="CD44" s="6"/>
      <c r="CE44" s="6"/>
      <c r="CF44" s="6" t="s">
        <v>130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 t="s">
        <v>132</v>
      </c>
      <c r="CT44" s="6" t="s">
        <v>133</v>
      </c>
      <c r="CU44" s="6" t="s">
        <v>134</v>
      </c>
      <c r="CV44" s="6"/>
    </row>
    <row r="45" spans="1:100" x14ac:dyDescent="0.2">
      <c r="A45" s="38" t="b">
        <v>0</v>
      </c>
      <c r="B45" s="39" t="b">
        <v>0</v>
      </c>
      <c r="C45" s="39" t="b">
        <v>0</v>
      </c>
      <c r="D45" s="39" t="b">
        <v>0</v>
      </c>
      <c r="E45" s="39" t="b">
        <v>0</v>
      </c>
      <c r="F45" s="38" t="b">
        <v>0</v>
      </c>
      <c r="G45" s="36"/>
      <c r="H45" s="6" t="s">
        <v>666</v>
      </c>
      <c r="I45" s="6" t="s">
        <v>667</v>
      </c>
      <c r="J45" s="6" t="s">
        <v>519</v>
      </c>
      <c r="K45" s="6" t="s">
        <v>668</v>
      </c>
      <c r="L45" s="6" t="s">
        <v>297</v>
      </c>
      <c r="M45" s="6"/>
      <c r="N45" s="6" t="s">
        <v>669</v>
      </c>
      <c r="O45" s="6" t="s">
        <v>669</v>
      </c>
      <c r="P45" s="6"/>
      <c r="Q45" s="6"/>
      <c r="R45" s="6" t="s">
        <v>129</v>
      </c>
      <c r="S45" s="6"/>
      <c r="T45" s="6"/>
      <c r="U45" s="6"/>
      <c r="V45" s="6"/>
      <c r="W45" s="6" t="s">
        <v>129</v>
      </c>
      <c r="X45" s="6"/>
      <c r="Y45" s="6" t="s">
        <v>148</v>
      </c>
      <c r="Z45" s="6" t="s">
        <v>142</v>
      </c>
      <c r="AA45" s="6" t="s">
        <v>115</v>
      </c>
      <c r="AB45" s="6"/>
      <c r="AC45" s="6"/>
      <c r="AD45" s="6" t="s">
        <v>115</v>
      </c>
      <c r="AE45" s="6" t="s">
        <v>116</v>
      </c>
      <c r="AF45" s="6"/>
      <c r="AG45" s="6"/>
      <c r="AH45" s="6" t="s">
        <v>116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 t="s">
        <v>334</v>
      </c>
      <c r="AU45" s="7" t="str">
        <f>IF($AT45="","",IFERROR(INDEX(InstructorMap!$B:$B, MATCH($AT45, InstructorMap!$A:$A, 0)),""))</f>
        <v>fraserj@andrews.edu</v>
      </c>
      <c r="AV45" s="7" t="str">
        <f>IF($AT45="","",IFERROR(INDEX(InstructorMap!$C:$C, MATCH($AT45, InstructorMap!$A:$A, 0)),""))</f>
        <v>000129106</v>
      </c>
      <c r="AW45" s="6" t="s">
        <v>121</v>
      </c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 t="s">
        <v>519</v>
      </c>
      <c r="BI45" s="6" t="s">
        <v>124</v>
      </c>
      <c r="BJ45" s="6" t="s">
        <v>125</v>
      </c>
      <c r="BK45" s="6"/>
      <c r="BL45" s="6" t="s">
        <v>249</v>
      </c>
      <c r="BM45" s="6"/>
      <c r="BN45" s="6"/>
      <c r="BO45" s="6" t="s">
        <v>127</v>
      </c>
      <c r="BP45" s="6"/>
      <c r="BQ45" s="6" t="s">
        <v>511</v>
      </c>
      <c r="BR45" s="6"/>
      <c r="BS45" s="6"/>
      <c r="BT45" s="6" t="s">
        <v>128</v>
      </c>
      <c r="BU45" s="6" t="s">
        <v>129</v>
      </c>
      <c r="BV45" s="6" t="s">
        <v>129</v>
      </c>
      <c r="BW45" s="6" t="s">
        <v>130</v>
      </c>
      <c r="BX45" s="6"/>
      <c r="BY45" s="6"/>
      <c r="BZ45" s="6"/>
      <c r="CA45" s="6"/>
      <c r="CB45" s="6"/>
      <c r="CC45" s="6"/>
      <c r="CD45" s="6"/>
      <c r="CE45" s="6"/>
      <c r="CF45" s="6" t="s">
        <v>130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 t="s">
        <v>132</v>
      </c>
      <c r="CT45" s="6" t="s">
        <v>133</v>
      </c>
      <c r="CU45" s="6" t="s">
        <v>134</v>
      </c>
      <c r="CV45" s="6"/>
    </row>
    <row r="46" spans="1:100" x14ac:dyDescent="0.2">
      <c r="A46" s="38" t="b">
        <v>0</v>
      </c>
      <c r="B46" s="39" t="b">
        <v>0</v>
      </c>
      <c r="C46" s="39" t="b">
        <v>0</v>
      </c>
      <c r="D46" s="39" t="b">
        <v>0</v>
      </c>
      <c r="E46" s="39" t="b">
        <v>0</v>
      </c>
      <c r="F46" s="38" t="b">
        <v>0</v>
      </c>
      <c r="G46" s="36"/>
      <c r="H46" s="6" t="s">
        <v>670</v>
      </c>
      <c r="I46" s="6" t="s">
        <v>671</v>
      </c>
      <c r="J46" s="6" t="s">
        <v>519</v>
      </c>
      <c r="K46" s="6" t="s">
        <v>668</v>
      </c>
      <c r="L46" s="6" t="s">
        <v>255</v>
      </c>
      <c r="M46" s="6"/>
      <c r="N46" s="6" t="s">
        <v>669</v>
      </c>
      <c r="O46" s="6" t="s">
        <v>669</v>
      </c>
      <c r="P46" s="6"/>
      <c r="Q46" s="6"/>
      <c r="R46" s="6" t="s">
        <v>129</v>
      </c>
      <c r="S46" s="6"/>
      <c r="T46" s="6"/>
      <c r="U46" s="6"/>
      <c r="V46" s="6"/>
      <c r="W46" s="6" t="s">
        <v>129</v>
      </c>
      <c r="X46" s="6"/>
      <c r="Y46" s="6" t="s">
        <v>148</v>
      </c>
      <c r="Z46" s="6" t="s">
        <v>142</v>
      </c>
      <c r="AA46" s="6" t="s">
        <v>115</v>
      </c>
      <c r="AB46" s="6"/>
      <c r="AC46" s="6"/>
      <c r="AD46" s="6" t="s">
        <v>115</v>
      </c>
      <c r="AE46" s="6" t="s">
        <v>116</v>
      </c>
      <c r="AF46" s="6"/>
      <c r="AG46" s="6"/>
      <c r="AH46" s="6" t="s">
        <v>116</v>
      </c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 t="s">
        <v>120</v>
      </c>
      <c r="AU46" s="7" t="str">
        <f>IF($AT46="","",IFERROR(INDEX(InstructorMap!$B:$B, MATCH($AT46, InstructorMap!$A:$A, 0)),""))</f>
        <v>jreeve@andrews.edu</v>
      </c>
      <c r="AV46" s="7" t="str">
        <f>IF($AT46="","",IFERROR(INDEX(InstructorMap!$C:$C, MATCH($AT46, InstructorMap!$A:$A, 0)),""))</f>
        <v>000049018</v>
      </c>
      <c r="AW46" s="6" t="s">
        <v>121</v>
      </c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 t="s">
        <v>519</v>
      </c>
      <c r="BI46" s="6" t="s">
        <v>124</v>
      </c>
      <c r="BJ46" s="6" t="s">
        <v>125</v>
      </c>
      <c r="BK46" s="6"/>
      <c r="BL46" s="6" t="s">
        <v>249</v>
      </c>
      <c r="BM46" s="6"/>
      <c r="BN46" s="6"/>
      <c r="BO46" s="6" t="s">
        <v>127</v>
      </c>
      <c r="BP46" s="6"/>
      <c r="BQ46" s="6" t="s">
        <v>511</v>
      </c>
      <c r="BR46" s="6"/>
      <c r="BS46" s="6"/>
      <c r="BT46" s="6" t="s">
        <v>128</v>
      </c>
      <c r="BU46" s="6" t="s">
        <v>129</v>
      </c>
      <c r="BV46" s="6" t="s">
        <v>129</v>
      </c>
      <c r="BW46" s="6" t="s">
        <v>130</v>
      </c>
      <c r="BX46" s="6"/>
      <c r="BY46" s="6"/>
      <c r="BZ46" s="6"/>
      <c r="CA46" s="6"/>
      <c r="CB46" s="6"/>
      <c r="CC46" s="6"/>
      <c r="CD46" s="6"/>
      <c r="CE46" s="6"/>
      <c r="CF46" s="6" t="s">
        <v>130</v>
      </c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 t="s">
        <v>132</v>
      </c>
      <c r="CT46" s="6" t="s">
        <v>133</v>
      </c>
      <c r="CU46" s="6" t="s">
        <v>134</v>
      </c>
      <c r="CV46" s="6"/>
    </row>
    <row r="47" spans="1:100" s="16" customFormat="1" x14ac:dyDescent="0.2">
      <c r="A47" s="38" t="b">
        <v>0</v>
      </c>
      <c r="B47" s="39" t="b">
        <v>0</v>
      </c>
      <c r="C47" s="39" t="b">
        <v>0</v>
      </c>
      <c r="D47" s="39" t="b">
        <v>0</v>
      </c>
      <c r="E47" s="39" t="b">
        <v>0</v>
      </c>
      <c r="F47" s="38" t="b">
        <v>0</v>
      </c>
      <c r="G47" s="36"/>
      <c r="H47" s="6" t="s">
        <v>672</v>
      </c>
      <c r="I47" s="6" t="s">
        <v>673</v>
      </c>
      <c r="J47" s="6" t="s">
        <v>519</v>
      </c>
      <c r="K47" s="6" t="s">
        <v>668</v>
      </c>
      <c r="L47" s="6" t="s">
        <v>252</v>
      </c>
      <c r="M47" s="6"/>
      <c r="N47" s="6" t="s">
        <v>669</v>
      </c>
      <c r="O47" s="6" t="s">
        <v>669</v>
      </c>
      <c r="P47" s="6"/>
      <c r="Q47" s="6"/>
      <c r="R47" s="6" t="s">
        <v>129</v>
      </c>
      <c r="S47" s="6"/>
      <c r="T47" s="6"/>
      <c r="U47" s="6"/>
      <c r="V47" s="6"/>
      <c r="W47" s="6" t="s">
        <v>129</v>
      </c>
      <c r="X47" s="6"/>
      <c r="Y47" s="6" t="s">
        <v>148</v>
      </c>
      <c r="Z47" s="6" t="s">
        <v>142</v>
      </c>
      <c r="AA47" s="6" t="s">
        <v>115</v>
      </c>
      <c r="AB47" s="6"/>
      <c r="AC47" s="6"/>
      <c r="AD47" s="6" t="s">
        <v>115</v>
      </c>
      <c r="AE47" s="6" t="s">
        <v>116</v>
      </c>
      <c r="AF47" s="6"/>
      <c r="AG47" s="6"/>
      <c r="AH47" s="6" t="s">
        <v>116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 t="s">
        <v>652</v>
      </c>
      <c r="AU47" s="7" t="str">
        <f>IF($AT47="","",IFERROR(INDEX(InstructorMap!$B:$B, MATCH($AT47, InstructorMap!$A:$A, 0)),""))</f>
        <v>younker@andrews.edu</v>
      </c>
      <c r="AV47" s="7" t="str">
        <f>IF($AT47="","",IFERROR(INDEX(InstructorMap!$C:$C, MATCH($AT47, InstructorMap!$A:$A, 0)),""))</f>
        <v>000042559</v>
      </c>
      <c r="AW47" s="6" t="s">
        <v>121</v>
      </c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 t="s">
        <v>519</v>
      </c>
      <c r="BI47" s="6" t="s">
        <v>124</v>
      </c>
      <c r="BJ47" s="6" t="s">
        <v>125</v>
      </c>
      <c r="BK47" s="6"/>
      <c r="BL47" s="6" t="s">
        <v>249</v>
      </c>
      <c r="BM47" s="6"/>
      <c r="BN47" s="6"/>
      <c r="BO47" s="6" t="s">
        <v>127</v>
      </c>
      <c r="BP47" s="6"/>
      <c r="BQ47" s="6" t="s">
        <v>511</v>
      </c>
      <c r="BR47" s="6"/>
      <c r="BS47" s="6"/>
      <c r="BT47" s="6" t="s">
        <v>128</v>
      </c>
      <c r="BU47" s="6" t="s">
        <v>129</v>
      </c>
      <c r="BV47" s="6" t="s">
        <v>129</v>
      </c>
      <c r="BW47" s="6" t="s">
        <v>130</v>
      </c>
      <c r="BX47" s="6"/>
      <c r="BY47" s="6"/>
      <c r="BZ47" s="6"/>
      <c r="CA47" s="6"/>
      <c r="CB47" s="6"/>
      <c r="CC47" s="6"/>
      <c r="CD47" s="6"/>
      <c r="CE47" s="6"/>
      <c r="CF47" s="6" t="s">
        <v>130</v>
      </c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 t="s">
        <v>132</v>
      </c>
      <c r="CT47" s="6" t="s">
        <v>133</v>
      </c>
      <c r="CU47" s="6" t="s">
        <v>134</v>
      </c>
      <c r="CV47" s="6"/>
    </row>
    <row r="48" spans="1:100" s="16" customFormat="1" x14ac:dyDescent="0.2">
      <c r="A48" s="38" t="b">
        <v>0</v>
      </c>
      <c r="B48" s="39" t="b">
        <v>0</v>
      </c>
      <c r="C48" s="39" t="b">
        <v>0</v>
      </c>
      <c r="D48" s="39" t="b">
        <v>0</v>
      </c>
      <c r="E48" s="39" t="b">
        <v>0</v>
      </c>
      <c r="F48" s="38" t="b">
        <v>0</v>
      </c>
      <c r="G48" s="36"/>
      <c r="H48" s="6" t="s">
        <v>674</v>
      </c>
      <c r="I48" s="6" t="s">
        <v>675</v>
      </c>
      <c r="J48" s="6" t="s">
        <v>519</v>
      </c>
      <c r="K48" s="6" t="s">
        <v>668</v>
      </c>
      <c r="L48" s="6" t="s">
        <v>244</v>
      </c>
      <c r="M48" s="6"/>
      <c r="N48" s="6" t="s">
        <v>669</v>
      </c>
      <c r="O48" s="6"/>
      <c r="P48" s="6"/>
      <c r="Q48" s="6"/>
      <c r="R48" s="6" t="s">
        <v>129</v>
      </c>
      <c r="S48" s="6"/>
      <c r="T48" s="6"/>
      <c r="U48" s="6"/>
      <c r="V48" s="6"/>
      <c r="W48" s="6" t="s">
        <v>129</v>
      </c>
      <c r="X48" s="6"/>
      <c r="Y48" s="6" t="s">
        <v>148</v>
      </c>
      <c r="Z48" s="6" t="s">
        <v>142</v>
      </c>
      <c r="AA48" s="6" t="s">
        <v>115</v>
      </c>
      <c r="AB48" s="6"/>
      <c r="AC48" s="6"/>
      <c r="AD48" s="6" t="s">
        <v>115</v>
      </c>
      <c r="AE48" s="6" t="s">
        <v>116</v>
      </c>
      <c r="AF48" s="6"/>
      <c r="AG48" s="6"/>
      <c r="AH48" s="6" t="s">
        <v>116</v>
      </c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 t="s">
        <v>676</v>
      </c>
      <c r="AU48" s="7" t="str">
        <f>IF($AT48="","",IFERROR(INDEX(InstructorMap!$B:$B, MATCH($AT48, InstructorMap!$A:$A, 0)),""))</f>
        <v>jeroncic@andrews.edu</v>
      </c>
      <c r="AV48" s="7" t="str">
        <f>IF($AT48="","",IFERROR(INDEX(InstructorMap!$C:$C, MATCH($AT48, InstructorMap!$A:$A, 0)),""))</f>
        <v>000066942</v>
      </c>
      <c r="AW48" s="6" t="s">
        <v>121</v>
      </c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 t="s">
        <v>519</v>
      </c>
      <c r="BI48" s="6" t="s">
        <v>124</v>
      </c>
      <c r="BJ48" s="6" t="s">
        <v>125</v>
      </c>
      <c r="BK48" s="6"/>
      <c r="BL48" s="6" t="s">
        <v>249</v>
      </c>
      <c r="BM48" s="6"/>
      <c r="BN48" s="6"/>
      <c r="BO48" s="6" t="s">
        <v>127</v>
      </c>
      <c r="BP48" s="6"/>
      <c r="BQ48" s="6" t="s">
        <v>511</v>
      </c>
      <c r="BR48" s="6"/>
      <c r="BS48" s="6"/>
      <c r="BT48" s="6" t="s">
        <v>128</v>
      </c>
      <c r="BU48" s="6" t="s">
        <v>129</v>
      </c>
      <c r="BV48" s="6" t="s">
        <v>129</v>
      </c>
      <c r="BW48" s="6" t="s">
        <v>130</v>
      </c>
      <c r="BX48" s="6"/>
      <c r="BY48" s="6"/>
      <c r="BZ48" s="6"/>
      <c r="CA48" s="6"/>
      <c r="CB48" s="6"/>
      <c r="CC48" s="6"/>
      <c r="CD48" s="6"/>
      <c r="CE48" s="6"/>
      <c r="CF48" s="6" t="s">
        <v>130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 t="s">
        <v>132</v>
      </c>
      <c r="CT48" s="6" t="s">
        <v>133</v>
      </c>
      <c r="CU48" s="6" t="s">
        <v>134</v>
      </c>
      <c r="CV48" s="6"/>
    </row>
    <row r="49" spans="1:100" s="16" customFormat="1" x14ac:dyDescent="0.2">
      <c r="A49" s="38" t="b">
        <v>0</v>
      </c>
      <c r="B49" s="39" t="b">
        <v>0</v>
      </c>
      <c r="C49" s="39" t="b">
        <v>0</v>
      </c>
      <c r="D49" s="39" t="b">
        <v>0</v>
      </c>
      <c r="E49" s="39" t="b">
        <v>0</v>
      </c>
      <c r="F49" s="38" t="b">
        <v>0</v>
      </c>
      <c r="G49" s="36"/>
      <c r="H49" s="6" t="s">
        <v>677</v>
      </c>
      <c r="I49" s="6" t="s">
        <v>678</v>
      </c>
      <c r="J49" s="6" t="s">
        <v>519</v>
      </c>
      <c r="K49" s="6" t="s">
        <v>668</v>
      </c>
      <c r="L49" s="6" t="s">
        <v>258</v>
      </c>
      <c r="M49" s="6"/>
      <c r="N49" s="6" t="s">
        <v>669</v>
      </c>
      <c r="O49" s="6"/>
      <c r="P49" s="6"/>
      <c r="Q49" s="6"/>
      <c r="R49" s="6" t="s">
        <v>129</v>
      </c>
      <c r="S49" s="6"/>
      <c r="T49" s="6"/>
      <c r="U49" s="6"/>
      <c r="V49" s="6"/>
      <c r="W49" s="6" t="s">
        <v>129</v>
      </c>
      <c r="X49" s="6"/>
      <c r="Y49" s="6" t="s">
        <v>148</v>
      </c>
      <c r="Z49" s="6" t="s">
        <v>142</v>
      </c>
      <c r="AA49" s="6" t="s">
        <v>115</v>
      </c>
      <c r="AB49" s="6"/>
      <c r="AC49" s="6"/>
      <c r="AD49" s="6" t="s">
        <v>115</v>
      </c>
      <c r="AE49" s="6" t="s">
        <v>116</v>
      </c>
      <c r="AF49" s="6"/>
      <c r="AG49" s="6"/>
      <c r="AH49" s="6" t="s">
        <v>116</v>
      </c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 t="s">
        <v>679</v>
      </c>
      <c r="AU49" s="7" t="str">
        <f>IF($AT49="","",IFERROR(INDEX(InstructorMap!$B:$B, MATCH($AT49, InstructorMap!$A:$A, 0)),""))</f>
        <v>glanz@andrews.edu</v>
      </c>
      <c r="AV49" s="7" t="str">
        <f>IF($AT49="","",IFERROR(INDEX(InstructorMap!$C:$C, MATCH($AT49, InstructorMap!$A:$A, 0)),""))</f>
        <v>000162826</v>
      </c>
      <c r="AW49" s="6" t="s">
        <v>121</v>
      </c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 t="s">
        <v>519</v>
      </c>
      <c r="BI49" s="6" t="s">
        <v>124</v>
      </c>
      <c r="BJ49" s="6" t="s">
        <v>125</v>
      </c>
      <c r="BK49" s="6"/>
      <c r="BL49" s="6" t="s">
        <v>249</v>
      </c>
      <c r="BM49" s="6"/>
      <c r="BN49" s="6"/>
      <c r="BO49" s="6" t="s">
        <v>127</v>
      </c>
      <c r="BP49" s="6"/>
      <c r="BQ49" s="6" t="s">
        <v>511</v>
      </c>
      <c r="BR49" s="6"/>
      <c r="BS49" s="6"/>
      <c r="BT49" s="6" t="s">
        <v>128</v>
      </c>
      <c r="BU49" s="6" t="s">
        <v>129</v>
      </c>
      <c r="BV49" s="6" t="s">
        <v>129</v>
      </c>
      <c r="BW49" s="6" t="s">
        <v>130</v>
      </c>
      <c r="BX49" s="6"/>
      <c r="BY49" s="6"/>
      <c r="BZ49" s="6"/>
      <c r="CA49" s="6"/>
      <c r="CB49" s="6"/>
      <c r="CC49" s="6"/>
      <c r="CD49" s="6"/>
      <c r="CE49" s="6"/>
      <c r="CF49" s="6" t="s">
        <v>130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 t="s">
        <v>132</v>
      </c>
      <c r="CT49" s="6" t="s">
        <v>133</v>
      </c>
      <c r="CU49" s="6" t="s">
        <v>134</v>
      </c>
      <c r="CV49" s="6"/>
    </row>
    <row r="50" spans="1:100" s="16" customFormat="1" x14ac:dyDescent="0.2">
      <c r="A50" s="38" t="b">
        <v>0</v>
      </c>
      <c r="B50" s="39" t="b">
        <v>0</v>
      </c>
      <c r="C50" s="39" t="b">
        <v>0</v>
      </c>
      <c r="D50" s="39" t="b">
        <v>0</v>
      </c>
      <c r="E50" s="39" t="b">
        <v>0</v>
      </c>
      <c r="F50" s="38" t="b">
        <v>0</v>
      </c>
      <c r="G50" s="36"/>
      <c r="H50" s="6" t="s">
        <v>680</v>
      </c>
      <c r="I50" s="6" t="s">
        <v>681</v>
      </c>
      <c r="J50" s="6" t="s">
        <v>519</v>
      </c>
      <c r="K50" s="6" t="s">
        <v>682</v>
      </c>
      <c r="L50" s="6" t="s">
        <v>137</v>
      </c>
      <c r="M50" s="6"/>
      <c r="N50" s="6" t="s">
        <v>683</v>
      </c>
      <c r="O50" s="6" t="s">
        <v>683</v>
      </c>
      <c r="P50" s="6"/>
      <c r="Q50" s="6"/>
      <c r="R50" s="6" t="s">
        <v>129</v>
      </c>
      <c r="S50" s="6"/>
      <c r="T50" s="6"/>
      <c r="U50" s="6"/>
      <c r="V50" s="6"/>
      <c r="W50" s="6" t="s">
        <v>684</v>
      </c>
      <c r="X50" s="6"/>
      <c r="Y50" s="6" t="s">
        <v>148</v>
      </c>
      <c r="Z50" s="6" t="s">
        <v>142</v>
      </c>
      <c r="AA50" s="6" t="s">
        <v>115</v>
      </c>
      <c r="AB50" s="6"/>
      <c r="AC50" s="6"/>
      <c r="AD50" s="6" t="s">
        <v>115</v>
      </c>
      <c r="AE50" s="6" t="s">
        <v>116</v>
      </c>
      <c r="AF50" s="6"/>
      <c r="AG50" s="6"/>
      <c r="AH50" s="6" t="s">
        <v>116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 t="s">
        <v>685</v>
      </c>
      <c r="AU50" s="7" t="str">
        <f>IF($AT50="","",IFERROR(INDEX(InstructorMap!$B:$B, MATCH($AT50, InstructorMap!$A:$A, 0)),""))</f>
        <v>kuhn@andrews.edu</v>
      </c>
      <c r="AV50" s="7" t="str">
        <f>IF($AT50="","",IFERROR(INDEX(InstructorMap!$C:$C, MATCH($AT50, InstructorMap!$A:$A, 0)),""))</f>
        <v>000067555</v>
      </c>
      <c r="AW50" s="6" t="s">
        <v>121</v>
      </c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 t="s">
        <v>519</v>
      </c>
      <c r="BI50" s="6" t="s">
        <v>124</v>
      </c>
      <c r="BJ50" s="6" t="s">
        <v>125</v>
      </c>
      <c r="BK50" s="6"/>
      <c r="BL50" s="6" t="s">
        <v>249</v>
      </c>
      <c r="BM50" s="6"/>
      <c r="BN50" s="6"/>
      <c r="BO50" s="6" t="s">
        <v>127</v>
      </c>
      <c r="BP50" s="6"/>
      <c r="BQ50" s="6"/>
      <c r="BR50" s="6"/>
      <c r="BS50" s="6"/>
      <c r="BT50" s="6" t="s">
        <v>128</v>
      </c>
      <c r="BU50" s="6" t="s">
        <v>129</v>
      </c>
      <c r="BV50" s="6" t="s">
        <v>129</v>
      </c>
      <c r="BW50" s="6" t="s">
        <v>130</v>
      </c>
      <c r="BX50" s="6"/>
      <c r="BY50" s="6"/>
      <c r="BZ50" s="6"/>
      <c r="CA50" s="6"/>
      <c r="CB50" s="6"/>
      <c r="CC50" s="6"/>
      <c r="CD50" s="6"/>
      <c r="CE50" s="6"/>
      <c r="CF50" s="6" t="s">
        <v>130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 t="s">
        <v>132</v>
      </c>
      <c r="CT50" s="6" t="s">
        <v>133</v>
      </c>
      <c r="CU50" s="6" t="s">
        <v>134</v>
      </c>
      <c r="CV50" s="6"/>
    </row>
    <row r="51" spans="1:100" s="16" customFormat="1" x14ac:dyDescent="0.2">
      <c r="A51" s="38" t="b">
        <v>0</v>
      </c>
      <c r="B51" s="39" t="b">
        <v>0</v>
      </c>
      <c r="C51" s="39" t="b">
        <v>0</v>
      </c>
      <c r="D51" s="39" t="b">
        <v>0</v>
      </c>
      <c r="E51" s="39" t="b">
        <v>0</v>
      </c>
      <c r="F51" s="38" t="b">
        <v>0</v>
      </c>
      <c r="G51" s="36"/>
      <c r="H51" s="6" t="s">
        <v>686</v>
      </c>
      <c r="I51" s="6" t="s">
        <v>687</v>
      </c>
      <c r="J51" s="6" t="s">
        <v>519</v>
      </c>
      <c r="K51" s="6" t="s">
        <v>682</v>
      </c>
      <c r="L51" s="6" t="s">
        <v>255</v>
      </c>
      <c r="M51" s="6"/>
      <c r="N51" s="6" t="s">
        <v>683</v>
      </c>
      <c r="O51" s="6"/>
      <c r="P51" s="6"/>
      <c r="Q51" s="6"/>
      <c r="R51" s="6" t="s">
        <v>129</v>
      </c>
      <c r="S51" s="6"/>
      <c r="T51" s="6"/>
      <c r="U51" s="6"/>
      <c r="V51" s="6"/>
      <c r="W51" s="6" t="s">
        <v>684</v>
      </c>
      <c r="X51" s="6" t="s">
        <v>203</v>
      </c>
      <c r="Y51" s="6" t="s">
        <v>148</v>
      </c>
      <c r="Z51" s="6" t="s">
        <v>142</v>
      </c>
      <c r="AA51" s="6" t="s">
        <v>115</v>
      </c>
      <c r="AB51" s="6"/>
      <c r="AC51" s="6"/>
      <c r="AD51" s="6" t="s">
        <v>115</v>
      </c>
      <c r="AE51" s="6" t="s">
        <v>116</v>
      </c>
      <c r="AF51" s="6"/>
      <c r="AG51" s="6"/>
      <c r="AH51" s="6" t="s">
        <v>116</v>
      </c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 t="s">
        <v>588</v>
      </c>
      <c r="AU51" s="7" t="str">
        <f>IF($AT51="","",IFERROR(INDEX(InstructorMap!$B:$B, MATCH($AT51, InstructorMap!$A:$A, 0)),""))</f>
        <v>gane@andrews.edu</v>
      </c>
      <c r="AV51" s="7" t="str">
        <f>IF($AT51="","",IFERROR(INDEX(InstructorMap!$C:$C, MATCH($AT51, InstructorMap!$A:$A, 0)),""))</f>
        <v>000008963</v>
      </c>
      <c r="AW51" s="6" t="s">
        <v>121</v>
      </c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 t="s">
        <v>519</v>
      </c>
      <c r="BI51" s="6" t="s">
        <v>124</v>
      </c>
      <c r="BJ51" s="6" t="s">
        <v>125</v>
      </c>
      <c r="BK51" s="6" t="s">
        <v>203</v>
      </c>
      <c r="BL51" s="6" t="s">
        <v>249</v>
      </c>
      <c r="BM51" s="6"/>
      <c r="BN51" s="6"/>
      <c r="BO51" s="6" t="s">
        <v>127</v>
      </c>
      <c r="BP51" s="6"/>
      <c r="BQ51" s="6"/>
      <c r="BR51" s="6"/>
      <c r="BS51" s="6"/>
      <c r="BT51" s="6" t="s">
        <v>128</v>
      </c>
      <c r="BU51" s="6" t="s">
        <v>129</v>
      </c>
      <c r="BV51" s="6" t="s">
        <v>129</v>
      </c>
      <c r="BW51" s="6" t="s">
        <v>130</v>
      </c>
      <c r="BX51" s="6"/>
      <c r="BY51" s="6"/>
      <c r="BZ51" s="6"/>
      <c r="CA51" s="6"/>
      <c r="CB51" s="6"/>
      <c r="CC51" s="6"/>
      <c r="CD51" s="6"/>
      <c r="CE51" s="6"/>
      <c r="CF51" s="6" t="s">
        <v>130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 t="s">
        <v>132</v>
      </c>
      <c r="CT51" s="6" t="s">
        <v>133</v>
      </c>
      <c r="CU51" s="6" t="s">
        <v>134</v>
      </c>
      <c r="CV51" s="6"/>
    </row>
    <row r="52" spans="1:100" x14ac:dyDescent="0.2">
      <c r="A52" s="38" t="b">
        <v>0</v>
      </c>
      <c r="B52" s="39" t="b">
        <v>0</v>
      </c>
      <c r="C52" s="39" t="b">
        <v>0</v>
      </c>
      <c r="D52" s="39" t="b">
        <v>0</v>
      </c>
      <c r="E52" s="39" t="b">
        <v>0</v>
      </c>
      <c r="F52" s="38" t="b">
        <v>0</v>
      </c>
      <c r="G52" s="36"/>
      <c r="H52" s="6" t="s">
        <v>688</v>
      </c>
      <c r="I52" s="6" t="s">
        <v>689</v>
      </c>
      <c r="J52" s="6" t="s">
        <v>519</v>
      </c>
      <c r="K52" s="6" t="s">
        <v>690</v>
      </c>
      <c r="L52" s="6" t="s">
        <v>137</v>
      </c>
      <c r="M52" s="6"/>
      <c r="N52" s="6" t="s">
        <v>691</v>
      </c>
      <c r="O52" s="6" t="s">
        <v>691</v>
      </c>
      <c r="P52" s="6"/>
      <c r="Q52" s="6"/>
      <c r="R52" s="6" t="s">
        <v>129</v>
      </c>
      <c r="S52" s="6"/>
      <c r="T52" s="6"/>
      <c r="U52" s="6"/>
      <c r="V52" s="6"/>
      <c r="W52" s="6" t="s">
        <v>692</v>
      </c>
      <c r="X52" s="6"/>
      <c r="Y52" s="6" t="s">
        <v>148</v>
      </c>
      <c r="Z52" s="6" t="s">
        <v>142</v>
      </c>
      <c r="AA52" s="6" t="s">
        <v>115</v>
      </c>
      <c r="AB52" s="6"/>
      <c r="AC52" s="6"/>
      <c r="AD52" s="6" t="s">
        <v>115</v>
      </c>
      <c r="AE52" s="6" t="s">
        <v>116</v>
      </c>
      <c r="AF52" s="6"/>
      <c r="AG52" s="6"/>
      <c r="AH52" s="6" t="s">
        <v>116</v>
      </c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 t="s">
        <v>685</v>
      </c>
      <c r="AU52" s="7" t="str">
        <f>IF($AT52="","",IFERROR(INDEX(InstructorMap!$B:$B, MATCH($AT52, InstructorMap!$A:$A, 0)),""))</f>
        <v>kuhn@andrews.edu</v>
      </c>
      <c r="AV52" s="7" t="str">
        <f>IF($AT52="","",IFERROR(INDEX(InstructorMap!$C:$C, MATCH($AT52, InstructorMap!$A:$A, 0)),""))</f>
        <v>000067555</v>
      </c>
      <c r="AW52" s="6" t="s">
        <v>121</v>
      </c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 t="s">
        <v>519</v>
      </c>
      <c r="BI52" s="6" t="s">
        <v>124</v>
      </c>
      <c r="BJ52" s="6" t="s">
        <v>125</v>
      </c>
      <c r="BK52" s="6"/>
      <c r="BL52" s="6" t="s">
        <v>119</v>
      </c>
      <c r="BM52" s="6"/>
      <c r="BN52" s="6"/>
      <c r="BO52" s="6" t="s">
        <v>127</v>
      </c>
      <c r="BP52" s="6"/>
      <c r="BQ52" s="6"/>
      <c r="BR52" s="6"/>
      <c r="BS52" s="6"/>
      <c r="BT52" s="6" t="s">
        <v>128</v>
      </c>
      <c r="BU52" s="6" t="s">
        <v>129</v>
      </c>
      <c r="BV52" s="6" t="s">
        <v>129</v>
      </c>
      <c r="BW52" s="6" t="s">
        <v>130</v>
      </c>
      <c r="BX52" s="6"/>
      <c r="BY52" s="6"/>
      <c r="BZ52" s="6"/>
      <c r="CA52" s="6"/>
      <c r="CB52" s="6"/>
      <c r="CC52" s="6"/>
      <c r="CD52" s="6"/>
      <c r="CE52" s="6"/>
      <c r="CF52" s="6" t="s">
        <v>130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 t="s">
        <v>132</v>
      </c>
      <c r="CT52" s="6" t="s">
        <v>133</v>
      </c>
      <c r="CU52" s="6" t="s">
        <v>134</v>
      </c>
      <c r="CV52" s="6"/>
    </row>
    <row r="53" spans="1:100" x14ac:dyDescent="0.2">
      <c r="A53" s="38" t="b">
        <v>0</v>
      </c>
      <c r="B53" s="39" t="b">
        <v>0</v>
      </c>
      <c r="C53" s="39" t="b">
        <v>0</v>
      </c>
      <c r="D53" s="39" t="b">
        <v>0</v>
      </c>
      <c r="E53" s="39" t="b">
        <v>0</v>
      </c>
      <c r="F53" s="38" t="b">
        <v>0</v>
      </c>
      <c r="G53" s="36"/>
      <c r="H53" s="6" t="s">
        <v>693</v>
      </c>
      <c r="I53" s="6" t="s">
        <v>694</v>
      </c>
      <c r="J53" s="6" t="s">
        <v>519</v>
      </c>
      <c r="K53" s="6" t="s">
        <v>514</v>
      </c>
      <c r="L53" s="6" t="s">
        <v>297</v>
      </c>
      <c r="M53" s="6"/>
      <c r="N53" s="6" t="s">
        <v>695</v>
      </c>
      <c r="O53" s="6" t="s">
        <v>695</v>
      </c>
      <c r="P53" s="6"/>
      <c r="Q53" s="6"/>
      <c r="R53" s="6" t="s">
        <v>129</v>
      </c>
      <c r="S53" s="6"/>
      <c r="T53" s="6"/>
      <c r="U53" s="6"/>
      <c r="V53" s="6"/>
      <c r="W53" s="6" t="s">
        <v>696</v>
      </c>
      <c r="X53" s="6"/>
      <c r="Y53" s="6" t="s">
        <v>148</v>
      </c>
      <c r="Z53" s="6" t="s">
        <v>142</v>
      </c>
      <c r="AA53" s="6" t="s">
        <v>115</v>
      </c>
      <c r="AB53" s="6"/>
      <c r="AC53" s="6"/>
      <c r="AD53" s="6" t="s">
        <v>115</v>
      </c>
      <c r="AE53" s="6" t="s">
        <v>116</v>
      </c>
      <c r="AF53" s="6"/>
      <c r="AG53" s="6"/>
      <c r="AH53" s="6" t="s">
        <v>116</v>
      </c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 t="s">
        <v>334</v>
      </c>
      <c r="AU53" s="7" t="str">
        <f>IF($AT53="","",IFERROR(INDEX(InstructorMap!$B:$B, MATCH($AT53, InstructorMap!$A:$A, 0)),""))</f>
        <v>fraserj@andrews.edu</v>
      </c>
      <c r="AV53" s="7" t="str">
        <f>IF($AT53="","",IFERROR(INDEX(InstructorMap!$C:$C, MATCH($AT53, InstructorMap!$A:$A, 0)),""))</f>
        <v>000129106</v>
      </c>
      <c r="AW53" s="6" t="s">
        <v>121</v>
      </c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 t="s">
        <v>519</v>
      </c>
      <c r="BI53" s="6" t="s">
        <v>124</v>
      </c>
      <c r="BJ53" s="6" t="s">
        <v>125</v>
      </c>
      <c r="BK53" s="6"/>
      <c r="BL53" s="6" t="s">
        <v>249</v>
      </c>
      <c r="BM53" s="6"/>
      <c r="BN53" s="6"/>
      <c r="BO53" s="6" t="s">
        <v>127</v>
      </c>
      <c r="BP53" s="6"/>
      <c r="BQ53" s="6" t="s">
        <v>511</v>
      </c>
      <c r="BR53" s="6"/>
      <c r="BS53" s="6"/>
      <c r="BT53" s="6" t="s">
        <v>128</v>
      </c>
      <c r="BU53" s="6" t="s">
        <v>129</v>
      </c>
      <c r="BV53" s="6" t="s">
        <v>129</v>
      </c>
      <c r="BW53" s="6" t="s">
        <v>130</v>
      </c>
      <c r="BX53" s="6"/>
      <c r="BY53" s="6"/>
      <c r="BZ53" s="6"/>
      <c r="CA53" s="6"/>
      <c r="CB53" s="6"/>
      <c r="CC53" s="6"/>
      <c r="CD53" s="6"/>
      <c r="CE53" s="6"/>
      <c r="CF53" s="6" t="s">
        <v>130</v>
      </c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 t="s">
        <v>132</v>
      </c>
      <c r="CT53" s="6" t="s">
        <v>133</v>
      </c>
      <c r="CU53" s="6" t="s">
        <v>134</v>
      </c>
      <c r="CV53" s="6"/>
    </row>
    <row r="54" spans="1:100" x14ac:dyDescent="0.2">
      <c r="A54" s="38" t="b">
        <v>0</v>
      </c>
      <c r="B54" s="39" t="b">
        <v>0</v>
      </c>
      <c r="C54" s="39" t="b">
        <v>0</v>
      </c>
      <c r="D54" s="39" t="b">
        <v>0</v>
      </c>
      <c r="E54" s="39" t="b">
        <v>0</v>
      </c>
      <c r="F54" s="38" t="b">
        <v>0</v>
      </c>
      <c r="G54" s="36"/>
      <c r="H54" s="6" t="s">
        <v>697</v>
      </c>
      <c r="I54" s="6" t="s">
        <v>698</v>
      </c>
      <c r="J54" s="6" t="s">
        <v>519</v>
      </c>
      <c r="K54" s="6" t="s">
        <v>514</v>
      </c>
      <c r="L54" s="6" t="s">
        <v>255</v>
      </c>
      <c r="M54" s="6"/>
      <c r="N54" s="6" t="s">
        <v>695</v>
      </c>
      <c r="O54" s="6" t="s">
        <v>695</v>
      </c>
      <c r="P54" s="6"/>
      <c r="Q54" s="6"/>
      <c r="R54" s="6" t="s">
        <v>129</v>
      </c>
      <c r="S54" s="6"/>
      <c r="T54" s="6"/>
      <c r="U54" s="6"/>
      <c r="V54" s="6"/>
      <c r="W54" s="6" t="s">
        <v>696</v>
      </c>
      <c r="X54" s="6"/>
      <c r="Y54" s="6" t="s">
        <v>148</v>
      </c>
      <c r="Z54" s="6" t="s">
        <v>142</v>
      </c>
      <c r="AA54" s="6" t="s">
        <v>115</v>
      </c>
      <c r="AB54" s="6"/>
      <c r="AC54" s="6"/>
      <c r="AD54" s="6" t="s">
        <v>115</v>
      </c>
      <c r="AE54" s="6" t="s">
        <v>116</v>
      </c>
      <c r="AF54" s="6"/>
      <c r="AG54" s="6"/>
      <c r="AH54" s="6" t="s">
        <v>116</v>
      </c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 t="s">
        <v>120</v>
      </c>
      <c r="AU54" s="7" t="str">
        <f>IF($AT54="","",IFERROR(INDEX(InstructorMap!$B:$B, MATCH($AT54, InstructorMap!$A:$A, 0)),""))</f>
        <v>jreeve@andrews.edu</v>
      </c>
      <c r="AV54" s="7" t="str">
        <f>IF($AT54="","",IFERROR(INDEX(InstructorMap!$C:$C, MATCH($AT54, InstructorMap!$A:$A, 0)),""))</f>
        <v>000049018</v>
      </c>
      <c r="AW54" s="6" t="s">
        <v>121</v>
      </c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 t="s">
        <v>519</v>
      </c>
      <c r="BI54" s="6" t="s">
        <v>124</v>
      </c>
      <c r="BJ54" s="6" t="s">
        <v>125</v>
      </c>
      <c r="BK54" s="6"/>
      <c r="BL54" s="6" t="s">
        <v>249</v>
      </c>
      <c r="BM54" s="6"/>
      <c r="BN54" s="6"/>
      <c r="BO54" s="6" t="s">
        <v>127</v>
      </c>
      <c r="BP54" s="6"/>
      <c r="BQ54" s="6" t="s">
        <v>511</v>
      </c>
      <c r="BR54" s="6"/>
      <c r="BS54" s="6"/>
      <c r="BT54" s="6" t="s">
        <v>128</v>
      </c>
      <c r="BU54" s="6" t="s">
        <v>129</v>
      </c>
      <c r="BV54" s="6" t="s">
        <v>129</v>
      </c>
      <c r="BW54" s="6" t="s">
        <v>130</v>
      </c>
      <c r="BX54" s="6"/>
      <c r="BY54" s="6"/>
      <c r="BZ54" s="6"/>
      <c r="CA54" s="6"/>
      <c r="CB54" s="6"/>
      <c r="CC54" s="6"/>
      <c r="CD54" s="6"/>
      <c r="CE54" s="6"/>
      <c r="CF54" s="6" t="s">
        <v>130</v>
      </c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 t="s">
        <v>132</v>
      </c>
      <c r="CT54" s="6" t="s">
        <v>133</v>
      </c>
      <c r="CU54" s="6" t="s">
        <v>134</v>
      </c>
      <c r="CV54" s="6"/>
    </row>
    <row r="55" spans="1:100" x14ac:dyDescent="0.2">
      <c r="A55" s="38" t="b">
        <v>0</v>
      </c>
      <c r="B55" s="39" t="b">
        <v>0</v>
      </c>
      <c r="C55" s="39" t="b">
        <v>0</v>
      </c>
      <c r="D55" s="39" t="b">
        <v>0</v>
      </c>
      <c r="E55" s="39" t="b">
        <v>0</v>
      </c>
      <c r="F55" s="38" t="b">
        <v>0</v>
      </c>
      <c r="G55" s="36"/>
      <c r="H55" s="6" t="s">
        <v>699</v>
      </c>
      <c r="I55" s="6" t="s">
        <v>700</v>
      </c>
      <c r="J55" s="6" t="s">
        <v>519</v>
      </c>
      <c r="K55" s="6" t="s">
        <v>514</v>
      </c>
      <c r="L55" s="6" t="s">
        <v>252</v>
      </c>
      <c r="M55" s="6"/>
      <c r="N55" s="6" t="s">
        <v>695</v>
      </c>
      <c r="O55" s="6" t="s">
        <v>695</v>
      </c>
      <c r="P55" s="6"/>
      <c r="Q55" s="6"/>
      <c r="R55" s="6" t="s">
        <v>129</v>
      </c>
      <c r="S55" s="6"/>
      <c r="T55" s="6"/>
      <c r="U55" s="6"/>
      <c r="V55" s="6"/>
      <c r="W55" s="6" t="s">
        <v>696</v>
      </c>
      <c r="X55" s="6"/>
      <c r="Y55" s="6" t="s">
        <v>148</v>
      </c>
      <c r="Z55" s="6" t="s">
        <v>142</v>
      </c>
      <c r="AA55" s="6" t="s">
        <v>115</v>
      </c>
      <c r="AB55" s="6"/>
      <c r="AC55" s="6"/>
      <c r="AD55" s="6" t="s">
        <v>115</v>
      </c>
      <c r="AE55" s="6" t="s">
        <v>116</v>
      </c>
      <c r="AF55" s="6"/>
      <c r="AG55" s="6"/>
      <c r="AH55" s="6" t="s">
        <v>116</v>
      </c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 t="s">
        <v>652</v>
      </c>
      <c r="AU55" s="7" t="str">
        <f>IF($AT55="","",IFERROR(INDEX(InstructorMap!$B:$B, MATCH($AT55, InstructorMap!$A:$A, 0)),""))</f>
        <v>younker@andrews.edu</v>
      </c>
      <c r="AV55" s="7" t="str">
        <f>IF($AT55="","",IFERROR(INDEX(InstructorMap!$C:$C, MATCH($AT55, InstructorMap!$A:$A, 0)),""))</f>
        <v>000042559</v>
      </c>
      <c r="AW55" s="6" t="s">
        <v>121</v>
      </c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 t="s">
        <v>519</v>
      </c>
      <c r="BI55" s="6" t="s">
        <v>124</v>
      </c>
      <c r="BJ55" s="6" t="s">
        <v>125</v>
      </c>
      <c r="BK55" s="6"/>
      <c r="BL55" s="6" t="s">
        <v>249</v>
      </c>
      <c r="BM55" s="6"/>
      <c r="BN55" s="6"/>
      <c r="BO55" s="6" t="s">
        <v>127</v>
      </c>
      <c r="BP55" s="6"/>
      <c r="BQ55" s="6" t="s">
        <v>511</v>
      </c>
      <c r="BR55" s="6"/>
      <c r="BS55" s="6"/>
      <c r="BT55" s="6" t="s">
        <v>128</v>
      </c>
      <c r="BU55" s="6" t="s">
        <v>129</v>
      </c>
      <c r="BV55" s="6" t="s">
        <v>129</v>
      </c>
      <c r="BW55" s="6" t="s">
        <v>130</v>
      </c>
      <c r="BX55" s="6"/>
      <c r="BY55" s="6"/>
      <c r="BZ55" s="6"/>
      <c r="CA55" s="6"/>
      <c r="CB55" s="6"/>
      <c r="CC55" s="6"/>
      <c r="CD55" s="6"/>
      <c r="CE55" s="6"/>
      <c r="CF55" s="6" t="s">
        <v>130</v>
      </c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 t="s">
        <v>132</v>
      </c>
      <c r="CT55" s="6" t="s">
        <v>133</v>
      </c>
      <c r="CU55" s="6" t="s">
        <v>134</v>
      </c>
      <c r="CV55" s="6"/>
    </row>
  </sheetData>
  <autoFilter ref="A1:CV55" xr:uid="{00000000-0009-0000-0000-000002000000}">
    <sortState xmlns:xlrd2="http://schemas.microsoft.com/office/spreadsheetml/2017/richdata2" ref="A2:CV55">
      <sortCondition ref="K1:K55"/>
    </sortState>
  </autoFilter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62">
        <x14:dataValidation type="list" allowBlank="1" xr:uid="{00000000-0002-0000-0200-000000000000}">
          <x14:formula1>
            <xm:f>DropDownMenu!$A$2:$A$3</xm:f>
          </x14:formula1>
          <xm:sqref>A56:A5000 A35 A21 A19 A15</xm:sqref>
        </x14:dataValidation>
        <x14:dataValidation type="list" allowBlank="1" xr:uid="{00000000-0002-0000-0200-000001000000}">
          <x14:formula1>
            <xm:f>DropDownMenu!$B$2:$B$3</xm:f>
          </x14:formula1>
          <xm:sqref>B56:B5000 B35 B21 B19 B15</xm:sqref>
        </x14:dataValidation>
        <x14:dataValidation type="list" allowBlank="1" xr:uid="{00000000-0002-0000-0200-000002000000}">
          <x14:formula1>
            <xm:f>DropDownMenu!$C$2:$C$3</xm:f>
          </x14:formula1>
          <xm:sqref>D56:D5000 D35 D21 D19 D15</xm:sqref>
        </x14:dataValidation>
        <x14:dataValidation type="list" allowBlank="1" xr:uid="{00000000-0002-0000-0200-000003000000}">
          <x14:formula1>
            <xm:f>DropDownMenu!$D$2:$D$3</xm:f>
          </x14:formula1>
          <xm:sqref>E56:E5000 E35 E21 E19 E15</xm:sqref>
        </x14:dataValidation>
        <x14:dataValidation type="list" allowBlank="1" xr:uid="{00000000-0002-0000-0200-000004000000}">
          <x14:formula1>
            <xm:f>DropDownMenu!$E$2:$E$3</xm:f>
          </x14:formula1>
          <xm:sqref>F56:F5000 F35 F21 F19 F15</xm:sqref>
        </x14:dataValidation>
        <x14:dataValidation type="list" allowBlank="1" xr:uid="{00000000-0002-0000-0200-000005000000}">
          <x14:formula1>
            <xm:f>DropDownMenu!$G$2:$G$19</xm:f>
          </x14:formula1>
          <xm:sqref>G2:G5000</xm:sqref>
        </x14:dataValidation>
        <x14:dataValidation type="list" allowBlank="1" xr:uid="{00000000-0002-0000-0200-000006000000}">
          <x14:formula1>
            <xm:f>DropDownMenu!$H$2:$H$564</xm:f>
          </x14:formula1>
          <xm:sqref>H2:H5000</xm:sqref>
        </x14:dataValidation>
        <x14:dataValidation type="list" allowBlank="1" xr:uid="{00000000-0002-0000-0200-000007000000}">
          <x14:formula1>
            <xm:f>DropDownMenu!$I$2:$I$352</xm:f>
          </x14:formula1>
          <xm:sqref>I2:I5000</xm:sqref>
        </x14:dataValidation>
        <x14:dataValidation type="list" allowBlank="1" xr:uid="{00000000-0002-0000-0200-000008000000}">
          <x14:formula1>
            <xm:f>DropDownMenu!$J$2:$J$10</xm:f>
          </x14:formula1>
          <xm:sqref>J2:J5000</xm:sqref>
        </x14:dataValidation>
        <x14:dataValidation type="list" allowBlank="1" xr:uid="{00000000-0002-0000-0200-000009000000}">
          <x14:formula1>
            <xm:f>DropDownMenu!$K$2:$K$101</xm:f>
          </x14:formula1>
          <xm:sqref>K2:K5000</xm:sqref>
        </x14:dataValidation>
        <x14:dataValidation type="list" allowBlank="1" xr:uid="{00000000-0002-0000-0200-00000A000000}">
          <x14:formula1>
            <xm:f>DropDownMenu!$L$2:$L$42</xm:f>
          </x14:formula1>
          <xm:sqref>L2:L5000</xm:sqref>
        </x14:dataValidation>
        <x14:dataValidation type="list" allowBlank="1" xr:uid="{00000000-0002-0000-0200-00000B000000}">
          <x14:formula1>
            <xm:f>DropDownMenu!$M$2:$M$16</xm:f>
          </x14:formula1>
          <xm:sqref>M2:M5000</xm:sqref>
        </x14:dataValidation>
        <x14:dataValidation type="list" allowBlank="1" xr:uid="{00000000-0002-0000-0200-00000C000000}">
          <x14:formula1>
            <xm:f>DropDownMenu!$N$2:$N$140</xm:f>
          </x14:formula1>
          <xm:sqref>N2:N5000</xm:sqref>
        </x14:dataValidation>
        <x14:dataValidation type="list" allowBlank="1" xr:uid="{00000000-0002-0000-0200-00000D000000}">
          <x14:formula1>
            <xm:f>DropDownMenu!$O$2:$O$65</xm:f>
          </x14:formula1>
          <xm:sqref>O2:O5000</xm:sqref>
        </x14:dataValidation>
        <x14:dataValidation type="list" allowBlank="1" xr:uid="{00000000-0002-0000-0200-00000E000000}">
          <x14:formula1>
            <xm:f>DropDownMenu!$P$2:$P$45</xm:f>
          </x14:formula1>
          <xm:sqref>Q2:Q5000</xm:sqref>
        </x14:dataValidation>
        <x14:dataValidation type="list" allowBlank="1" xr:uid="{00000000-0002-0000-0200-00000F000000}">
          <x14:formula1>
            <xm:f>DropDownMenu!$Q$2:$Q$5</xm:f>
          </x14:formula1>
          <xm:sqref>R2:R5000</xm:sqref>
        </x14:dataValidation>
        <x14:dataValidation type="list" allowBlank="1" xr:uid="{00000000-0002-0000-0200-000010000000}">
          <x14:formula1>
            <xm:f>DropDownMenu!$R$2:$R$7</xm:f>
          </x14:formula1>
          <xm:sqref>S2:S5000</xm:sqref>
        </x14:dataValidation>
        <x14:dataValidation type="list" allowBlank="1" xr:uid="{00000000-0002-0000-0200-000011000000}">
          <x14:formula1>
            <xm:f>DropDownMenu!$S$2:$S$11</xm:f>
          </x14:formula1>
          <xm:sqref>T2:T5000</xm:sqref>
        </x14:dataValidation>
        <x14:dataValidation type="list" allowBlank="1" xr:uid="{00000000-0002-0000-0200-000012000000}">
          <x14:formula1>
            <xm:f>DropDownMenu!$T$2:$T$13</xm:f>
          </x14:formula1>
          <xm:sqref>U2:U5000</xm:sqref>
        </x14:dataValidation>
        <x14:dataValidation type="list" allowBlank="1" xr:uid="{00000000-0002-0000-0200-000013000000}">
          <x14:formula1>
            <xm:f>DropDownMenu!$U$2:$U$5</xm:f>
          </x14:formula1>
          <xm:sqref>CR2:CR5000</xm:sqref>
        </x14:dataValidation>
        <x14:dataValidation type="list" allowBlank="1" xr:uid="{00000000-0002-0000-0200-000014000000}">
          <x14:formula1>
            <xm:f>DropDownMenu!$V$2:$V$4</xm:f>
          </x14:formula1>
          <xm:sqref>V2:V5000</xm:sqref>
        </x14:dataValidation>
        <x14:dataValidation type="list" allowBlank="1" xr:uid="{00000000-0002-0000-0200-000015000000}">
          <x14:formula1>
            <xm:f>DropDownMenu!$W$2:$W$6</xm:f>
          </x14:formula1>
          <xm:sqref>CU2:CU5000</xm:sqref>
        </x14:dataValidation>
        <x14:dataValidation type="list" allowBlank="1" xr:uid="{00000000-0002-0000-0200-000016000000}">
          <x14:formula1>
            <xm:f>DropDownMenu!$X$2:$X$26</xm:f>
          </x14:formula1>
          <xm:sqref>W2:W5000</xm:sqref>
        </x14:dataValidation>
        <x14:dataValidation type="list" allowBlank="1" xr:uid="{00000000-0002-0000-0200-000017000000}">
          <x14:formula1>
            <xm:f>DropDownMenu!$Y$2:$Y$7</xm:f>
          </x14:formula1>
          <xm:sqref>X2:X5000</xm:sqref>
        </x14:dataValidation>
        <x14:dataValidation type="list" allowBlank="1" xr:uid="{00000000-0002-0000-0200-000018000000}">
          <x14:formula1>
            <xm:f>DropDownMenu!$Z$2:$Z$15</xm:f>
          </x14:formula1>
          <xm:sqref>Y2:Y5000</xm:sqref>
        </x14:dataValidation>
        <x14:dataValidation type="list" allowBlank="1" xr:uid="{00000000-0002-0000-0200-000019000000}">
          <x14:formula1>
            <xm:f>DropDownMenu!$AA$2:$AA$6</xm:f>
          </x14:formula1>
          <xm:sqref>Z2:Z5000</xm:sqref>
        </x14:dataValidation>
        <x14:dataValidation type="list" allowBlank="1" xr:uid="{00000000-0002-0000-0200-00001A000000}">
          <x14:formula1>
            <xm:f>DropDownMenu!$AB$2:$AB$7</xm:f>
          </x14:formula1>
          <xm:sqref>AA2:AA5000</xm:sqref>
        </x14:dataValidation>
        <x14:dataValidation type="list" allowBlank="1" xr:uid="{00000000-0002-0000-0200-00001B000000}">
          <x14:formula1>
            <xm:f>DropDownMenu!$AC$2:$AC$49</xm:f>
          </x14:formula1>
          <xm:sqref>AD2:AD5000</xm:sqref>
        </x14:dataValidation>
        <x14:dataValidation type="list" allowBlank="1" xr:uid="{00000000-0002-0000-0200-00001C000000}">
          <x14:formula1>
            <xm:f>DropDownMenu!$AD$2:$AD$52</xm:f>
          </x14:formula1>
          <xm:sqref>AE2:AE5000</xm:sqref>
        </x14:dataValidation>
        <x14:dataValidation type="list" allowBlank="1" xr:uid="{00000000-0002-0000-0200-00001D000000}">
          <x14:formula1>
            <xm:f>DropDownMenu!$AE$2:$AE$9</xm:f>
          </x14:formula1>
          <xm:sqref>AH2:AH5000</xm:sqref>
        </x14:dataValidation>
        <x14:dataValidation type="list" allowBlank="1" xr:uid="{00000000-0002-0000-0200-00001E000000}">
          <x14:formula1>
            <xm:f>DropDownMenu!$AF$2:$AF$6</xm:f>
          </x14:formula1>
          <xm:sqref>AI2:AI5000</xm:sqref>
        </x14:dataValidation>
        <x14:dataValidation type="list" allowBlank="1" xr:uid="{00000000-0002-0000-0200-00001F000000}">
          <x14:formula1>
            <xm:f>DropDownMenu!$AG$2:$AG$11</xm:f>
          </x14:formula1>
          <xm:sqref>AJ2:AJ5000</xm:sqref>
        </x14:dataValidation>
        <x14:dataValidation type="list" allowBlank="1" xr:uid="{00000000-0002-0000-0200-000020000000}">
          <x14:formula1>
            <xm:f>DropDownMenu!$AH$2:$AH$2</xm:f>
          </x14:formula1>
          <xm:sqref>AK2:AK5000</xm:sqref>
        </x14:dataValidation>
        <x14:dataValidation type="list" allowBlank="1" xr:uid="{00000000-0002-0000-0200-000021000000}">
          <x14:formula1>
            <xm:f>DropDownMenu!$AI$2:$AI$2</xm:f>
          </x14:formula1>
          <xm:sqref>AL2:AL5000</xm:sqref>
        </x14:dataValidation>
        <x14:dataValidation type="list" allowBlank="1" xr:uid="{00000000-0002-0000-0200-000022000000}">
          <x14:formula1>
            <xm:f>DropDownMenu!$AJ$2:$AJ$2</xm:f>
          </x14:formula1>
          <xm:sqref>AM2:AM5000</xm:sqref>
        </x14:dataValidation>
        <x14:dataValidation type="list" allowBlank="1" xr:uid="{00000000-0002-0000-0200-000023000000}">
          <x14:formula1>
            <xm:f>DropDownMenu!$AK$2:$AK$2</xm:f>
          </x14:formula1>
          <xm:sqref>AN2:AN5000</xm:sqref>
        </x14:dataValidation>
        <x14:dataValidation type="list" allowBlank="1" xr:uid="{00000000-0002-0000-0200-000024000000}">
          <x14:formula1>
            <xm:f>DropDownMenu!$AL$2:$AL$2</xm:f>
          </x14:formula1>
          <xm:sqref>AO2:AO5000</xm:sqref>
        </x14:dataValidation>
        <x14:dataValidation type="list" allowBlank="1" xr:uid="{00000000-0002-0000-0200-000025000000}">
          <x14:formula1>
            <xm:f>DropDownMenu!$AM$2:$AM$5</xm:f>
          </x14:formula1>
          <xm:sqref>CS2:CS5000</xm:sqref>
        </x14:dataValidation>
        <x14:dataValidation type="list" allowBlank="1" xr:uid="{00000000-0002-0000-0200-000026000000}">
          <x14:formula1>
            <xm:f>DropDownMenu!$AN$2:$AN$13</xm:f>
          </x14:formula1>
          <xm:sqref>AR2:AR5000</xm:sqref>
        </x14:dataValidation>
        <x14:dataValidation type="list" allowBlank="1" xr:uid="{00000000-0002-0000-0200-000027000000}">
          <x14:formula1>
            <xm:f>DropDownMenu!$AO$2:$AO$40</xm:f>
          </x14:formula1>
          <xm:sqref>AS2:AS5000</xm:sqref>
        </x14:dataValidation>
        <x14:dataValidation type="list" allowBlank="1" xr:uid="{00000000-0002-0000-0200-000028000000}">
          <x14:formula1>
            <xm:f>DropDownMenu!$AP$2:$AP$274</xm:f>
          </x14:formula1>
          <xm:sqref>AT2:AT5000</xm:sqref>
        </x14:dataValidation>
        <x14:dataValidation type="list" allowBlank="1" xr:uid="{00000000-0002-0000-0200-000029000000}">
          <x14:formula1>
            <xm:f>DropDownMenu!$AQ$2:$AQ$9</xm:f>
          </x14:formula1>
          <xm:sqref>BB2:BB5000</xm:sqref>
        </x14:dataValidation>
        <x14:dataValidation type="list" allowBlank="1" xr:uid="{00000000-0002-0000-0200-00002A000000}">
          <x14:formula1>
            <xm:f>DropDownMenu!$AR$2:$AR$11</xm:f>
          </x14:formula1>
          <xm:sqref>BC2:BC5000</xm:sqref>
        </x14:dataValidation>
        <x14:dataValidation type="list" allowBlank="1" xr:uid="{00000000-0002-0000-0200-00002B000000}">
          <x14:formula1>
            <xm:f>DropDownMenu!$AS$2:$AS$3</xm:f>
          </x14:formula1>
          <xm:sqref>BD2:BD5000</xm:sqref>
        </x14:dataValidation>
        <x14:dataValidation type="list" allowBlank="1" xr:uid="{00000000-0002-0000-0200-00002C000000}">
          <x14:formula1>
            <xm:f>DropDownMenu!$AT$2:$AT$4</xm:f>
          </x14:formula1>
          <xm:sqref>BE2:BE5000</xm:sqref>
        </x14:dataValidation>
        <x14:dataValidation type="list" allowBlank="1" xr:uid="{00000000-0002-0000-0200-00002D000000}">
          <x14:formula1>
            <xm:f>DropDownMenu!$AU$2:$AU$2</xm:f>
          </x14:formula1>
          <xm:sqref>BG2:BG5000</xm:sqref>
        </x14:dataValidation>
        <x14:dataValidation type="list" allowBlank="1" xr:uid="{00000000-0002-0000-0200-00002E000000}">
          <x14:formula1>
            <xm:f>DropDownMenu!$AV$2:$AV$9</xm:f>
          </x14:formula1>
          <xm:sqref>BH2:BH5000</xm:sqref>
        </x14:dataValidation>
        <x14:dataValidation type="list" allowBlank="1" xr:uid="{00000000-0002-0000-0200-00002F000000}">
          <x14:formula1>
            <xm:f>DropDownMenu!$AW$2:$AW$81</xm:f>
          </x14:formula1>
          <xm:sqref>BI2:BI5000</xm:sqref>
        </x14:dataValidation>
        <x14:dataValidation type="list" allowBlank="1" xr:uid="{00000000-0002-0000-0200-000030000000}">
          <x14:formula1>
            <xm:f>DropDownMenu!$AX$2:$AX$3</xm:f>
          </x14:formula1>
          <xm:sqref>BJ2:BJ5000</xm:sqref>
        </x14:dataValidation>
        <x14:dataValidation type="list" allowBlank="1" xr:uid="{00000000-0002-0000-0200-000031000000}">
          <x14:formula1>
            <xm:f>DropDownMenu!$AY$2:$AY$7</xm:f>
          </x14:formula1>
          <xm:sqref>BK2:BK5000</xm:sqref>
        </x14:dataValidation>
        <x14:dataValidation type="list" allowBlank="1" xr:uid="{00000000-0002-0000-0200-000032000000}">
          <x14:formula1>
            <xm:f>DropDownMenu!$AZ$2:$AZ$9</xm:f>
          </x14:formula1>
          <xm:sqref>BL2:BL5000</xm:sqref>
        </x14:dataValidation>
        <x14:dataValidation type="list" allowBlank="1" xr:uid="{00000000-0002-0000-0200-000033000000}">
          <x14:formula1>
            <xm:f>DropDownMenu!$BA$2:$BA$9</xm:f>
          </x14:formula1>
          <xm:sqref>BM2:BM5000</xm:sqref>
        </x14:dataValidation>
        <x14:dataValidation type="list" allowBlank="1" xr:uid="{00000000-0002-0000-0200-000034000000}">
          <x14:formula1>
            <xm:f>DropDownMenu!$BB$2:$BB$3</xm:f>
          </x14:formula1>
          <xm:sqref>BN2:BN5000</xm:sqref>
        </x14:dataValidation>
        <x14:dataValidation type="list" allowBlank="1" xr:uid="{00000000-0002-0000-0200-000035000000}">
          <x14:formula1>
            <xm:f>DropDownMenu!$BC$2:$BC$2</xm:f>
          </x14:formula1>
          <xm:sqref>BO2:BO5000</xm:sqref>
        </x14:dataValidation>
        <x14:dataValidation type="list" allowBlank="1" xr:uid="{00000000-0002-0000-0200-000036000000}">
          <x14:formula1>
            <xm:f>DropDownMenu!$BD$2:$BD$29</xm:f>
          </x14:formula1>
          <xm:sqref>BQ2:BQ5000</xm:sqref>
        </x14:dataValidation>
        <x14:dataValidation type="list" allowBlank="1" xr:uid="{00000000-0002-0000-0200-000037000000}">
          <x14:formula1>
            <xm:f>DropDownMenu!$BE$2:$BE$2</xm:f>
          </x14:formula1>
          <xm:sqref>BT2:BT5000</xm:sqref>
        </x14:dataValidation>
        <x14:dataValidation type="list" allowBlank="1" xr:uid="{00000000-0002-0000-0200-000038000000}">
          <x14:formula1>
            <xm:f>DropDownMenu!$BF$2:$BF$33</xm:f>
          </x14:formula1>
          <xm:sqref>BU2:BU5000</xm:sqref>
        </x14:dataValidation>
        <x14:dataValidation type="list" allowBlank="1" xr:uid="{00000000-0002-0000-0200-000039000000}">
          <x14:formula1>
            <xm:f>DropDownMenu!$BG$2:$BG$2</xm:f>
          </x14:formula1>
          <xm:sqref>BV2:BV5000</xm:sqref>
        </x14:dataValidation>
        <x14:dataValidation type="list" allowBlank="1" xr:uid="{00000000-0002-0000-0200-00003A000000}">
          <x14:formula1>
            <xm:f>DropDownMenu!$BH$2:$BH$4</xm:f>
          </x14:formula1>
          <xm:sqref>AW2:AW5000</xm:sqref>
        </x14:dataValidation>
        <x14:dataValidation type="list" allowBlank="1" xr:uid="{00000000-0002-0000-0200-00003B000000}">
          <x14:formula1>
            <xm:f>DropDownMenu!$BI$2:$BI$2</xm:f>
          </x14:formula1>
          <xm:sqref>BW2:BW5000</xm:sqref>
        </x14:dataValidation>
        <x14:dataValidation type="list" allowBlank="1" xr:uid="{00000000-0002-0000-0200-00003C000000}">
          <x14:formula1>
            <xm:f>DropDownMenu!$BJ$2:$BJ$2</xm:f>
          </x14:formula1>
          <xm:sqref>BX2:BX5000</xm:sqref>
        </x14:dataValidation>
        <x14:dataValidation type="list" allowBlank="1" xr:uid="{00000000-0002-0000-0200-00003D000000}">
          <x14:formula1>
            <xm:f>DropDownMenu!$BK$2:$BK$2</xm:f>
          </x14:formula1>
          <xm:sqref>BY2:BY5000</xm:sqref>
        </x14:dataValidation>
        <x14:dataValidation type="list" allowBlank="1" xr:uid="{00000000-0002-0000-0200-00003E000000}">
          <x14:formula1>
            <xm:f>DropDownMenu!$BL$2:$BL$8</xm:f>
          </x14:formula1>
          <xm:sqref>BZ2:BZ5000</xm:sqref>
        </x14:dataValidation>
        <x14:dataValidation type="list" allowBlank="1" xr:uid="{00000000-0002-0000-0200-00003F000000}">
          <x14:formula1>
            <xm:f>DropDownMenu!$BM$2:$BM$8</xm:f>
          </x14:formula1>
          <xm:sqref>CA2:CA5000</xm:sqref>
        </x14:dataValidation>
        <x14:dataValidation type="list" allowBlank="1" xr:uid="{00000000-0002-0000-0200-000040000000}">
          <x14:formula1>
            <xm:f>DropDownMenu!$BN$2:$BN$8</xm:f>
          </x14:formula1>
          <xm:sqref>CB2:CB5000</xm:sqref>
        </x14:dataValidation>
        <x14:dataValidation type="list" allowBlank="1" xr:uid="{00000000-0002-0000-0200-000041000000}">
          <x14:formula1>
            <xm:f>DropDownMenu!$BO$2:$BO$6</xm:f>
          </x14:formula1>
          <xm:sqref>CC2:CC5000</xm:sqref>
        </x14:dataValidation>
        <x14:dataValidation type="list" allowBlank="1" xr:uid="{00000000-0002-0000-0200-000042000000}">
          <x14:formula1>
            <xm:f>DropDownMenu!$BP$2:$BP$2</xm:f>
          </x14:formula1>
          <xm:sqref>CD2:CD5000</xm:sqref>
        </x14:dataValidation>
        <x14:dataValidation type="list" allowBlank="1" xr:uid="{00000000-0002-0000-0200-000043000000}">
          <x14:formula1>
            <xm:f>DropDownMenu!$BQ$2:$BQ$2</xm:f>
          </x14:formula1>
          <xm:sqref>CE2:CE5000</xm:sqref>
        </x14:dataValidation>
        <x14:dataValidation type="list" allowBlank="1" xr:uid="{00000000-0002-0000-0200-000044000000}">
          <x14:formula1>
            <xm:f>DropDownMenu!$BR$2:$BR$2</xm:f>
          </x14:formula1>
          <xm:sqref>CF2:CF5000</xm:sqref>
        </x14:dataValidation>
        <x14:dataValidation type="list" allowBlank="1" xr:uid="{00000000-0002-0000-0200-000045000000}">
          <x14:formula1>
            <xm:f>DropDownMenu!$BS$2:$BS$2</xm:f>
          </x14:formula1>
          <xm:sqref>CG2:CG5000</xm:sqref>
        </x14:dataValidation>
        <x14:dataValidation type="list" allowBlank="1" xr:uid="{00000000-0002-0000-0200-000046000000}">
          <x14:formula1>
            <xm:f>DropDownMenu!$BT$2:$BT$2</xm:f>
          </x14:formula1>
          <xm:sqref>CH2:CH5000</xm:sqref>
        </x14:dataValidation>
        <x14:dataValidation type="list" allowBlank="1" xr:uid="{00000000-0002-0000-0200-000047000000}">
          <x14:formula1>
            <xm:f>DropDownMenu!$BU$2:$BU$2</xm:f>
          </x14:formula1>
          <xm:sqref>CN2:CN5000</xm:sqref>
        </x14:dataValidation>
        <x14:dataValidation type="list" allowBlank="1" xr:uid="{00000000-0002-0000-0200-000048000000}">
          <x14:formula1>
            <xm:f>DropDownMenu!$BV$2:$BV$2</xm:f>
          </x14:formula1>
          <xm:sqref>CO2:CO5000</xm:sqref>
        </x14:dataValidation>
        <x14:dataValidation type="list" allowBlank="1" xr:uid="{00000000-0002-0000-0200-000049000000}">
          <x14:formula1>
            <xm:f>DropDownMenu!$BW$2:$BW$2</xm:f>
          </x14:formula1>
          <xm:sqref>CQ2:CQ5000</xm:sqref>
        </x14:dataValidation>
        <x14:dataValidation type="list" allowBlank="1" xr:uid="{00000000-0002-0000-0200-00004A000000}">
          <x14:formula1>
            <xm:f>DropDownMenu!$BX$2:$BX$2</xm:f>
          </x14:formula1>
          <xm:sqref>CT2:CT5000</xm:sqref>
        </x14:dataValidation>
        <x14:dataValidation type="list" allowBlank="1" xr:uid="{00000000-0002-0000-0200-00004B000000}">
          <x14:formula1>
            <xm:f>DropDownMenu!$BY$2:$BY$77</xm:f>
          </x14:formula1>
          <xm:sqref>AU2:AU5000</xm:sqref>
        </x14:dataValidation>
        <x14:dataValidation type="list" allowBlank="1" xr:uid="{00000000-0002-0000-0200-00004C000000}">
          <x14:formula1>
            <xm:f>DropDownMenu!$BZ$2:$BZ$3</xm:f>
          </x14:formula1>
          <xm:sqref>CV2:CV5000</xm:sqref>
        </x14:dataValidation>
        <x14:dataValidation type="list" allowBlank="1" xr:uid="{00000000-0002-0000-0200-00004D000000}">
          <x14:formula1>
            <xm:f>DropDownMenu!$CA$2:$CA$77</xm:f>
          </x14:formula1>
          <xm:sqref>AV2:AV5000</xm:sqref>
        </x14:dataValidation>
        <x14:dataValidation type="list" allowBlank="1" xr:uid="{00000000-0002-0000-0200-00004E000000}">
          <x14:formula1>
            <xm:f>DropDownMenu!$CB$2:$CB$3</xm:f>
          </x14:formula1>
          <xm:sqref>AX2:AX5000</xm:sqref>
        </x14:dataValidation>
        <x14:dataValidation type="list" allowBlank="1" xr:uid="{00000000-0002-0000-0200-00004F000000}">
          <x14:formula1>
            <xm:f>DropDownMenu!$CC$2:$CC$3</xm:f>
          </x14:formula1>
          <xm:sqref>AY2:AY5000</xm:sqref>
        </x14:dataValidation>
        <x14:dataValidation type="list" allowBlank="1" xr:uid="{00000000-0002-0000-0200-000050000000}">
          <x14:formula1>
            <xm:f>DropDownMenu!$CD$2:$CD$10</xm:f>
          </x14:formula1>
          <xm:sqref>BA2:BA5000</xm:sqref>
        </x14:dataValidation>
        <x14:dataValidation type="list" allowBlank="1" showInputMessage="1" showErrorMessage="1" xr:uid="{00000000-0002-0000-0200-000051000000}">
          <x14:formula1>
            <xm:f>DropDownMenu!$A$2:$A$3</xm:f>
          </x14:formula1>
          <xm:sqref>A56:A5000 A35 A21 A19 A15</xm:sqref>
        </x14:dataValidation>
        <x14:dataValidation type="list" allowBlank="1" showInputMessage="1" showErrorMessage="1" xr:uid="{00000000-0002-0000-0200-000052000000}">
          <x14:formula1>
            <xm:f>DropDownMenu!$B$2:$B$3</xm:f>
          </x14:formula1>
          <xm:sqref>B56:B5000 B35 B21 B19 B15</xm:sqref>
        </x14:dataValidation>
        <x14:dataValidation type="list" allowBlank="1" showInputMessage="1" showErrorMessage="1" xr:uid="{00000000-0002-0000-0200-000053000000}">
          <x14:formula1>
            <xm:f>DropDownMenu!$C$2:$C$3</xm:f>
          </x14:formula1>
          <xm:sqref>D56:D5000 D35 D21 D19 D15</xm:sqref>
        </x14:dataValidation>
        <x14:dataValidation type="list" allowBlank="1" showInputMessage="1" showErrorMessage="1" xr:uid="{00000000-0002-0000-0200-000054000000}">
          <x14:formula1>
            <xm:f>DropDownMenu!$D$2:$D$3</xm:f>
          </x14:formula1>
          <xm:sqref>E56:E5000 E35 E21 E19 E15</xm:sqref>
        </x14:dataValidation>
        <x14:dataValidation type="list" allowBlank="1" showInputMessage="1" showErrorMessage="1" xr:uid="{00000000-0002-0000-0200-000055000000}">
          <x14:formula1>
            <xm:f>DropDownMenu!$E$2:$E$3</xm:f>
          </x14:formula1>
          <xm:sqref>F56:F5000 F35 F21 F19 F15</xm:sqref>
        </x14:dataValidation>
        <x14:dataValidation type="list" allowBlank="1" showInputMessage="1" showErrorMessage="1" xr:uid="{00000000-0002-0000-0200-000056000000}">
          <x14:formula1>
            <xm:f>DropDownMenu!$G$2:$G$19</xm:f>
          </x14:formula1>
          <xm:sqref>G2:G5000</xm:sqref>
        </x14:dataValidation>
        <x14:dataValidation type="list" allowBlank="1" showInputMessage="1" showErrorMessage="1" xr:uid="{00000000-0002-0000-0200-000057000000}">
          <x14:formula1>
            <xm:f>DropDownMenu!$H$2:$H$564</xm:f>
          </x14:formula1>
          <xm:sqref>H2:H5000</xm:sqref>
        </x14:dataValidation>
        <x14:dataValidation type="list" allowBlank="1" showInputMessage="1" showErrorMessage="1" xr:uid="{00000000-0002-0000-0200-000058000000}">
          <x14:formula1>
            <xm:f>DropDownMenu!$I$2:$I$352</xm:f>
          </x14:formula1>
          <xm:sqref>I2:I5000</xm:sqref>
        </x14:dataValidation>
        <x14:dataValidation type="list" allowBlank="1" showInputMessage="1" showErrorMessage="1" xr:uid="{00000000-0002-0000-0200-000059000000}">
          <x14:formula1>
            <xm:f>DropDownMenu!$J$2:$J$10</xm:f>
          </x14:formula1>
          <xm:sqref>J2:J5000</xm:sqref>
        </x14:dataValidation>
        <x14:dataValidation type="list" allowBlank="1" showInputMessage="1" showErrorMessage="1" xr:uid="{00000000-0002-0000-0200-00005A000000}">
          <x14:formula1>
            <xm:f>DropDownMenu!$K$2:$K$101</xm:f>
          </x14:formula1>
          <xm:sqref>K2:K5000</xm:sqref>
        </x14:dataValidation>
        <x14:dataValidation type="list" allowBlank="1" showInputMessage="1" showErrorMessage="1" xr:uid="{00000000-0002-0000-0200-00005B000000}">
          <x14:formula1>
            <xm:f>DropDownMenu!$L$2:$L$42</xm:f>
          </x14:formula1>
          <xm:sqref>L2:L5000</xm:sqref>
        </x14:dataValidation>
        <x14:dataValidation type="list" allowBlank="1" showInputMessage="1" showErrorMessage="1" xr:uid="{00000000-0002-0000-0200-00005C000000}">
          <x14:formula1>
            <xm:f>DropDownMenu!$M$2:$M$16</xm:f>
          </x14:formula1>
          <xm:sqref>M2:M5000</xm:sqref>
        </x14:dataValidation>
        <x14:dataValidation type="list" allowBlank="1" showInputMessage="1" showErrorMessage="1" xr:uid="{00000000-0002-0000-0200-00005D000000}">
          <x14:formula1>
            <xm:f>DropDownMenu!$N$2:$N$140</xm:f>
          </x14:formula1>
          <xm:sqref>N2:N5000</xm:sqref>
        </x14:dataValidation>
        <x14:dataValidation type="list" allowBlank="1" showInputMessage="1" showErrorMessage="1" xr:uid="{00000000-0002-0000-0200-00005E000000}">
          <x14:formula1>
            <xm:f>DropDownMenu!$O$2:$O$65</xm:f>
          </x14:formula1>
          <xm:sqref>O2:O5000</xm:sqref>
        </x14:dataValidation>
        <x14:dataValidation type="list" allowBlank="1" showInputMessage="1" showErrorMessage="1" xr:uid="{00000000-0002-0000-0200-00005F000000}">
          <x14:formula1>
            <xm:f>DropDownMenu!$P$2:$P$45</xm:f>
          </x14:formula1>
          <xm:sqref>Q2:Q5000</xm:sqref>
        </x14:dataValidation>
        <x14:dataValidation type="list" allowBlank="1" showInputMessage="1" showErrorMessage="1" xr:uid="{00000000-0002-0000-0200-000060000000}">
          <x14:formula1>
            <xm:f>DropDownMenu!$Q$2:$Q$5</xm:f>
          </x14:formula1>
          <xm:sqref>R2:R5000</xm:sqref>
        </x14:dataValidation>
        <x14:dataValidation type="list" allowBlank="1" showInputMessage="1" showErrorMessage="1" xr:uid="{00000000-0002-0000-0200-000061000000}">
          <x14:formula1>
            <xm:f>DropDownMenu!$R$2:$R$7</xm:f>
          </x14:formula1>
          <xm:sqref>S2:S5000</xm:sqref>
        </x14:dataValidation>
        <x14:dataValidation type="list" allowBlank="1" showInputMessage="1" showErrorMessage="1" xr:uid="{00000000-0002-0000-0200-000062000000}">
          <x14:formula1>
            <xm:f>DropDownMenu!$S$2:$S$11</xm:f>
          </x14:formula1>
          <xm:sqref>T2:T5000</xm:sqref>
        </x14:dataValidation>
        <x14:dataValidation type="list" allowBlank="1" showInputMessage="1" showErrorMessage="1" xr:uid="{00000000-0002-0000-0200-000063000000}">
          <x14:formula1>
            <xm:f>DropDownMenu!$T$2:$T$13</xm:f>
          </x14:formula1>
          <xm:sqref>U2:U5000</xm:sqref>
        </x14:dataValidation>
        <x14:dataValidation type="list" allowBlank="1" showInputMessage="1" showErrorMessage="1" xr:uid="{00000000-0002-0000-0200-000064000000}">
          <x14:formula1>
            <xm:f>DropDownMenu!$U$2:$U$5</xm:f>
          </x14:formula1>
          <xm:sqref>CR2:CR5000</xm:sqref>
        </x14:dataValidation>
        <x14:dataValidation type="list" allowBlank="1" showInputMessage="1" showErrorMessage="1" xr:uid="{00000000-0002-0000-0200-000065000000}">
          <x14:formula1>
            <xm:f>DropDownMenu!$V$2:$V$4</xm:f>
          </x14:formula1>
          <xm:sqref>V2:V5000</xm:sqref>
        </x14:dataValidation>
        <x14:dataValidation type="list" allowBlank="1" showInputMessage="1" showErrorMessage="1" xr:uid="{00000000-0002-0000-0200-000066000000}">
          <x14:formula1>
            <xm:f>DropDownMenu!$W$2:$W$6</xm:f>
          </x14:formula1>
          <xm:sqref>CU2:CU5000</xm:sqref>
        </x14:dataValidation>
        <x14:dataValidation type="list" allowBlank="1" showInputMessage="1" showErrorMessage="1" xr:uid="{00000000-0002-0000-0200-000067000000}">
          <x14:formula1>
            <xm:f>DropDownMenu!$X$2:$X$26</xm:f>
          </x14:formula1>
          <xm:sqref>W2:W5000</xm:sqref>
        </x14:dataValidation>
        <x14:dataValidation type="list" allowBlank="1" showInputMessage="1" showErrorMessage="1" xr:uid="{00000000-0002-0000-0200-000068000000}">
          <x14:formula1>
            <xm:f>DropDownMenu!$Y$2:$Y$7</xm:f>
          </x14:formula1>
          <xm:sqref>X2:X5000</xm:sqref>
        </x14:dataValidation>
        <x14:dataValidation type="list" allowBlank="1" showInputMessage="1" showErrorMessage="1" xr:uid="{00000000-0002-0000-0200-000069000000}">
          <x14:formula1>
            <xm:f>DropDownMenu!$Z$2:$Z$15</xm:f>
          </x14:formula1>
          <xm:sqref>Y2:Y5000</xm:sqref>
        </x14:dataValidation>
        <x14:dataValidation type="list" allowBlank="1" showInputMessage="1" showErrorMessage="1" xr:uid="{00000000-0002-0000-0200-00006A000000}">
          <x14:formula1>
            <xm:f>DropDownMenu!$AA$2:$AA$6</xm:f>
          </x14:formula1>
          <xm:sqref>Z2:Z5000</xm:sqref>
        </x14:dataValidation>
        <x14:dataValidation type="list" allowBlank="1" showInputMessage="1" showErrorMessage="1" xr:uid="{00000000-0002-0000-0200-00006B000000}">
          <x14:formula1>
            <xm:f>DropDownMenu!$AB$2:$AB$7</xm:f>
          </x14:formula1>
          <xm:sqref>AA2:AA5000</xm:sqref>
        </x14:dataValidation>
        <x14:dataValidation type="list" allowBlank="1" showInputMessage="1" showErrorMessage="1" xr:uid="{00000000-0002-0000-0200-00006C000000}">
          <x14:formula1>
            <xm:f>DropDownMenu!$AC$2:$AC$49</xm:f>
          </x14:formula1>
          <xm:sqref>AD2:AD5000</xm:sqref>
        </x14:dataValidation>
        <x14:dataValidation type="list" allowBlank="1" showInputMessage="1" showErrorMessage="1" xr:uid="{00000000-0002-0000-0200-00006D000000}">
          <x14:formula1>
            <xm:f>DropDownMenu!$AD$2:$AD$52</xm:f>
          </x14:formula1>
          <xm:sqref>AE2:AE5000</xm:sqref>
        </x14:dataValidation>
        <x14:dataValidation type="list" allowBlank="1" showInputMessage="1" showErrorMessage="1" xr:uid="{00000000-0002-0000-0200-00006E000000}">
          <x14:formula1>
            <xm:f>DropDownMenu!$AE$2:$AE$9</xm:f>
          </x14:formula1>
          <xm:sqref>AH2:AH5000</xm:sqref>
        </x14:dataValidation>
        <x14:dataValidation type="list" allowBlank="1" showInputMessage="1" showErrorMessage="1" xr:uid="{00000000-0002-0000-0200-00006F000000}">
          <x14:formula1>
            <xm:f>DropDownMenu!$AF$2:$AF$6</xm:f>
          </x14:formula1>
          <xm:sqref>AI2:AI5000</xm:sqref>
        </x14:dataValidation>
        <x14:dataValidation type="list" allowBlank="1" showInputMessage="1" showErrorMessage="1" xr:uid="{00000000-0002-0000-0200-000070000000}">
          <x14:formula1>
            <xm:f>DropDownMenu!$AG$2:$AG$11</xm:f>
          </x14:formula1>
          <xm:sqref>AJ2:AJ5000</xm:sqref>
        </x14:dataValidation>
        <x14:dataValidation type="list" allowBlank="1" showInputMessage="1" showErrorMessage="1" xr:uid="{00000000-0002-0000-0200-000071000000}">
          <x14:formula1>
            <xm:f>DropDownMenu!$AH$2:$AH$2</xm:f>
          </x14:formula1>
          <xm:sqref>AK2:AK5000</xm:sqref>
        </x14:dataValidation>
        <x14:dataValidation type="list" allowBlank="1" showInputMessage="1" showErrorMessage="1" xr:uid="{00000000-0002-0000-0200-000072000000}">
          <x14:formula1>
            <xm:f>DropDownMenu!$AI$2:$AI$2</xm:f>
          </x14:formula1>
          <xm:sqref>AL2:AL5000</xm:sqref>
        </x14:dataValidation>
        <x14:dataValidation type="list" allowBlank="1" showInputMessage="1" showErrorMessage="1" xr:uid="{00000000-0002-0000-0200-000073000000}">
          <x14:formula1>
            <xm:f>DropDownMenu!$AJ$2:$AJ$2</xm:f>
          </x14:formula1>
          <xm:sqref>AM2:AM5000</xm:sqref>
        </x14:dataValidation>
        <x14:dataValidation type="list" allowBlank="1" showInputMessage="1" showErrorMessage="1" xr:uid="{00000000-0002-0000-0200-000074000000}">
          <x14:formula1>
            <xm:f>DropDownMenu!$AK$2:$AK$2</xm:f>
          </x14:formula1>
          <xm:sqref>AN2:AN5000</xm:sqref>
        </x14:dataValidation>
        <x14:dataValidation type="list" allowBlank="1" showInputMessage="1" showErrorMessage="1" xr:uid="{00000000-0002-0000-0200-000075000000}">
          <x14:formula1>
            <xm:f>DropDownMenu!$AL$2:$AL$2</xm:f>
          </x14:formula1>
          <xm:sqref>AO2:AO5000</xm:sqref>
        </x14:dataValidation>
        <x14:dataValidation type="list" allowBlank="1" showInputMessage="1" showErrorMessage="1" xr:uid="{00000000-0002-0000-0200-000076000000}">
          <x14:formula1>
            <xm:f>DropDownMenu!$AM$2:$AM$5</xm:f>
          </x14:formula1>
          <xm:sqref>CS2:CS5000</xm:sqref>
        </x14:dataValidation>
        <x14:dataValidation type="list" allowBlank="1" showInputMessage="1" showErrorMessage="1" xr:uid="{00000000-0002-0000-0200-000077000000}">
          <x14:formula1>
            <xm:f>DropDownMenu!$AN$2:$AN$13</xm:f>
          </x14:formula1>
          <xm:sqref>AR2:AR5000</xm:sqref>
        </x14:dataValidation>
        <x14:dataValidation type="list" allowBlank="1" showInputMessage="1" showErrorMessage="1" xr:uid="{00000000-0002-0000-0200-000078000000}">
          <x14:formula1>
            <xm:f>DropDownMenu!$AO$2:$AO$40</xm:f>
          </x14:formula1>
          <xm:sqref>AS2:AS5000</xm:sqref>
        </x14:dataValidation>
        <x14:dataValidation type="list" allowBlank="1" showInputMessage="1" showErrorMessage="1" xr:uid="{00000000-0002-0000-0200-000079000000}">
          <x14:formula1>
            <xm:f>DropDownMenu!$AP$2:$AP$274</xm:f>
          </x14:formula1>
          <xm:sqref>AT2:AT5000</xm:sqref>
        </x14:dataValidation>
        <x14:dataValidation type="list" allowBlank="1" showInputMessage="1" showErrorMessage="1" xr:uid="{00000000-0002-0000-0200-00007A000000}">
          <x14:formula1>
            <xm:f>DropDownMenu!$AQ$2:$AQ$9</xm:f>
          </x14:formula1>
          <xm:sqref>BB2:BB5000</xm:sqref>
        </x14:dataValidation>
        <x14:dataValidation type="list" allowBlank="1" showInputMessage="1" showErrorMessage="1" xr:uid="{00000000-0002-0000-0200-00007B000000}">
          <x14:formula1>
            <xm:f>DropDownMenu!$AR$2:$AR$11</xm:f>
          </x14:formula1>
          <xm:sqref>BC2:BC5000</xm:sqref>
        </x14:dataValidation>
        <x14:dataValidation type="list" allowBlank="1" showInputMessage="1" showErrorMessage="1" xr:uid="{00000000-0002-0000-0200-00007C000000}">
          <x14:formula1>
            <xm:f>DropDownMenu!$AS$2:$AS$3</xm:f>
          </x14:formula1>
          <xm:sqref>BD2:BD5000</xm:sqref>
        </x14:dataValidation>
        <x14:dataValidation type="list" allowBlank="1" showInputMessage="1" showErrorMessage="1" xr:uid="{00000000-0002-0000-0200-00007D000000}">
          <x14:formula1>
            <xm:f>DropDownMenu!$AT$2:$AT$4</xm:f>
          </x14:formula1>
          <xm:sqref>BE2:BE5000</xm:sqref>
        </x14:dataValidation>
        <x14:dataValidation type="list" allowBlank="1" showInputMessage="1" showErrorMessage="1" xr:uid="{00000000-0002-0000-0200-00007E000000}">
          <x14:formula1>
            <xm:f>DropDownMenu!$AU$2:$AU$2</xm:f>
          </x14:formula1>
          <xm:sqref>BG2:BG5000</xm:sqref>
        </x14:dataValidation>
        <x14:dataValidation type="list" allowBlank="1" showInputMessage="1" showErrorMessage="1" xr:uid="{00000000-0002-0000-0200-00007F000000}">
          <x14:formula1>
            <xm:f>DropDownMenu!$AV$2:$AV$9</xm:f>
          </x14:formula1>
          <xm:sqref>BH2:BH5000</xm:sqref>
        </x14:dataValidation>
        <x14:dataValidation type="list" allowBlank="1" showInputMessage="1" showErrorMessage="1" xr:uid="{00000000-0002-0000-0200-000080000000}">
          <x14:formula1>
            <xm:f>DropDownMenu!$AW$2:$AW$81</xm:f>
          </x14:formula1>
          <xm:sqref>BI2:BI5000</xm:sqref>
        </x14:dataValidation>
        <x14:dataValidation type="list" allowBlank="1" showInputMessage="1" showErrorMessage="1" xr:uid="{00000000-0002-0000-0200-000081000000}">
          <x14:formula1>
            <xm:f>DropDownMenu!$AX$2:$AX$3</xm:f>
          </x14:formula1>
          <xm:sqref>BJ2:BJ5000</xm:sqref>
        </x14:dataValidation>
        <x14:dataValidation type="list" allowBlank="1" showInputMessage="1" showErrorMessage="1" xr:uid="{00000000-0002-0000-0200-000082000000}">
          <x14:formula1>
            <xm:f>DropDownMenu!$AY$2:$AY$7</xm:f>
          </x14:formula1>
          <xm:sqref>BK2:BK5000</xm:sqref>
        </x14:dataValidation>
        <x14:dataValidation type="list" allowBlank="1" showInputMessage="1" showErrorMessage="1" xr:uid="{00000000-0002-0000-0200-000083000000}">
          <x14:formula1>
            <xm:f>DropDownMenu!$AZ$2:$AZ$9</xm:f>
          </x14:formula1>
          <xm:sqref>BL2:BL5000</xm:sqref>
        </x14:dataValidation>
        <x14:dataValidation type="list" allowBlank="1" showInputMessage="1" showErrorMessage="1" xr:uid="{00000000-0002-0000-0200-000084000000}">
          <x14:formula1>
            <xm:f>DropDownMenu!$BA$2:$BA$9</xm:f>
          </x14:formula1>
          <xm:sqref>BM2:BM5000</xm:sqref>
        </x14:dataValidation>
        <x14:dataValidation type="list" allowBlank="1" showInputMessage="1" showErrorMessage="1" xr:uid="{00000000-0002-0000-0200-000085000000}">
          <x14:formula1>
            <xm:f>DropDownMenu!$BB$2:$BB$3</xm:f>
          </x14:formula1>
          <xm:sqref>BN2:BN5000</xm:sqref>
        </x14:dataValidation>
        <x14:dataValidation type="list" allowBlank="1" showInputMessage="1" showErrorMessage="1" xr:uid="{00000000-0002-0000-0200-000086000000}">
          <x14:formula1>
            <xm:f>DropDownMenu!$BC$2:$BC$2</xm:f>
          </x14:formula1>
          <xm:sqref>BO2:BO5000</xm:sqref>
        </x14:dataValidation>
        <x14:dataValidation type="list" allowBlank="1" showInputMessage="1" showErrorMessage="1" xr:uid="{00000000-0002-0000-0200-000087000000}">
          <x14:formula1>
            <xm:f>DropDownMenu!$BD$2:$BD$29</xm:f>
          </x14:formula1>
          <xm:sqref>BQ2:BQ5000</xm:sqref>
        </x14:dataValidation>
        <x14:dataValidation type="list" allowBlank="1" showInputMessage="1" showErrorMessage="1" xr:uid="{00000000-0002-0000-0200-000088000000}">
          <x14:formula1>
            <xm:f>DropDownMenu!$BE$2:$BE$2</xm:f>
          </x14:formula1>
          <xm:sqref>BT2:BT5000</xm:sqref>
        </x14:dataValidation>
        <x14:dataValidation type="list" allowBlank="1" showInputMessage="1" showErrorMessage="1" xr:uid="{00000000-0002-0000-0200-000089000000}">
          <x14:formula1>
            <xm:f>DropDownMenu!$BF$2:$BF$33</xm:f>
          </x14:formula1>
          <xm:sqref>BU2:BU5000</xm:sqref>
        </x14:dataValidation>
        <x14:dataValidation type="list" allowBlank="1" showInputMessage="1" showErrorMessage="1" xr:uid="{00000000-0002-0000-0200-00008A000000}">
          <x14:formula1>
            <xm:f>DropDownMenu!$BG$2:$BG$2</xm:f>
          </x14:formula1>
          <xm:sqref>BV2:BV5000</xm:sqref>
        </x14:dataValidation>
        <x14:dataValidation type="list" allowBlank="1" showInputMessage="1" showErrorMessage="1" xr:uid="{00000000-0002-0000-0200-00008B000000}">
          <x14:formula1>
            <xm:f>DropDownMenu!$BH$2:$BH$4</xm:f>
          </x14:formula1>
          <xm:sqref>AW2:AW5000</xm:sqref>
        </x14:dataValidation>
        <x14:dataValidation type="list" allowBlank="1" showInputMessage="1" showErrorMessage="1" xr:uid="{00000000-0002-0000-0200-00008C000000}">
          <x14:formula1>
            <xm:f>DropDownMenu!$BI$2:$BI$2</xm:f>
          </x14:formula1>
          <xm:sqref>BW2:BW5000</xm:sqref>
        </x14:dataValidation>
        <x14:dataValidation type="list" allowBlank="1" showInputMessage="1" showErrorMessage="1" xr:uid="{00000000-0002-0000-0200-00008D000000}">
          <x14:formula1>
            <xm:f>DropDownMenu!$BJ$2:$BJ$2</xm:f>
          </x14:formula1>
          <xm:sqref>BX2:BX5000</xm:sqref>
        </x14:dataValidation>
        <x14:dataValidation type="list" allowBlank="1" showInputMessage="1" showErrorMessage="1" xr:uid="{00000000-0002-0000-0200-00008E000000}">
          <x14:formula1>
            <xm:f>DropDownMenu!$BK$2:$BK$2</xm:f>
          </x14:formula1>
          <xm:sqref>BY2:BY5000</xm:sqref>
        </x14:dataValidation>
        <x14:dataValidation type="list" allowBlank="1" showInputMessage="1" showErrorMessage="1" xr:uid="{00000000-0002-0000-0200-00008F000000}">
          <x14:formula1>
            <xm:f>DropDownMenu!$BL$2:$BL$8</xm:f>
          </x14:formula1>
          <xm:sqref>BZ2:BZ5000</xm:sqref>
        </x14:dataValidation>
        <x14:dataValidation type="list" allowBlank="1" showInputMessage="1" showErrorMessage="1" xr:uid="{00000000-0002-0000-0200-000090000000}">
          <x14:formula1>
            <xm:f>DropDownMenu!$BM$2:$BM$8</xm:f>
          </x14:formula1>
          <xm:sqref>CA2:CA5000</xm:sqref>
        </x14:dataValidation>
        <x14:dataValidation type="list" allowBlank="1" showInputMessage="1" showErrorMessage="1" xr:uid="{00000000-0002-0000-0200-000091000000}">
          <x14:formula1>
            <xm:f>DropDownMenu!$BN$2:$BN$8</xm:f>
          </x14:formula1>
          <xm:sqref>CB2:CB5000</xm:sqref>
        </x14:dataValidation>
        <x14:dataValidation type="list" allowBlank="1" showInputMessage="1" showErrorMessage="1" xr:uid="{00000000-0002-0000-0200-000092000000}">
          <x14:formula1>
            <xm:f>DropDownMenu!$BO$2:$BO$6</xm:f>
          </x14:formula1>
          <xm:sqref>CC2:CC5000</xm:sqref>
        </x14:dataValidation>
        <x14:dataValidation type="list" allowBlank="1" showInputMessage="1" showErrorMessage="1" xr:uid="{00000000-0002-0000-0200-000093000000}">
          <x14:formula1>
            <xm:f>DropDownMenu!$BP$2:$BP$2</xm:f>
          </x14:formula1>
          <xm:sqref>CD2:CD5000</xm:sqref>
        </x14:dataValidation>
        <x14:dataValidation type="list" allowBlank="1" showInputMessage="1" showErrorMessage="1" xr:uid="{00000000-0002-0000-0200-000094000000}">
          <x14:formula1>
            <xm:f>DropDownMenu!$BQ$2:$BQ$2</xm:f>
          </x14:formula1>
          <xm:sqref>CE2:CE5000</xm:sqref>
        </x14:dataValidation>
        <x14:dataValidation type="list" allowBlank="1" showInputMessage="1" showErrorMessage="1" xr:uid="{00000000-0002-0000-0200-000095000000}">
          <x14:formula1>
            <xm:f>DropDownMenu!$BR$2:$BR$2</xm:f>
          </x14:formula1>
          <xm:sqref>CF2:CF5000</xm:sqref>
        </x14:dataValidation>
        <x14:dataValidation type="list" allowBlank="1" showInputMessage="1" showErrorMessage="1" xr:uid="{00000000-0002-0000-0200-000096000000}">
          <x14:formula1>
            <xm:f>DropDownMenu!$BS$2:$BS$2</xm:f>
          </x14:formula1>
          <xm:sqref>CG2:CG5000</xm:sqref>
        </x14:dataValidation>
        <x14:dataValidation type="list" allowBlank="1" showInputMessage="1" showErrorMessage="1" xr:uid="{00000000-0002-0000-0200-000097000000}">
          <x14:formula1>
            <xm:f>DropDownMenu!$BT$2:$BT$2</xm:f>
          </x14:formula1>
          <xm:sqref>CH2:CH5000</xm:sqref>
        </x14:dataValidation>
        <x14:dataValidation type="list" allowBlank="1" showInputMessage="1" showErrorMessage="1" xr:uid="{00000000-0002-0000-0200-000098000000}">
          <x14:formula1>
            <xm:f>DropDownMenu!$BU$2:$BU$2</xm:f>
          </x14:formula1>
          <xm:sqref>CN2:CN5000</xm:sqref>
        </x14:dataValidation>
        <x14:dataValidation type="list" allowBlank="1" showInputMessage="1" showErrorMessage="1" xr:uid="{00000000-0002-0000-0200-000099000000}">
          <x14:formula1>
            <xm:f>DropDownMenu!$BV$2:$BV$2</xm:f>
          </x14:formula1>
          <xm:sqref>CO2:CO5000</xm:sqref>
        </x14:dataValidation>
        <x14:dataValidation type="list" allowBlank="1" showInputMessage="1" showErrorMessage="1" xr:uid="{00000000-0002-0000-0200-00009A000000}">
          <x14:formula1>
            <xm:f>DropDownMenu!$BW$2:$BW$2</xm:f>
          </x14:formula1>
          <xm:sqref>CQ2:CQ5000</xm:sqref>
        </x14:dataValidation>
        <x14:dataValidation type="list" allowBlank="1" showInputMessage="1" showErrorMessage="1" xr:uid="{00000000-0002-0000-0200-00009B000000}">
          <x14:formula1>
            <xm:f>DropDownMenu!$BX$2:$BX$2</xm:f>
          </x14:formula1>
          <xm:sqref>CT2:CT5000</xm:sqref>
        </x14:dataValidation>
        <x14:dataValidation type="list" allowBlank="1" showInputMessage="1" showErrorMessage="1" xr:uid="{00000000-0002-0000-0200-00009C000000}">
          <x14:formula1>
            <xm:f>DropDownMenu!$BY$2:$BY$77</xm:f>
          </x14:formula1>
          <xm:sqref>AU2:AU5000</xm:sqref>
        </x14:dataValidation>
        <x14:dataValidation type="list" allowBlank="1" showInputMessage="1" showErrorMessage="1" xr:uid="{00000000-0002-0000-0200-00009D000000}">
          <x14:formula1>
            <xm:f>DropDownMenu!$BZ$2:$BZ$3</xm:f>
          </x14:formula1>
          <xm:sqref>CV2:CV5000</xm:sqref>
        </x14:dataValidation>
        <x14:dataValidation type="list" allowBlank="1" showInputMessage="1" showErrorMessage="1" xr:uid="{00000000-0002-0000-0200-00009E000000}">
          <x14:formula1>
            <xm:f>DropDownMenu!$CA$2:$CA$77</xm:f>
          </x14:formula1>
          <xm:sqref>AV2:AV5000</xm:sqref>
        </x14:dataValidation>
        <x14:dataValidation type="list" allowBlank="1" showInputMessage="1" showErrorMessage="1" xr:uid="{00000000-0002-0000-0200-00009F000000}">
          <x14:formula1>
            <xm:f>DropDownMenu!$CB$2:$CB$3</xm:f>
          </x14:formula1>
          <xm:sqref>AX2:AX5000</xm:sqref>
        </x14:dataValidation>
        <x14:dataValidation type="list" allowBlank="1" showInputMessage="1" showErrorMessage="1" xr:uid="{00000000-0002-0000-0200-0000A0000000}">
          <x14:formula1>
            <xm:f>DropDownMenu!$CC$2:$CC$3</xm:f>
          </x14:formula1>
          <xm:sqref>AY2:AY5000</xm:sqref>
        </x14:dataValidation>
        <x14:dataValidation type="list" allowBlank="1" showInputMessage="1" showErrorMessage="1" xr:uid="{00000000-0002-0000-0200-0000A1000000}">
          <x14:formula1>
            <xm:f>DropDownMenu!$CD$2:$CD$10</xm:f>
          </x14:formula1>
          <xm:sqref>BA2:BA5000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applyStyles="1" summaryRight="0"/>
  </sheetPr>
  <dimension ref="A1:CV17"/>
  <sheetViews>
    <sheetView workbookViewId="0">
      <pane xSplit="7" ySplit="1" topLeftCell="H2" activePane="bottomRight" state="frozen"/>
      <selection pane="topRight"/>
      <selection pane="bottomLeft"/>
      <selection pane="bottomRight" activeCell="A14" sqref="A14:G14"/>
    </sheetView>
  </sheetViews>
  <sheetFormatPr baseColWidth="10" defaultColWidth="8.83203125" defaultRowHeight="15" outlineLevelCol="1" x14ac:dyDescent="0.2"/>
  <cols>
    <col min="1" max="6" width="4" customWidth="1"/>
    <col min="7" max="7" width="40" customWidth="1"/>
    <col min="8" max="8" width="9" customWidth="1"/>
    <col min="9" max="10" width="6" customWidth="1"/>
    <col min="11" max="12" width="5" customWidth="1"/>
    <col min="13" max="13" width="4" customWidth="1"/>
    <col min="14" max="14" width="42" customWidth="1"/>
    <col min="15" max="15" width="32" customWidth="1"/>
    <col min="16" max="16" width="25" customWidth="1"/>
    <col min="17" max="17" width="5" customWidth="1" outlineLevel="1"/>
    <col min="18" max="20" width="4" customWidth="1" outlineLevel="1"/>
    <col min="21" max="21" width="7" customWidth="1" outlineLevel="1"/>
    <col min="22" max="22" width="4" customWidth="1" outlineLevel="1"/>
    <col min="23" max="23" width="6" customWidth="1"/>
    <col min="24" max="24" width="5" customWidth="1" outlineLevel="1"/>
    <col min="25" max="26" width="6" customWidth="1" outlineLevel="1"/>
    <col min="27" max="27" width="10" customWidth="1"/>
    <col min="28" max="34" width="10" customWidth="1" outlineLevel="1"/>
    <col min="35" max="35" width="6" customWidth="1"/>
    <col min="36" max="36" width="6" customWidth="1" outlineLevel="1"/>
    <col min="37" max="43" width="4" customWidth="1" outlineLevel="1"/>
    <col min="44" max="44" width="6" customWidth="1" outlineLevel="1"/>
    <col min="45" max="45" width="25" customWidth="1" outlineLevel="1"/>
    <col min="46" max="47" width="20" customWidth="1" outlineLevel="1"/>
    <col min="48" max="48" width="10" customWidth="1" outlineLevel="1"/>
    <col min="49" max="49" width="5" customWidth="1" outlineLevel="1"/>
    <col min="50" max="50" width="4" customWidth="1"/>
    <col min="51" max="52" width="4" customWidth="1" outlineLevel="1"/>
    <col min="53" max="53" width="20" customWidth="1" outlineLevel="1"/>
    <col min="54" max="54" width="4" customWidth="1"/>
    <col min="55" max="59" width="4" customWidth="1" outlineLevel="1"/>
    <col min="60" max="60" width="6" customWidth="1" outlineLevel="1"/>
    <col min="61" max="61" width="11" customWidth="1" outlineLevel="1"/>
    <col min="62" max="66" width="4" customWidth="1" outlineLevel="1"/>
    <col min="67" max="67" width="7" customWidth="1" outlineLevel="1"/>
    <col min="68" max="96" width="4" customWidth="1" outlineLevel="1"/>
    <col min="97" max="97" width="6" customWidth="1" outlineLevel="1"/>
    <col min="98" max="98" width="8" customWidth="1" outlineLevel="1"/>
    <col min="99" max="100" width="4" customWidth="1" outlineLevel="1"/>
  </cols>
  <sheetData>
    <row r="1" spans="1:100" ht="15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 t="s">
        <v>22</v>
      </c>
      <c r="X1" s="1" t="s">
        <v>23</v>
      </c>
      <c r="Y1" s="1" t="s">
        <v>24</v>
      </c>
      <c r="Z1" s="1" t="s">
        <v>25</v>
      </c>
      <c r="AA1" s="3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</row>
    <row r="2" spans="1:100" x14ac:dyDescent="0.2">
      <c r="A2" s="26" t="b">
        <v>0</v>
      </c>
      <c r="B2" s="26" t="b">
        <v>0</v>
      </c>
      <c r="C2" s="26" t="b">
        <v>0</v>
      </c>
      <c r="D2" s="26" t="b">
        <v>0</v>
      </c>
      <c r="E2" s="26" t="b">
        <v>0</v>
      </c>
      <c r="F2" s="26" t="b">
        <v>0</v>
      </c>
      <c r="G2" s="27"/>
      <c r="H2" s="4" t="s">
        <v>701</v>
      </c>
      <c r="I2" s="4" t="s">
        <v>702</v>
      </c>
      <c r="J2" s="4" t="s">
        <v>703</v>
      </c>
      <c r="K2" s="4" t="s">
        <v>704</v>
      </c>
      <c r="L2" s="4" t="s">
        <v>148</v>
      </c>
      <c r="M2" s="4"/>
      <c r="N2" s="4" t="s">
        <v>705</v>
      </c>
      <c r="O2" s="4"/>
      <c r="P2" s="4"/>
      <c r="Q2" s="4"/>
      <c r="R2" s="4" t="s">
        <v>108</v>
      </c>
      <c r="S2" s="4"/>
      <c r="T2" s="4"/>
      <c r="U2" s="4" t="s">
        <v>149</v>
      </c>
      <c r="V2" s="4"/>
      <c r="W2" s="4" t="s">
        <v>173</v>
      </c>
      <c r="X2" s="4" t="s">
        <v>173</v>
      </c>
      <c r="Y2" s="4" t="s">
        <v>141</v>
      </c>
      <c r="Z2" s="4" t="s">
        <v>114</v>
      </c>
      <c r="AA2" s="4" t="s">
        <v>115</v>
      </c>
      <c r="AB2" s="4"/>
      <c r="AC2" s="4"/>
      <c r="AD2" s="4"/>
      <c r="AE2" s="4"/>
      <c r="AF2" s="4"/>
      <c r="AG2" s="4"/>
      <c r="AH2" s="4" t="s">
        <v>116</v>
      </c>
      <c r="AI2" s="10" t="s">
        <v>147</v>
      </c>
      <c r="AJ2" s="10" t="s">
        <v>147</v>
      </c>
      <c r="AK2" s="4"/>
      <c r="AL2" s="4"/>
      <c r="AM2" s="4"/>
      <c r="AN2" s="4"/>
      <c r="AO2" s="4"/>
      <c r="AP2" s="4"/>
      <c r="AQ2" s="4"/>
      <c r="AR2" s="4"/>
      <c r="AS2" s="4"/>
      <c r="AT2" s="4" t="s">
        <v>706</v>
      </c>
      <c r="AU2" s="5" t="str">
        <f>IF($AT2="","",IFERROR(INDEX(InstructorMap!$B:$B, MATCH($AT2, InstructorMap!$A:$A, 0)),""))</f>
        <v/>
      </c>
      <c r="AV2" s="5" t="str">
        <f>IF($AT2="","",IFERROR(INDEX(InstructorMap!$C:$C, MATCH($AT2, InstructorMap!$A:$A, 0)),""))</f>
        <v/>
      </c>
      <c r="AW2" s="4" t="s">
        <v>121</v>
      </c>
      <c r="AX2" s="4"/>
      <c r="AY2" s="4"/>
      <c r="AZ2" s="4"/>
      <c r="BA2" s="4"/>
      <c r="BB2" s="4"/>
      <c r="BC2" s="4"/>
      <c r="BD2" s="4"/>
      <c r="BE2" s="4"/>
      <c r="BF2" s="4"/>
      <c r="BG2" s="4"/>
      <c r="BH2" s="4" t="s">
        <v>703</v>
      </c>
      <c r="BI2" s="4" t="s">
        <v>124</v>
      </c>
      <c r="BJ2" s="4" t="s">
        <v>125</v>
      </c>
      <c r="BK2" s="4"/>
      <c r="BL2" s="4" t="s">
        <v>126</v>
      </c>
      <c r="BM2" s="4"/>
      <c r="BN2" s="4"/>
      <c r="BO2" s="4" t="s">
        <v>127</v>
      </c>
      <c r="BP2" s="4"/>
      <c r="BQ2" s="4"/>
      <c r="BR2" s="4"/>
      <c r="BS2" s="4"/>
      <c r="BT2" s="4" t="s">
        <v>128</v>
      </c>
      <c r="BU2" s="4" t="s">
        <v>129</v>
      </c>
      <c r="BV2" s="4" t="s">
        <v>129</v>
      </c>
      <c r="BW2" s="4" t="s">
        <v>130</v>
      </c>
      <c r="BX2" s="4"/>
      <c r="BY2" s="4"/>
      <c r="BZ2" s="4"/>
      <c r="CA2" s="4"/>
      <c r="CB2" s="4"/>
      <c r="CC2" s="4"/>
      <c r="CD2" s="4"/>
      <c r="CE2" s="4"/>
      <c r="CF2" s="4" t="s">
        <v>130</v>
      </c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10" t="s">
        <v>147</v>
      </c>
      <c r="CT2" s="4" t="s">
        <v>133</v>
      </c>
      <c r="CU2" s="4" t="s">
        <v>134</v>
      </c>
      <c r="CV2" s="4"/>
    </row>
    <row r="3" spans="1:100" x14ac:dyDescent="0.2">
      <c r="A3" s="26" t="b">
        <v>0</v>
      </c>
      <c r="B3" s="26" t="b">
        <v>0</v>
      </c>
      <c r="C3" s="26" t="b">
        <v>0</v>
      </c>
      <c r="D3" s="26" t="b">
        <v>0</v>
      </c>
      <c r="E3" s="26" t="b">
        <v>0</v>
      </c>
      <c r="F3" s="26" t="b">
        <v>0</v>
      </c>
      <c r="G3" s="27"/>
      <c r="H3" s="4" t="s">
        <v>707</v>
      </c>
      <c r="I3" s="4" t="s">
        <v>708</v>
      </c>
      <c r="J3" s="4" t="s">
        <v>703</v>
      </c>
      <c r="K3" s="4" t="s">
        <v>709</v>
      </c>
      <c r="L3" s="4" t="s">
        <v>137</v>
      </c>
      <c r="M3" s="4"/>
      <c r="N3" s="4" t="s">
        <v>710</v>
      </c>
      <c r="O3" s="4"/>
      <c r="P3" s="4"/>
      <c r="Q3" s="4"/>
      <c r="R3" s="4" t="s">
        <v>129</v>
      </c>
      <c r="S3" s="4"/>
      <c r="T3" s="4"/>
      <c r="U3" s="4"/>
      <c r="V3" s="4"/>
      <c r="W3" s="4" t="s">
        <v>173</v>
      </c>
      <c r="X3" s="4" t="s">
        <v>173</v>
      </c>
      <c r="Y3" s="4" t="s">
        <v>332</v>
      </c>
      <c r="Z3" s="4" t="s">
        <v>142</v>
      </c>
      <c r="AA3" s="4" t="s">
        <v>115</v>
      </c>
      <c r="AB3" s="4"/>
      <c r="AC3" s="4"/>
      <c r="AD3" s="4" t="s">
        <v>115</v>
      </c>
      <c r="AE3" s="4" t="s">
        <v>116</v>
      </c>
      <c r="AF3" s="4"/>
      <c r="AG3" s="4"/>
      <c r="AH3" s="4" t="s">
        <v>116</v>
      </c>
      <c r="AI3" s="4" t="s">
        <v>117</v>
      </c>
      <c r="AJ3" s="4" t="s">
        <v>118</v>
      </c>
      <c r="AK3" s="4"/>
      <c r="AL3" s="4"/>
      <c r="AM3" s="4"/>
      <c r="AN3" s="4" t="s">
        <v>177</v>
      </c>
      <c r="AO3" s="4"/>
      <c r="AP3" s="4"/>
      <c r="AQ3" s="4"/>
      <c r="AR3" s="4" t="s">
        <v>333</v>
      </c>
      <c r="AS3" s="4" t="s">
        <v>144</v>
      </c>
      <c r="AT3" s="4" t="s">
        <v>706</v>
      </c>
      <c r="AU3" s="5" t="str">
        <f>IF($AT3="","",IFERROR(INDEX(InstructorMap!$B:$B, MATCH($AT3, InstructorMap!$A:$A, 0)),""))</f>
        <v/>
      </c>
      <c r="AV3" s="5" t="str">
        <f>IF($AT3="","",IFERROR(INDEX(InstructorMap!$C:$C, MATCH($AT3, InstructorMap!$A:$A, 0)),""))</f>
        <v/>
      </c>
      <c r="AW3" s="4" t="s">
        <v>121</v>
      </c>
      <c r="AX3" s="4"/>
      <c r="AY3" s="4"/>
      <c r="AZ3" s="4"/>
      <c r="BA3" s="4"/>
      <c r="BB3" s="4"/>
      <c r="BC3" s="4"/>
      <c r="BD3" s="4"/>
      <c r="BE3" s="4"/>
      <c r="BF3" s="4"/>
      <c r="BG3" s="4"/>
      <c r="BH3" s="4" t="s">
        <v>703</v>
      </c>
      <c r="BI3" s="4" t="s">
        <v>124</v>
      </c>
      <c r="BJ3" s="4" t="s">
        <v>125</v>
      </c>
      <c r="BK3" s="4"/>
      <c r="BL3" s="4" t="s">
        <v>125</v>
      </c>
      <c r="BM3" s="4"/>
      <c r="BN3" s="4"/>
      <c r="BO3" s="4" t="s">
        <v>127</v>
      </c>
      <c r="BP3" s="4"/>
      <c r="BQ3" s="4"/>
      <c r="BR3" s="4"/>
      <c r="BS3" s="4"/>
      <c r="BT3" s="4" t="s">
        <v>128</v>
      </c>
      <c r="BU3" s="4" t="s">
        <v>129</v>
      </c>
      <c r="BV3" s="4" t="s">
        <v>145</v>
      </c>
      <c r="BW3" s="4" t="s">
        <v>130</v>
      </c>
      <c r="BX3" s="4" t="s">
        <v>131</v>
      </c>
      <c r="BY3" s="4"/>
      <c r="BZ3" s="4"/>
      <c r="CA3" s="4"/>
      <c r="CB3" s="4"/>
      <c r="CC3" s="4"/>
      <c r="CD3" s="4"/>
      <c r="CE3" s="4"/>
      <c r="CF3" s="4" t="s">
        <v>130</v>
      </c>
      <c r="CG3" s="4"/>
      <c r="CH3" s="4" t="s">
        <v>131</v>
      </c>
      <c r="CI3" s="4"/>
      <c r="CJ3" s="4"/>
      <c r="CK3" s="4"/>
      <c r="CL3" s="4"/>
      <c r="CM3" s="4"/>
      <c r="CN3" s="4"/>
      <c r="CO3" s="4"/>
      <c r="CP3" s="4"/>
      <c r="CQ3" s="4"/>
      <c r="CR3" s="4"/>
      <c r="CS3" s="4" t="s">
        <v>146</v>
      </c>
      <c r="CT3" s="4" t="s">
        <v>133</v>
      </c>
      <c r="CU3" s="4" t="s">
        <v>134</v>
      </c>
      <c r="CV3" s="4"/>
    </row>
    <row r="4" spans="1:100" x14ac:dyDescent="0.2">
      <c r="A4" s="30" t="b">
        <v>0</v>
      </c>
      <c r="B4" s="31" t="b">
        <v>0</v>
      </c>
      <c r="C4" s="31" t="b">
        <v>0</v>
      </c>
      <c r="D4" s="31" t="b">
        <v>0</v>
      </c>
      <c r="E4" s="31" t="b">
        <v>0</v>
      </c>
      <c r="F4" s="31" t="b">
        <v>0</v>
      </c>
      <c r="G4" s="8"/>
      <c r="H4" s="8" t="s">
        <v>711</v>
      </c>
      <c r="I4" s="8" t="s">
        <v>712</v>
      </c>
      <c r="J4" s="8" t="s">
        <v>703</v>
      </c>
      <c r="K4" s="8" t="s">
        <v>713</v>
      </c>
      <c r="L4" s="8" t="s">
        <v>137</v>
      </c>
      <c r="M4" s="8"/>
      <c r="N4" s="8" t="s">
        <v>714</v>
      </c>
      <c r="O4" s="8"/>
      <c r="P4" s="8"/>
      <c r="Q4" s="8" t="s">
        <v>715</v>
      </c>
      <c r="R4" s="8" t="s">
        <v>129</v>
      </c>
      <c r="S4" s="8"/>
      <c r="T4" s="8"/>
      <c r="U4" s="8"/>
      <c r="V4" s="8"/>
      <c r="W4" s="8" t="s">
        <v>173</v>
      </c>
      <c r="X4" s="8"/>
      <c r="Y4" s="8" t="s">
        <v>332</v>
      </c>
      <c r="Z4" s="8" t="s">
        <v>142</v>
      </c>
      <c r="AA4" s="8" t="s">
        <v>115</v>
      </c>
      <c r="AB4" s="8"/>
      <c r="AC4" s="8"/>
      <c r="AD4" s="8" t="s">
        <v>115</v>
      </c>
      <c r="AE4" s="8" t="s">
        <v>116</v>
      </c>
      <c r="AF4" s="8"/>
      <c r="AG4" s="8"/>
      <c r="AH4" s="8" t="s">
        <v>116</v>
      </c>
      <c r="AI4" s="8" t="s">
        <v>277</v>
      </c>
      <c r="AJ4" s="8" t="s">
        <v>194</v>
      </c>
      <c r="AK4" s="8"/>
      <c r="AL4" s="8"/>
      <c r="AM4" s="8"/>
      <c r="AN4" s="8" t="s">
        <v>177</v>
      </c>
      <c r="AO4" s="8"/>
      <c r="AP4" s="8"/>
      <c r="AQ4" s="8"/>
      <c r="AR4" s="8"/>
      <c r="AS4" s="8" t="s">
        <v>144</v>
      </c>
      <c r="AT4" s="8" t="s">
        <v>716</v>
      </c>
      <c r="AU4" s="9" t="str">
        <f>IF($AT4="","",IFERROR(INDEX(InstructorMap!$B:$B, MATCH($AT4, InstructorMap!$A:$A, 0)),""))</f>
        <v>drumi@andrews.edu</v>
      </c>
      <c r="AV4" s="9" t="str">
        <f>IF($AT4="","",IFERROR(INDEX(InstructorMap!$C:$C, MATCH($AT4, InstructorMap!$A:$A, 0)),""))</f>
        <v>000092262</v>
      </c>
      <c r="AW4" s="8" t="s">
        <v>121</v>
      </c>
      <c r="AX4" s="8"/>
      <c r="AY4" s="8"/>
      <c r="AZ4" s="8"/>
      <c r="BA4" s="8"/>
      <c r="BB4" s="8"/>
      <c r="BC4" s="8"/>
      <c r="BD4" s="8"/>
      <c r="BE4" s="8"/>
      <c r="BF4" s="8"/>
      <c r="BG4" s="8"/>
      <c r="BH4" s="8" t="s">
        <v>717</v>
      </c>
      <c r="BI4" s="8" t="s">
        <v>124</v>
      </c>
      <c r="BJ4" s="8" t="s">
        <v>125</v>
      </c>
      <c r="BK4" s="8"/>
      <c r="BL4" s="8" t="s">
        <v>125</v>
      </c>
      <c r="BM4" s="8"/>
      <c r="BN4" s="8"/>
      <c r="BO4" s="8" t="s">
        <v>127</v>
      </c>
      <c r="BP4" s="8"/>
      <c r="BQ4" s="8"/>
      <c r="BR4" s="8"/>
      <c r="BS4" s="8"/>
      <c r="BT4" s="8" t="s">
        <v>128</v>
      </c>
      <c r="BU4" s="8" t="s">
        <v>129</v>
      </c>
      <c r="BV4" s="8" t="s">
        <v>129</v>
      </c>
      <c r="BW4" s="8" t="s">
        <v>130</v>
      </c>
      <c r="BX4" s="8" t="s">
        <v>131</v>
      </c>
      <c r="BY4" s="8"/>
      <c r="BZ4" s="8"/>
      <c r="CA4" s="8"/>
      <c r="CB4" s="8"/>
      <c r="CC4" s="8"/>
      <c r="CD4" s="8"/>
      <c r="CE4" s="8"/>
      <c r="CF4" s="8" t="s">
        <v>130</v>
      </c>
      <c r="CG4" s="8"/>
      <c r="CH4" s="8" t="s">
        <v>131</v>
      </c>
      <c r="CI4" s="8"/>
      <c r="CJ4" s="8"/>
      <c r="CK4" s="8"/>
      <c r="CL4" s="8"/>
      <c r="CM4" s="8"/>
      <c r="CN4" s="8"/>
      <c r="CO4" s="8"/>
      <c r="CP4" s="8"/>
      <c r="CQ4" s="8"/>
      <c r="CR4" s="8"/>
      <c r="CS4" s="8" t="s">
        <v>132</v>
      </c>
      <c r="CT4" s="8" t="s">
        <v>133</v>
      </c>
      <c r="CU4" s="8" t="s">
        <v>134</v>
      </c>
      <c r="CV4" s="8"/>
    </row>
    <row r="5" spans="1:100" x14ac:dyDescent="0.2">
      <c r="A5" s="26" t="b">
        <v>0</v>
      </c>
      <c r="B5" s="26" t="b">
        <v>0</v>
      </c>
      <c r="C5" s="26" t="b">
        <v>0</v>
      </c>
      <c r="D5" s="26" t="b">
        <v>0</v>
      </c>
      <c r="E5" s="26" t="b">
        <v>0</v>
      </c>
      <c r="F5" s="26" t="b">
        <v>0</v>
      </c>
      <c r="G5" s="27"/>
      <c r="H5" s="4" t="s">
        <v>718</v>
      </c>
      <c r="I5" s="4" t="s">
        <v>719</v>
      </c>
      <c r="J5" s="4" t="s">
        <v>703</v>
      </c>
      <c r="K5" s="4" t="s">
        <v>720</v>
      </c>
      <c r="L5" s="4" t="s">
        <v>255</v>
      </c>
      <c r="M5" s="4"/>
      <c r="N5" s="4" t="s">
        <v>721</v>
      </c>
      <c r="O5" s="4"/>
      <c r="P5" s="4"/>
      <c r="Q5" s="4" t="s">
        <v>722</v>
      </c>
      <c r="R5" s="4" t="s">
        <v>108</v>
      </c>
      <c r="S5" s="4"/>
      <c r="T5" s="4"/>
      <c r="U5" s="4"/>
      <c r="V5" s="4"/>
      <c r="W5" s="4" t="s">
        <v>112</v>
      </c>
      <c r="X5" s="10" t="s">
        <v>173</v>
      </c>
      <c r="Y5" s="10" t="s">
        <v>147</v>
      </c>
      <c r="Z5" s="4" t="s">
        <v>114</v>
      </c>
      <c r="AA5" s="4" t="s">
        <v>115</v>
      </c>
      <c r="AB5" s="4"/>
      <c r="AC5" s="4"/>
      <c r="AD5" s="4"/>
      <c r="AE5" s="4"/>
      <c r="AF5" s="4"/>
      <c r="AG5" s="4"/>
      <c r="AH5" s="4" t="s">
        <v>116</v>
      </c>
      <c r="AI5" s="10" t="s">
        <v>147</v>
      </c>
      <c r="AJ5" s="10" t="s">
        <v>147</v>
      </c>
      <c r="AK5" s="4"/>
      <c r="AL5" s="10" t="s">
        <v>119</v>
      </c>
      <c r="AM5" s="10" t="s">
        <v>211</v>
      </c>
      <c r="AN5" s="10"/>
      <c r="AO5" s="10"/>
      <c r="AP5" s="4"/>
      <c r="AQ5" s="4"/>
      <c r="AR5" s="4"/>
      <c r="AS5" s="4"/>
      <c r="AT5" s="4" t="s">
        <v>723</v>
      </c>
      <c r="AU5" s="5" t="str">
        <f>IF($AT5="","",IFERROR(INDEX(InstructorMap!$B:$B, MATCH($AT5, InstructorMap!$A:$A, 0)),""))</f>
        <v/>
      </c>
      <c r="AV5" s="5" t="str">
        <f>IF($AT5="","",IFERROR(INDEX(InstructorMap!$C:$C, MATCH($AT5, InstructorMap!$A:$A, 0)),""))</f>
        <v/>
      </c>
      <c r="AW5" s="4" t="s">
        <v>121</v>
      </c>
      <c r="AX5" s="4"/>
      <c r="AY5" s="4"/>
      <c r="AZ5" s="4"/>
      <c r="BA5" s="4"/>
      <c r="BB5" s="4"/>
      <c r="BC5" s="4"/>
      <c r="BD5" s="4"/>
      <c r="BE5" s="4"/>
      <c r="BF5" s="4"/>
      <c r="BG5" s="4"/>
      <c r="BH5" s="4" t="s">
        <v>703</v>
      </c>
      <c r="BI5" s="4" t="s">
        <v>124</v>
      </c>
      <c r="BJ5" s="4" t="s">
        <v>125</v>
      </c>
      <c r="BK5" s="4" t="s">
        <v>173</v>
      </c>
      <c r="BL5" s="4" t="s">
        <v>119</v>
      </c>
      <c r="BM5" s="4"/>
      <c r="BN5" s="4"/>
      <c r="BO5" s="4" t="s">
        <v>127</v>
      </c>
      <c r="BP5" s="4"/>
      <c r="BQ5" s="4"/>
      <c r="BR5" s="4"/>
      <c r="BS5" s="4"/>
      <c r="BT5" s="4" t="s">
        <v>128</v>
      </c>
      <c r="BU5" s="4" t="s">
        <v>129</v>
      </c>
      <c r="BV5" s="4" t="s">
        <v>129</v>
      </c>
      <c r="BW5" s="4" t="s">
        <v>130</v>
      </c>
      <c r="BX5" s="4" t="s">
        <v>131</v>
      </c>
      <c r="BY5" s="4"/>
      <c r="BZ5" s="4"/>
      <c r="CA5" s="4"/>
      <c r="CB5" s="4"/>
      <c r="CC5" s="4"/>
      <c r="CD5" s="4"/>
      <c r="CE5" s="4"/>
      <c r="CF5" s="4" t="s">
        <v>130</v>
      </c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10" t="s">
        <v>147</v>
      </c>
      <c r="CT5" s="4" t="s">
        <v>133</v>
      </c>
      <c r="CU5" s="4" t="s">
        <v>134</v>
      </c>
      <c r="CV5" s="4"/>
    </row>
    <row r="6" spans="1:100" x14ac:dyDescent="0.2">
      <c r="A6" s="33" t="b">
        <v>0</v>
      </c>
      <c r="B6" s="34" t="b">
        <v>0</v>
      </c>
      <c r="C6" s="33" t="b">
        <v>0</v>
      </c>
      <c r="D6" s="34" t="b">
        <v>0</v>
      </c>
      <c r="E6" s="34" t="b">
        <v>0</v>
      </c>
      <c r="F6" s="32" t="b">
        <v>0</v>
      </c>
      <c r="G6" s="25"/>
      <c r="H6" s="11"/>
      <c r="I6" s="12" t="s">
        <v>199</v>
      </c>
      <c r="J6" s="11" t="s">
        <v>703</v>
      </c>
      <c r="K6" s="11" t="s">
        <v>200</v>
      </c>
      <c r="L6" s="11" t="s">
        <v>137</v>
      </c>
      <c r="M6" s="11"/>
      <c r="N6" s="11" t="s">
        <v>724</v>
      </c>
      <c r="O6" s="11"/>
      <c r="P6" s="11"/>
      <c r="Q6" s="11"/>
      <c r="R6" s="11"/>
      <c r="S6" s="11"/>
      <c r="T6" s="11"/>
      <c r="U6" s="11"/>
      <c r="V6" s="11"/>
      <c r="W6" s="11"/>
      <c r="X6" s="11" t="s">
        <v>112</v>
      </c>
      <c r="Y6" s="11" t="s">
        <v>113</v>
      </c>
      <c r="Z6" s="11"/>
      <c r="AA6" s="11" t="s">
        <v>115</v>
      </c>
      <c r="AB6" s="11"/>
      <c r="AC6" s="11"/>
      <c r="AD6" s="11" t="s">
        <v>115</v>
      </c>
      <c r="AE6" s="11" t="s">
        <v>116</v>
      </c>
      <c r="AF6" s="11"/>
      <c r="AG6" s="11"/>
      <c r="AH6" s="11" t="s">
        <v>116</v>
      </c>
      <c r="AI6" s="11" t="s">
        <v>175</v>
      </c>
      <c r="AJ6" s="11" t="s">
        <v>176</v>
      </c>
      <c r="AK6" s="11"/>
      <c r="AL6" s="11"/>
      <c r="AM6" s="11"/>
      <c r="AN6" s="11" t="s">
        <v>177</v>
      </c>
      <c r="AO6" s="11"/>
      <c r="AP6" s="11"/>
      <c r="AQ6" s="11"/>
      <c r="AR6" s="11" t="s">
        <v>725</v>
      </c>
      <c r="AS6" s="11" t="s">
        <v>144</v>
      </c>
      <c r="AT6" s="11" t="s">
        <v>726</v>
      </c>
      <c r="AU6" s="13" t="str">
        <f>IF($AT6="","",IFERROR(INDEX(InstructorMap!$B:$B, MATCH($AT6, InstructorMap!$A:$A, 0)),""))</f>
        <v/>
      </c>
      <c r="AV6" s="13" t="str">
        <f>IF($AT6="","",IFERROR(INDEX(InstructorMap!$C:$C, MATCH($AT6, InstructorMap!$A:$A, 0)),""))</f>
        <v/>
      </c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 t="s">
        <v>703</v>
      </c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 t="s">
        <v>146</v>
      </c>
      <c r="CT6" s="11" t="s">
        <v>133</v>
      </c>
      <c r="CU6" s="11"/>
      <c r="CV6" s="11"/>
    </row>
    <row r="7" spans="1:100" x14ac:dyDescent="0.2">
      <c r="A7" s="26" t="b">
        <v>0</v>
      </c>
      <c r="B7" s="26" t="b">
        <v>0</v>
      </c>
      <c r="C7" s="26" t="b">
        <v>0</v>
      </c>
      <c r="D7" s="26" t="b">
        <v>0</v>
      </c>
      <c r="E7" s="26" t="b">
        <v>0</v>
      </c>
      <c r="F7" s="26" t="b">
        <v>0</v>
      </c>
      <c r="G7" s="27"/>
      <c r="H7" s="4" t="s">
        <v>727</v>
      </c>
      <c r="I7" s="4" t="s">
        <v>728</v>
      </c>
      <c r="J7" s="4" t="s">
        <v>703</v>
      </c>
      <c r="K7" s="4" t="s">
        <v>729</v>
      </c>
      <c r="L7" s="4" t="s">
        <v>255</v>
      </c>
      <c r="M7" s="4"/>
      <c r="N7" s="4" t="s">
        <v>730</v>
      </c>
      <c r="O7" s="4"/>
      <c r="P7" s="4"/>
      <c r="Q7" s="4" t="s">
        <v>731</v>
      </c>
      <c r="R7" s="4" t="s">
        <v>129</v>
      </c>
      <c r="S7" s="4"/>
      <c r="T7" s="4"/>
      <c r="U7" s="4"/>
      <c r="V7" s="4"/>
      <c r="W7" s="4" t="s">
        <v>173</v>
      </c>
      <c r="X7" s="4" t="s">
        <v>173</v>
      </c>
      <c r="Y7" s="10" t="s">
        <v>147</v>
      </c>
      <c r="Z7" s="4" t="s">
        <v>142</v>
      </c>
      <c r="AA7" s="4" t="s">
        <v>115</v>
      </c>
      <c r="AB7" s="4"/>
      <c r="AC7" s="4"/>
      <c r="AD7" s="4"/>
      <c r="AE7" s="4"/>
      <c r="AF7" s="4"/>
      <c r="AG7" s="4"/>
      <c r="AH7" s="4" t="s">
        <v>116</v>
      </c>
      <c r="AI7" s="10" t="s">
        <v>147</v>
      </c>
      <c r="AJ7" s="10" t="s">
        <v>147</v>
      </c>
      <c r="AK7" s="4"/>
      <c r="AL7" s="10" t="s">
        <v>732</v>
      </c>
      <c r="AM7" s="10" t="s">
        <v>732</v>
      </c>
      <c r="AN7" s="10" t="s">
        <v>732</v>
      </c>
      <c r="AO7" s="10" t="s">
        <v>732</v>
      </c>
      <c r="AP7" s="4"/>
      <c r="AQ7" s="4"/>
      <c r="AR7" s="4"/>
      <c r="AS7" s="4"/>
      <c r="AT7" s="4" t="s">
        <v>196</v>
      </c>
      <c r="AU7" s="5" t="str">
        <f>IF($AT7="","",IFERROR(INDEX(InstructorMap!$B:$B, MATCH($AT7, InstructorMap!$A:$A, 0)),""))</f>
        <v/>
      </c>
      <c r="AV7" s="5" t="str">
        <f>IF($AT7="","",IFERROR(INDEX(InstructorMap!$C:$C, MATCH($AT7, InstructorMap!$A:$A, 0)),""))</f>
        <v/>
      </c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 t="s">
        <v>703</v>
      </c>
      <c r="BI7" s="4" t="s">
        <v>124</v>
      </c>
      <c r="BJ7" s="4" t="s">
        <v>125</v>
      </c>
      <c r="BK7" s="4"/>
      <c r="BL7" s="4" t="s">
        <v>249</v>
      </c>
      <c r="BM7" s="4"/>
      <c r="BN7" s="4"/>
      <c r="BO7" s="4" t="s">
        <v>127</v>
      </c>
      <c r="BP7" s="4"/>
      <c r="BQ7" s="4"/>
      <c r="BR7" s="4"/>
      <c r="BS7" s="4"/>
      <c r="BT7" s="4" t="s">
        <v>128</v>
      </c>
      <c r="BU7" s="4" t="s">
        <v>129</v>
      </c>
      <c r="BV7" s="4" t="s">
        <v>129</v>
      </c>
      <c r="BW7" s="4"/>
      <c r="BX7" s="4"/>
      <c r="BY7" s="4"/>
      <c r="BZ7" s="4"/>
      <c r="CA7" s="4"/>
      <c r="CB7" s="4"/>
      <c r="CC7" s="4"/>
      <c r="CD7" s="4"/>
      <c r="CE7" s="4"/>
      <c r="CF7" s="4" t="s">
        <v>130</v>
      </c>
      <c r="CG7" s="4"/>
      <c r="CH7" s="4" t="s">
        <v>131</v>
      </c>
      <c r="CI7" s="4"/>
      <c r="CJ7" s="4"/>
      <c r="CK7" s="4"/>
      <c r="CL7" s="4"/>
      <c r="CM7" s="4"/>
      <c r="CN7" s="4"/>
      <c r="CO7" s="4"/>
      <c r="CP7" s="4"/>
      <c r="CQ7" s="4"/>
      <c r="CR7" s="4"/>
      <c r="CS7" s="10" t="s">
        <v>147</v>
      </c>
      <c r="CT7" s="4" t="s">
        <v>133</v>
      </c>
      <c r="CU7" s="4" t="s">
        <v>134</v>
      </c>
      <c r="CV7" s="4"/>
    </row>
    <row r="8" spans="1:100" x14ac:dyDescent="0.2">
      <c r="A8" s="30" t="b">
        <v>0</v>
      </c>
      <c r="B8" s="31" t="b">
        <v>0</v>
      </c>
      <c r="C8" s="31" t="b">
        <v>0</v>
      </c>
      <c r="D8" s="31" t="b">
        <v>0</v>
      </c>
      <c r="E8" s="31" t="b">
        <v>0</v>
      </c>
      <c r="F8" s="31" t="b">
        <v>0</v>
      </c>
      <c r="G8" s="8"/>
      <c r="H8" s="8" t="s">
        <v>733</v>
      </c>
      <c r="I8" s="8" t="s">
        <v>734</v>
      </c>
      <c r="J8" s="8" t="s">
        <v>703</v>
      </c>
      <c r="K8" s="8" t="s">
        <v>729</v>
      </c>
      <c r="L8" s="8" t="s">
        <v>252</v>
      </c>
      <c r="M8" s="8"/>
      <c r="N8" s="8" t="s">
        <v>730</v>
      </c>
      <c r="O8" s="8"/>
      <c r="P8" s="8"/>
      <c r="Q8" s="8" t="s">
        <v>731</v>
      </c>
      <c r="R8" s="8" t="s">
        <v>108</v>
      </c>
      <c r="S8" s="8"/>
      <c r="T8" s="8"/>
      <c r="U8" s="8"/>
      <c r="V8" s="8"/>
      <c r="W8" s="8" t="s">
        <v>173</v>
      </c>
      <c r="X8" s="8"/>
      <c r="Y8" s="8" t="s">
        <v>203</v>
      </c>
      <c r="Z8" s="8" t="s">
        <v>114</v>
      </c>
      <c r="AA8" s="8" t="s">
        <v>115</v>
      </c>
      <c r="AB8" s="8"/>
      <c r="AC8" s="8"/>
      <c r="AD8" s="8" t="s">
        <v>115</v>
      </c>
      <c r="AE8" s="8" t="s">
        <v>116</v>
      </c>
      <c r="AF8" s="8"/>
      <c r="AG8" s="8"/>
      <c r="AH8" s="8" t="s">
        <v>116</v>
      </c>
      <c r="AI8" s="8" t="s">
        <v>277</v>
      </c>
      <c r="AJ8" s="8" t="s">
        <v>194</v>
      </c>
      <c r="AK8" s="8"/>
      <c r="AL8" s="8"/>
      <c r="AM8" s="8"/>
      <c r="AN8" s="8" t="s">
        <v>177</v>
      </c>
      <c r="AO8" s="8"/>
      <c r="AP8" s="8"/>
      <c r="AQ8" s="8"/>
      <c r="AR8" s="8"/>
      <c r="AS8" s="8"/>
      <c r="AT8" s="8" t="s">
        <v>285</v>
      </c>
      <c r="AU8" s="9" t="str">
        <f>IF($AT8="","",IFERROR(INDEX(InstructorMap!$B:$B, MATCH($AT8, InstructorMap!$A:$A, 0)),""))</f>
        <v/>
      </c>
      <c r="AV8" s="9" t="str">
        <f>IF($AT8="","",IFERROR(INDEX(InstructorMap!$C:$C, MATCH($AT8, InstructorMap!$A:$A, 0)),""))</f>
        <v/>
      </c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 t="s">
        <v>717</v>
      </c>
      <c r="BI8" s="8" t="s">
        <v>124</v>
      </c>
      <c r="BJ8" s="8" t="s">
        <v>125</v>
      </c>
      <c r="BK8" s="8"/>
      <c r="BL8" s="8" t="s">
        <v>249</v>
      </c>
      <c r="BM8" s="8"/>
      <c r="BN8" s="8"/>
      <c r="BO8" s="8" t="s">
        <v>127</v>
      </c>
      <c r="BP8" s="8"/>
      <c r="BQ8" s="8"/>
      <c r="BR8" s="8"/>
      <c r="BS8" s="8"/>
      <c r="BT8" s="8" t="s">
        <v>128</v>
      </c>
      <c r="BU8" s="8" t="s">
        <v>129</v>
      </c>
      <c r="BV8" s="8" t="s">
        <v>129</v>
      </c>
      <c r="BW8" s="8"/>
      <c r="BX8" s="8"/>
      <c r="BY8" s="8"/>
      <c r="BZ8" s="8"/>
      <c r="CA8" s="8"/>
      <c r="CB8" s="8"/>
      <c r="CC8" s="8"/>
      <c r="CD8" s="8"/>
      <c r="CE8" s="8"/>
      <c r="CF8" s="8" t="s">
        <v>130</v>
      </c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 t="s">
        <v>132</v>
      </c>
      <c r="CT8" s="8" t="s">
        <v>133</v>
      </c>
      <c r="CU8" s="8" t="s">
        <v>134</v>
      </c>
      <c r="CV8" s="8"/>
    </row>
    <row r="9" spans="1:100" x14ac:dyDescent="0.2">
      <c r="A9" s="38" t="b">
        <v>0</v>
      </c>
      <c r="B9" s="39" t="b">
        <v>0</v>
      </c>
      <c r="C9" s="39" t="b">
        <v>0</v>
      </c>
      <c r="D9" s="39" t="b">
        <v>0</v>
      </c>
      <c r="E9" s="39" t="b">
        <v>0</v>
      </c>
      <c r="F9" s="37" t="b">
        <v>0</v>
      </c>
      <c r="G9" s="36"/>
      <c r="H9" s="6" t="s">
        <v>735</v>
      </c>
      <c r="I9" s="6" t="s">
        <v>736</v>
      </c>
      <c r="J9" s="6" t="s">
        <v>703</v>
      </c>
      <c r="K9" s="6" t="s">
        <v>243</v>
      </c>
      <c r="L9" s="6" t="s">
        <v>255</v>
      </c>
      <c r="M9" s="6"/>
      <c r="N9" s="6" t="s">
        <v>245</v>
      </c>
      <c r="O9" s="6" t="s">
        <v>737</v>
      </c>
      <c r="P9" s="6"/>
      <c r="Q9" s="6"/>
      <c r="R9" s="6" t="s">
        <v>108</v>
      </c>
      <c r="S9" s="6"/>
      <c r="T9" s="6"/>
      <c r="U9" s="6"/>
      <c r="V9" s="6"/>
      <c r="W9" s="6" t="s">
        <v>247</v>
      </c>
      <c r="X9" s="6" t="s">
        <v>173</v>
      </c>
      <c r="Y9" s="6" t="s">
        <v>173</v>
      </c>
      <c r="Z9" s="6" t="s">
        <v>142</v>
      </c>
      <c r="AA9" s="6" t="s">
        <v>115</v>
      </c>
      <c r="AB9" s="6"/>
      <c r="AC9" s="6"/>
      <c r="AD9" s="6" t="s">
        <v>115</v>
      </c>
      <c r="AE9" s="6" t="s">
        <v>116</v>
      </c>
      <c r="AF9" s="6"/>
      <c r="AG9" s="6"/>
      <c r="AH9" s="6" t="s">
        <v>116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 t="s">
        <v>738</v>
      </c>
      <c r="AU9" s="7" t="str">
        <f>IF($AT9="","",IFERROR(INDEX(InstructorMap!$B:$B, MATCH($AT9, InstructorMap!$A:$A, 0)),""))</f>
        <v>tompkina@andrews.edu</v>
      </c>
      <c r="AV9" s="7" t="str">
        <f>IF($AT9="","",IFERROR(INDEX(InstructorMap!$C:$C, MATCH($AT9, InstructorMap!$A:$A, 0)),""))</f>
        <v>000122109</v>
      </c>
      <c r="AW9" s="6" t="s">
        <v>121</v>
      </c>
      <c r="AX9" s="6"/>
      <c r="AY9" s="6"/>
      <c r="AZ9" s="6"/>
      <c r="BA9" s="6"/>
      <c r="BB9" s="6"/>
      <c r="BC9" s="6"/>
      <c r="BD9" s="6"/>
      <c r="BE9" s="6"/>
      <c r="BF9" s="6"/>
      <c r="BG9" s="6"/>
      <c r="BH9" s="6" t="s">
        <v>717</v>
      </c>
      <c r="BI9" s="6" t="s">
        <v>124</v>
      </c>
      <c r="BJ9" s="6" t="s">
        <v>125</v>
      </c>
      <c r="BK9" s="6" t="s">
        <v>173</v>
      </c>
      <c r="BL9" s="6" t="s">
        <v>249</v>
      </c>
      <c r="BM9" s="6"/>
      <c r="BN9" s="6"/>
      <c r="BO9" s="6" t="s">
        <v>127</v>
      </c>
      <c r="BP9" s="6"/>
      <c r="BQ9" s="6"/>
      <c r="BR9" s="6"/>
      <c r="BS9" s="6"/>
      <c r="BT9" s="6" t="s">
        <v>128</v>
      </c>
      <c r="BU9" s="6" t="s">
        <v>129</v>
      </c>
      <c r="BV9" s="6" t="s">
        <v>129</v>
      </c>
      <c r="BW9" s="6" t="s">
        <v>130</v>
      </c>
      <c r="BX9" s="6" t="s">
        <v>131</v>
      </c>
      <c r="BY9" s="6"/>
      <c r="BZ9" s="6"/>
      <c r="CA9" s="6"/>
      <c r="CB9" s="6"/>
      <c r="CC9" s="6"/>
      <c r="CD9" s="6"/>
      <c r="CE9" s="6"/>
      <c r="CF9" s="6" t="s">
        <v>130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 t="s">
        <v>249</v>
      </c>
      <c r="CS9" s="6" t="s">
        <v>132</v>
      </c>
      <c r="CT9" s="6" t="s">
        <v>133</v>
      </c>
      <c r="CU9" s="6" t="s">
        <v>134</v>
      </c>
      <c r="CV9" s="6"/>
    </row>
    <row r="10" spans="1:100" x14ac:dyDescent="0.2">
      <c r="A10" s="38" t="b">
        <v>0</v>
      </c>
      <c r="B10" s="39" t="b">
        <v>0</v>
      </c>
      <c r="C10" s="39" t="b">
        <v>0</v>
      </c>
      <c r="D10" s="39" t="b">
        <v>0</v>
      </c>
      <c r="E10" s="39" t="b">
        <v>0</v>
      </c>
      <c r="F10" s="40" t="b">
        <v>0</v>
      </c>
      <c r="G10" s="36"/>
      <c r="H10" s="6" t="s">
        <v>739</v>
      </c>
      <c r="I10" s="6" t="s">
        <v>740</v>
      </c>
      <c r="J10" s="6" t="s">
        <v>703</v>
      </c>
      <c r="K10" s="6" t="s">
        <v>243</v>
      </c>
      <c r="L10" s="6" t="s">
        <v>252</v>
      </c>
      <c r="M10" s="6"/>
      <c r="N10" s="6" t="s">
        <v>245</v>
      </c>
      <c r="O10" s="6"/>
      <c r="P10" s="6"/>
      <c r="Q10" s="6"/>
      <c r="R10" s="6" t="s">
        <v>108</v>
      </c>
      <c r="S10" s="6"/>
      <c r="T10" s="6"/>
      <c r="U10" s="6"/>
      <c r="V10" s="6"/>
      <c r="W10" s="6" t="s">
        <v>247</v>
      </c>
      <c r="X10" s="6"/>
      <c r="Y10" s="6" t="s">
        <v>134</v>
      </c>
      <c r="Z10" s="6" t="s">
        <v>142</v>
      </c>
      <c r="AA10" s="6" t="s">
        <v>115</v>
      </c>
      <c r="AB10" s="6"/>
      <c r="AC10" s="6"/>
      <c r="AD10" s="6" t="s">
        <v>115</v>
      </c>
      <c r="AE10" s="6" t="s">
        <v>116</v>
      </c>
      <c r="AF10" s="6"/>
      <c r="AG10" s="6"/>
      <c r="AH10" s="6" t="s">
        <v>116</v>
      </c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 t="s">
        <v>741</v>
      </c>
      <c r="AU10" s="7" t="str">
        <f>IF($AT10="","",IFERROR(INDEX(InstructorMap!$B:$B, MATCH($AT10, InstructorMap!$A:$A, 0)),""))</f>
        <v>cincala@andrews.edu</v>
      </c>
      <c r="AV10" s="7" t="str">
        <f>IF($AT10="","",IFERROR(INDEX(InstructorMap!$C:$C, MATCH($AT10, InstructorMap!$A:$A, 0)),""))</f>
        <v>000074406</v>
      </c>
      <c r="AW10" s="6" t="s">
        <v>121</v>
      </c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 t="s">
        <v>717</v>
      </c>
      <c r="BI10" s="6" t="s">
        <v>124</v>
      </c>
      <c r="BJ10" s="6" t="s">
        <v>125</v>
      </c>
      <c r="BK10" s="6"/>
      <c r="BL10" s="6" t="s">
        <v>249</v>
      </c>
      <c r="BM10" s="6"/>
      <c r="BN10" s="6"/>
      <c r="BO10" s="6" t="s">
        <v>127</v>
      </c>
      <c r="BP10" s="6"/>
      <c r="BQ10" s="6"/>
      <c r="BR10" s="6"/>
      <c r="BS10" s="6"/>
      <c r="BT10" s="6" t="s">
        <v>128</v>
      </c>
      <c r="BU10" s="6" t="s">
        <v>129</v>
      </c>
      <c r="BV10" s="6" t="s">
        <v>129</v>
      </c>
      <c r="BW10" s="6" t="s">
        <v>130</v>
      </c>
      <c r="BX10" s="6"/>
      <c r="BY10" s="6"/>
      <c r="BZ10" s="6"/>
      <c r="CA10" s="6"/>
      <c r="CB10" s="6"/>
      <c r="CC10" s="6"/>
      <c r="CD10" s="6"/>
      <c r="CE10" s="6"/>
      <c r="CF10" s="6" t="s">
        <v>130</v>
      </c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 t="s">
        <v>315</v>
      </c>
      <c r="CS10" s="6" t="s">
        <v>132</v>
      </c>
      <c r="CT10" s="6" t="s">
        <v>133</v>
      </c>
      <c r="CU10" s="6" t="s">
        <v>134</v>
      </c>
      <c r="CV10" s="6"/>
    </row>
    <row r="11" spans="1:100" x14ac:dyDescent="0.2">
      <c r="A11" s="33" t="b">
        <v>0</v>
      </c>
      <c r="B11" s="34" t="b">
        <v>0</v>
      </c>
      <c r="C11" s="33" t="b">
        <v>0</v>
      </c>
      <c r="D11" s="34" t="b">
        <v>0</v>
      </c>
      <c r="E11" s="34" t="b">
        <v>0</v>
      </c>
      <c r="F11" s="32" t="b">
        <v>0</v>
      </c>
      <c r="G11" s="25"/>
      <c r="H11" s="11"/>
      <c r="I11" s="12" t="s">
        <v>199</v>
      </c>
      <c r="J11" s="11" t="s">
        <v>703</v>
      </c>
      <c r="K11" s="11" t="s">
        <v>621</v>
      </c>
      <c r="L11" s="11" t="s">
        <v>137</v>
      </c>
      <c r="M11" s="11"/>
      <c r="N11" s="11" t="s">
        <v>742</v>
      </c>
      <c r="O11" s="11"/>
      <c r="P11" s="11" t="s">
        <v>743</v>
      </c>
      <c r="Q11" s="11"/>
      <c r="R11" s="11"/>
      <c r="S11" s="11"/>
      <c r="T11" s="11"/>
      <c r="U11" s="11"/>
      <c r="V11" s="11"/>
      <c r="W11" s="11"/>
      <c r="X11" s="11" t="s">
        <v>173</v>
      </c>
      <c r="Y11" s="11" t="s">
        <v>332</v>
      </c>
      <c r="Z11" s="11"/>
      <c r="AA11" s="11" t="s">
        <v>115</v>
      </c>
      <c r="AB11" s="11"/>
      <c r="AC11" s="11"/>
      <c r="AD11" s="11" t="s">
        <v>115</v>
      </c>
      <c r="AE11" s="11" t="s">
        <v>116</v>
      </c>
      <c r="AF11" s="11"/>
      <c r="AG11" s="11"/>
      <c r="AH11" s="11" t="s">
        <v>116</v>
      </c>
      <c r="AI11" s="11" t="s">
        <v>117</v>
      </c>
      <c r="AJ11" s="11" t="s">
        <v>118</v>
      </c>
      <c r="AK11" s="11"/>
      <c r="AL11" s="11"/>
      <c r="AM11" s="11" t="s">
        <v>211</v>
      </c>
      <c r="AN11" s="11"/>
      <c r="AO11" s="11"/>
      <c r="AP11" s="11"/>
      <c r="AQ11" s="11"/>
      <c r="AR11" s="11" t="s">
        <v>232</v>
      </c>
      <c r="AS11" s="11" t="s">
        <v>144</v>
      </c>
      <c r="AT11" s="11" t="s">
        <v>744</v>
      </c>
      <c r="AU11" s="13" t="str">
        <f>IF($AT11="","",IFERROR(INDEX(InstructorMap!$B:$B, MATCH($AT11, InstructorMap!$A:$A, 0)),""))</f>
        <v/>
      </c>
      <c r="AV11" s="13" t="str">
        <f>IF($AT11="","",IFERROR(INDEX(InstructorMap!$C:$C, MATCH($AT11, InstructorMap!$A:$A, 0)),""))</f>
        <v/>
      </c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 t="s">
        <v>703</v>
      </c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 t="s">
        <v>146</v>
      </c>
      <c r="CT11" s="11" t="s">
        <v>133</v>
      </c>
      <c r="CU11" s="11"/>
      <c r="CV11" s="11"/>
    </row>
    <row r="12" spans="1:100" x14ac:dyDescent="0.2">
      <c r="A12" s="30" t="b">
        <v>0</v>
      </c>
      <c r="B12" s="31" t="b">
        <v>0</v>
      </c>
      <c r="C12" s="31" t="b">
        <v>0</v>
      </c>
      <c r="D12" s="31" t="b">
        <v>0</v>
      </c>
      <c r="E12" s="31" t="b">
        <v>0</v>
      </c>
      <c r="F12" s="31" t="b">
        <v>0</v>
      </c>
      <c r="G12" s="8"/>
      <c r="H12" s="8" t="s">
        <v>745</v>
      </c>
      <c r="I12" s="8" t="s">
        <v>746</v>
      </c>
      <c r="J12" s="8" t="s">
        <v>703</v>
      </c>
      <c r="K12" s="8" t="s">
        <v>642</v>
      </c>
      <c r="L12" s="8" t="s">
        <v>137</v>
      </c>
      <c r="M12" s="8"/>
      <c r="N12" s="8" t="s">
        <v>747</v>
      </c>
      <c r="O12" s="8" t="s">
        <v>455</v>
      </c>
      <c r="P12" s="8"/>
      <c r="Q12" s="8"/>
      <c r="R12" s="8" t="s">
        <v>129</v>
      </c>
      <c r="S12" s="8"/>
      <c r="T12" s="8"/>
      <c r="U12" s="8"/>
      <c r="V12" s="8"/>
      <c r="W12" s="8" t="s">
        <v>290</v>
      </c>
      <c r="X12" s="8" t="s">
        <v>173</v>
      </c>
      <c r="Y12" s="8" t="s">
        <v>217</v>
      </c>
      <c r="Z12" s="8" t="s">
        <v>142</v>
      </c>
      <c r="AA12" s="8" t="s">
        <v>115</v>
      </c>
      <c r="AB12" s="8"/>
      <c r="AC12" s="8"/>
      <c r="AD12" s="8" t="s">
        <v>115</v>
      </c>
      <c r="AE12" s="8" t="s">
        <v>116</v>
      </c>
      <c r="AF12" s="8"/>
      <c r="AG12" s="8"/>
      <c r="AH12" s="8" t="s">
        <v>116</v>
      </c>
      <c r="AI12" s="8" t="s">
        <v>277</v>
      </c>
      <c r="AJ12" s="8" t="s">
        <v>194</v>
      </c>
      <c r="AK12" s="8"/>
      <c r="AL12" s="8"/>
      <c r="AM12" s="8"/>
      <c r="AN12" s="8" t="s">
        <v>177</v>
      </c>
      <c r="AO12" s="8"/>
      <c r="AP12" s="8"/>
      <c r="AQ12" s="8"/>
      <c r="AR12" s="8"/>
      <c r="AS12" s="8" t="s">
        <v>144</v>
      </c>
      <c r="AT12" s="8" t="s">
        <v>716</v>
      </c>
      <c r="AU12" s="9" t="str">
        <f>IF($AT12="","",IFERROR(INDEX(InstructorMap!$B:$B, MATCH($AT12, InstructorMap!$A:$A, 0)),""))</f>
        <v>drumi@andrews.edu</v>
      </c>
      <c r="AV12" s="9" t="str">
        <f>IF($AT12="","",IFERROR(INDEX(InstructorMap!$C:$C, MATCH($AT12, InstructorMap!$A:$A, 0)),""))</f>
        <v>000092262</v>
      </c>
      <c r="AW12" s="8" t="s">
        <v>121</v>
      </c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 t="s">
        <v>717</v>
      </c>
      <c r="BI12" s="8" t="s">
        <v>124</v>
      </c>
      <c r="BJ12" s="8" t="s">
        <v>125</v>
      </c>
      <c r="BK12" s="8" t="s">
        <v>173</v>
      </c>
      <c r="BL12" s="8" t="s">
        <v>125</v>
      </c>
      <c r="BM12" s="8"/>
      <c r="BN12" s="8"/>
      <c r="BO12" s="8" t="s">
        <v>127</v>
      </c>
      <c r="BP12" s="8"/>
      <c r="BQ12" s="8"/>
      <c r="BR12" s="8"/>
      <c r="BS12" s="8"/>
      <c r="BT12" s="8" t="s">
        <v>128</v>
      </c>
      <c r="BU12" s="8" t="s">
        <v>129</v>
      </c>
      <c r="BV12" s="8" t="s">
        <v>129</v>
      </c>
      <c r="BW12" s="8" t="s">
        <v>130</v>
      </c>
      <c r="BX12" s="8" t="s">
        <v>131</v>
      </c>
      <c r="BY12" s="8"/>
      <c r="BZ12" s="8"/>
      <c r="CA12" s="8"/>
      <c r="CB12" s="8"/>
      <c r="CC12" s="8"/>
      <c r="CD12" s="8"/>
      <c r="CE12" s="8"/>
      <c r="CF12" s="8" t="s">
        <v>130</v>
      </c>
      <c r="CG12" s="8"/>
      <c r="CH12" s="8" t="s">
        <v>131</v>
      </c>
      <c r="CI12" s="8"/>
      <c r="CJ12" s="8"/>
      <c r="CK12" s="8"/>
      <c r="CL12" s="8"/>
      <c r="CM12" s="8"/>
      <c r="CN12" s="8"/>
      <c r="CO12" s="8"/>
      <c r="CP12" s="8"/>
      <c r="CQ12" s="8"/>
      <c r="CR12" s="8" t="s">
        <v>315</v>
      </c>
      <c r="CS12" s="8" t="s">
        <v>132</v>
      </c>
      <c r="CT12" s="8" t="s">
        <v>133</v>
      </c>
      <c r="CU12" s="8" t="s">
        <v>134</v>
      </c>
      <c r="CV12" s="8"/>
    </row>
    <row r="13" spans="1:100" x14ac:dyDescent="0.2">
      <c r="A13" s="33" t="b">
        <v>0</v>
      </c>
      <c r="B13" s="34" t="b">
        <v>0</v>
      </c>
      <c r="C13" s="33" t="b">
        <v>0</v>
      </c>
      <c r="D13" s="34" t="b">
        <v>0</v>
      </c>
      <c r="E13" s="34" t="b">
        <v>0</v>
      </c>
      <c r="F13" s="32" t="b">
        <v>0</v>
      </c>
      <c r="G13" s="25"/>
      <c r="H13" s="11"/>
      <c r="I13" s="12" t="s">
        <v>199</v>
      </c>
      <c r="J13" s="11" t="s">
        <v>703</v>
      </c>
      <c r="K13" s="11" t="s">
        <v>642</v>
      </c>
      <c r="L13" s="11" t="s">
        <v>137</v>
      </c>
      <c r="M13" s="11"/>
      <c r="N13" s="11" t="s">
        <v>742</v>
      </c>
      <c r="O13" s="11"/>
      <c r="P13" s="11" t="s">
        <v>743</v>
      </c>
      <c r="Q13" s="11"/>
      <c r="R13" s="11"/>
      <c r="S13" s="11"/>
      <c r="T13" s="11"/>
      <c r="U13" s="11"/>
      <c r="V13" s="11"/>
      <c r="W13" s="11"/>
      <c r="X13" s="11" t="s">
        <v>173</v>
      </c>
      <c r="Y13" s="11" t="s">
        <v>217</v>
      </c>
      <c r="Z13" s="11"/>
      <c r="AA13" s="11" t="s">
        <v>115</v>
      </c>
      <c r="AB13" s="11"/>
      <c r="AC13" s="11"/>
      <c r="AD13" s="11" t="s">
        <v>115</v>
      </c>
      <c r="AE13" s="11" t="s">
        <v>116</v>
      </c>
      <c r="AF13" s="11"/>
      <c r="AG13" s="11"/>
      <c r="AH13" s="11" t="s">
        <v>116</v>
      </c>
      <c r="AI13" s="11" t="s">
        <v>117</v>
      </c>
      <c r="AJ13" s="11" t="s">
        <v>118</v>
      </c>
      <c r="AK13" s="11"/>
      <c r="AL13" s="11"/>
      <c r="AM13" s="11" t="s">
        <v>211</v>
      </c>
      <c r="AN13" s="11"/>
      <c r="AO13" s="11"/>
      <c r="AP13" s="11"/>
      <c r="AQ13" s="11"/>
      <c r="AR13" s="11" t="s">
        <v>232</v>
      </c>
      <c r="AS13" s="11" t="s">
        <v>144</v>
      </c>
      <c r="AT13" s="11" t="s">
        <v>744</v>
      </c>
      <c r="AU13" s="13" t="str">
        <f>IF($AT13="","",IFERROR(INDEX(InstructorMap!$B:$B, MATCH($AT13, InstructorMap!$A:$A, 0)),""))</f>
        <v/>
      </c>
      <c r="AV13" s="13" t="str">
        <f>IF($AT13="","",IFERROR(INDEX(InstructorMap!$C:$C, MATCH($AT13, InstructorMap!$A:$A, 0)),""))</f>
        <v/>
      </c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 t="s">
        <v>703</v>
      </c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 t="s">
        <v>146</v>
      </c>
      <c r="CT13" s="11" t="s">
        <v>133</v>
      </c>
      <c r="CU13" s="11"/>
      <c r="CV13" s="11"/>
    </row>
    <row r="14" spans="1:100" x14ac:dyDescent="0.2">
      <c r="A14" s="30" t="b">
        <v>0</v>
      </c>
      <c r="B14" s="31" t="b">
        <v>0</v>
      </c>
      <c r="C14" s="31" t="b">
        <v>0</v>
      </c>
      <c r="D14" s="31" t="b">
        <v>0</v>
      </c>
      <c r="E14" s="31" t="b">
        <v>0</v>
      </c>
      <c r="F14" s="31" t="b">
        <v>0</v>
      </c>
      <c r="G14" s="8"/>
      <c r="H14" s="8" t="s">
        <v>748</v>
      </c>
      <c r="I14" s="8" t="s">
        <v>749</v>
      </c>
      <c r="J14" s="8" t="s">
        <v>703</v>
      </c>
      <c r="K14" s="8" t="s">
        <v>646</v>
      </c>
      <c r="L14" s="8" t="s">
        <v>255</v>
      </c>
      <c r="M14" s="8"/>
      <c r="N14" s="8" t="s">
        <v>750</v>
      </c>
      <c r="O14" s="8"/>
      <c r="P14" s="8"/>
      <c r="Q14" s="8"/>
      <c r="R14" s="8" t="s">
        <v>129</v>
      </c>
      <c r="S14" s="8"/>
      <c r="T14" s="8"/>
      <c r="U14" s="8"/>
      <c r="V14" s="8"/>
      <c r="W14" s="8" t="s">
        <v>692</v>
      </c>
      <c r="X14" s="8" t="s">
        <v>173</v>
      </c>
      <c r="Y14" s="8" t="s">
        <v>203</v>
      </c>
      <c r="Z14" s="8" t="s">
        <v>142</v>
      </c>
      <c r="AA14" s="8" t="s">
        <v>115</v>
      </c>
      <c r="AB14" s="8"/>
      <c r="AC14" s="8"/>
      <c r="AD14" s="8" t="s">
        <v>115</v>
      </c>
      <c r="AE14" s="8" t="s">
        <v>116</v>
      </c>
      <c r="AF14" s="8"/>
      <c r="AG14" s="8"/>
      <c r="AH14" s="8" t="s">
        <v>116</v>
      </c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 t="s">
        <v>738</v>
      </c>
      <c r="AU14" s="9" t="str">
        <f>IF($AT14="","",IFERROR(INDEX(InstructorMap!$B:$B, MATCH($AT14, InstructorMap!$A:$A, 0)),""))</f>
        <v>tompkina@andrews.edu</v>
      </c>
      <c r="AV14" s="9" t="str">
        <f>IF($AT14="","",IFERROR(INDEX(InstructorMap!$C:$C, MATCH($AT14, InstructorMap!$A:$A, 0)),""))</f>
        <v>000122109</v>
      </c>
      <c r="AW14" s="8" t="s">
        <v>121</v>
      </c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 t="s">
        <v>717</v>
      </c>
      <c r="BI14" s="8" t="s">
        <v>124</v>
      </c>
      <c r="BJ14" s="8" t="s">
        <v>125</v>
      </c>
      <c r="BK14" s="8" t="s">
        <v>173</v>
      </c>
      <c r="BL14" s="8" t="s">
        <v>119</v>
      </c>
      <c r="BM14" s="8"/>
      <c r="BN14" s="8"/>
      <c r="BO14" s="8" t="s">
        <v>127</v>
      </c>
      <c r="BP14" s="8"/>
      <c r="BQ14" s="8"/>
      <c r="BR14" s="8"/>
      <c r="BS14" s="8"/>
      <c r="BT14" s="8" t="s">
        <v>128</v>
      </c>
      <c r="BU14" s="8" t="s">
        <v>129</v>
      </c>
      <c r="BV14" s="8" t="s">
        <v>129</v>
      </c>
      <c r="BW14" s="8" t="s">
        <v>130</v>
      </c>
      <c r="BX14" s="8"/>
      <c r="BY14" s="8"/>
      <c r="BZ14" s="8"/>
      <c r="CA14" s="8"/>
      <c r="CB14" s="8"/>
      <c r="CC14" s="8"/>
      <c r="CD14" s="8"/>
      <c r="CE14" s="8"/>
      <c r="CF14" s="8" t="s">
        <v>130</v>
      </c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 t="s">
        <v>132</v>
      </c>
      <c r="CT14" s="8" t="s">
        <v>133</v>
      </c>
      <c r="CU14" s="8" t="s">
        <v>134</v>
      </c>
      <c r="CV14" s="8"/>
    </row>
    <row r="15" spans="1:100" x14ac:dyDescent="0.2">
      <c r="A15" s="38" t="b">
        <v>0</v>
      </c>
      <c r="B15" s="39" t="b">
        <v>0</v>
      </c>
      <c r="C15" s="39" t="b">
        <v>0</v>
      </c>
      <c r="D15" s="39" t="b">
        <v>0</v>
      </c>
      <c r="E15" s="39" t="b">
        <v>0</v>
      </c>
      <c r="F15" s="37" t="b">
        <v>0</v>
      </c>
      <c r="G15" s="36"/>
      <c r="H15" s="6" t="s">
        <v>751</v>
      </c>
      <c r="I15" s="6" t="s">
        <v>752</v>
      </c>
      <c r="J15" s="6" t="s">
        <v>703</v>
      </c>
      <c r="K15" s="6" t="s">
        <v>668</v>
      </c>
      <c r="L15" s="6" t="s">
        <v>137</v>
      </c>
      <c r="M15" s="6"/>
      <c r="N15" s="6" t="s">
        <v>753</v>
      </c>
      <c r="O15" s="6" t="s">
        <v>754</v>
      </c>
      <c r="P15" s="6"/>
      <c r="Q15" s="6"/>
      <c r="R15" s="6" t="s">
        <v>129</v>
      </c>
      <c r="S15" s="6"/>
      <c r="T15" s="6"/>
      <c r="U15" s="6"/>
      <c r="V15" s="6"/>
      <c r="W15" s="6" t="s">
        <v>129</v>
      </c>
      <c r="X15" s="6"/>
      <c r="Y15" s="6" t="s">
        <v>148</v>
      </c>
      <c r="Z15" s="6" t="s">
        <v>142</v>
      </c>
      <c r="AA15" s="6" t="s">
        <v>115</v>
      </c>
      <c r="AB15" s="6"/>
      <c r="AC15" s="6"/>
      <c r="AD15" s="6" t="s">
        <v>115</v>
      </c>
      <c r="AE15" s="6" t="s">
        <v>116</v>
      </c>
      <c r="AF15" s="6"/>
      <c r="AG15" s="6"/>
      <c r="AH15" s="6" t="s">
        <v>116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 t="s">
        <v>741</v>
      </c>
      <c r="AU15" s="7" t="str">
        <f>IF($AT15="","",IFERROR(INDEX(InstructorMap!$B:$B, MATCH($AT15, InstructorMap!$A:$A, 0)),""))</f>
        <v>cincala@andrews.edu</v>
      </c>
      <c r="AV15" s="7" t="str">
        <f>IF($AT15="","",IFERROR(INDEX(InstructorMap!$C:$C, MATCH($AT15, InstructorMap!$A:$A, 0)),""))</f>
        <v>000074406</v>
      </c>
      <c r="AW15" s="6" t="s">
        <v>121</v>
      </c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 t="s">
        <v>717</v>
      </c>
      <c r="BI15" s="6" t="s">
        <v>124</v>
      </c>
      <c r="BJ15" s="6" t="s">
        <v>125</v>
      </c>
      <c r="BK15" s="6"/>
      <c r="BL15" s="6" t="s">
        <v>249</v>
      </c>
      <c r="BM15" s="6"/>
      <c r="BN15" s="6"/>
      <c r="BO15" s="6" t="s">
        <v>127</v>
      </c>
      <c r="BP15" s="6"/>
      <c r="BQ15" s="6" t="s">
        <v>511</v>
      </c>
      <c r="BR15" s="6"/>
      <c r="BS15" s="6"/>
      <c r="BT15" s="6" t="s">
        <v>128</v>
      </c>
      <c r="BU15" s="6" t="s">
        <v>129</v>
      </c>
      <c r="BV15" s="6" t="s">
        <v>129</v>
      </c>
      <c r="BW15" s="6" t="s">
        <v>130</v>
      </c>
      <c r="BX15" s="6"/>
      <c r="BY15" s="6"/>
      <c r="BZ15" s="6"/>
      <c r="CA15" s="6"/>
      <c r="CB15" s="6"/>
      <c r="CC15" s="6"/>
      <c r="CD15" s="6"/>
      <c r="CE15" s="6"/>
      <c r="CF15" s="6" t="s">
        <v>130</v>
      </c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 t="s">
        <v>132</v>
      </c>
      <c r="CT15" s="6" t="s">
        <v>133</v>
      </c>
      <c r="CU15" s="6" t="s">
        <v>134</v>
      </c>
      <c r="CV15" s="6"/>
    </row>
    <row r="16" spans="1:100" x14ac:dyDescent="0.2">
      <c r="A16" s="38" t="b">
        <v>0</v>
      </c>
      <c r="B16" s="39" t="b">
        <v>0</v>
      </c>
      <c r="C16" s="39" t="b">
        <v>0</v>
      </c>
      <c r="D16" s="39" t="b">
        <v>0</v>
      </c>
      <c r="E16" s="39" t="b">
        <v>0</v>
      </c>
      <c r="F16" s="38" t="b">
        <v>0</v>
      </c>
      <c r="G16" s="36"/>
      <c r="H16" s="6" t="s">
        <v>755</v>
      </c>
      <c r="I16" s="6" t="s">
        <v>756</v>
      </c>
      <c r="J16" s="6" t="s">
        <v>703</v>
      </c>
      <c r="K16" s="6" t="s">
        <v>288</v>
      </c>
      <c r="L16" s="6" t="s">
        <v>255</v>
      </c>
      <c r="M16" s="6"/>
      <c r="N16" s="6" t="s">
        <v>757</v>
      </c>
      <c r="O16" s="6" t="s">
        <v>758</v>
      </c>
      <c r="P16" s="6"/>
      <c r="Q16" s="6"/>
      <c r="R16" s="6" t="s">
        <v>129</v>
      </c>
      <c r="S16" s="6"/>
      <c r="T16" s="6"/>
      <c r="U16" s="6"/>
      <c r="V16" s="6"/>
      <c r="W16" s="6" t="s">
        <v>759</v>
      </c>
      <c r="X16" s="6"/>
      <c r="Y16" s="6" t="s">
        <v>148</v>
      </c>
      <c r="Z16" s="6" t="s">
        <v>142</v>
      </c>
      <c r="AA16" s="6" t="s">
        <v>115</v>
      </c>
      <c r="AB16" s="6"/>
      <c r="AC16" s="6"/>
      <c r="AD16" s="6" t="s">
        <v>115</v>
      </c>
      <c r="AE16" s="6" t="s">
        <v>116</v>
      </c>
      <c r="AF16" s="6"/>
      <c r="AG16" s="6"/>
      <c r="AH16" s="6" t="s">
        <v>116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 t="s">
        <v>716</v>
      </c>
      <c r="AU16" s="7" t="str">
        <f>IF($AT16="","",IFERROR(INDEX(InstructorMap!$B:$B, MATCH($AT16, InstructorMap!$A:$A, 0)),""))</f>
        <v>drumi@andrews.edu</v>
      </c>
      <c r="AV16" s="7" t="str">
        <f>IF($AT16="","",IFERROR(INDEX(InstructorMap!$C:$C, MATCH($AT16, InstructorMap!$A:$A, 0)),""))</f>
        <v>000092262</v>
      </c>
      <c r="AW16" s="6" t="s">
        <v>121</v>
      </c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 t="s">
        <v>717</v>
      </c>
      <c r="BI16" s="6" t="s">
        <v>124</v>
      </c>
      <c r="BJ16" s="6" t="s">
        <v>125</v>
      </c>
      <c r="BK16" s="6"/>
      <c r="BL16" s="6" t="s">
        <v>249</v>
      </c>
      <c r="BM16" s="6"/>
      <c r="BN16" s="6"/>
      <c r="BO16" s="6" t="s">
        <v>127</v>
      </c>
      <c r="BP16" s="6"/>
      <c r="BQ16" s="6"/>
      <c r="BR16" s="6"/>
      <c r="BS16" s="6"/>
      <c r="BT16" s="6" t="s">
        <v>128</v>
      </c>
      <c r="BU16" s="6" t="s">
        <v>129</v>
      </c>
      <c r="BV16" s="6" t="s">
        <v>129</v>
      </c>
      <c r="BW16" s="6" t="s">
        <v>130</v>
      </c>
      <c r="BX16" s="6"/>
      <c r="BY16" s="6"/>
      <c r="BZ16" s="6"/>
      <c r="CA16" s="6"/>
      <c r="CB16" s="6"/>
      <c r="CC16" s="6"/>
      <c r="CD16" s="6"/>
      <c r="CE16" s="6"/>
      <c r="CF16" s="6" t="s">
        <v>130</v>
      </c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 t="s">
        <v>132</v>
      </c>
      <c r="CT16" s="6" t="s">
        <v>133</v>
      </c>
      <c r="CU16" s="6" t="s">
        <v>134</v>
      </c>
      <c r="CV16" s="6"/>
    </row>
    <row r="17" spans="1:100" x14ac:dyDescent="0.2">
      <c r="A17" s="38" t="b">
        <v>0</v>
      </c>
      <c r="B17" s="39" t="b">
        <v>0</v>
      </c>
      <c r="C17" s="39" t="b">
        <v>0</v>
      </c>
      <c r="D17" s="39" t="b">
        <v>0</v>
      </c>
      <c r="E17" s="39" t="b">
        <v>0</v>
      </c>
      <c r="F17" s="38" t="b">
        <v>0</v>
      </c>
      <c r="G17" s="36"/>
      <c r="H17" s="6" t="s">
        <v>760</v>
      </c>
      <c r="I17" s="6" t="s">
        <v>761</v>
      </c>
      <c r="J17" s="6" t="s">
        <v>703</v>
      </c>
      <c r="K17" s="6" t="s">
        <v>762</v>
      </c>
      <c r="L17" s="6" t="s">
        <v>137</v>
      </c>
      <c r="M17" s="6"/>
      <c r="N17" s="6" t="s">
        <v>763</v>
      </c>
      <c r="O17" s="6" t="s">
        <v>764</v>
      </c>
      <c r="P17" s="6"/>
      <c r="Q17" s="6"/>
      <c r="R17" s="6" t="s">
        <v>129</v>
      </c>
      <c r="S17" s="6"/>
      <c r="T17" s="6"/>
      <c r="U17" s="6"/>
      <c r="V17" s="6"/>
      <c r="W17" s="6" t="s">
        <v>290</v>
      </c>
      <c r="X17" s="6"/>
      <c r="Y17" s="6" t="s">
        <v>148</v>
      </c>
      <c r="Z17" s="6" t="s">
        <v>142</v>
      </c>
      <c r="AA17" s="6" t="s">
        <v>115</v>
      </c>
      <c r="AB17" s="6"/>
      <c r="AC17" s="6"/>
      <c r="AD17" s="6" t="s">
        <v>115</v>
      </c>
      <c r="AE17" s="6" t="s">
        <v>116</v>
      </c>
      <c r="AF17" s="6"/>
      <c r="AG17" s="6"/>
      <c r="AH17" s="6" t="s">
        <v>116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 t="s">
        <v>741</v>
      </c>
      <c r="AU17" s="7" t="str">
        <f>IF($AT17="","",IFERROR(INDEX(InstructorMap!$B:$B, MATCH($AT17, InstructorMap!$A:$A, 0)),""))</f>
        <v>cincala@andrews.edu</v>
      </c>
      <c r="AV17" s="7" t="str">
        <f>IF($AT17="","",IFERROR(INDEX(InstructorMap!$C:$C, MATCH($AT17, InstructorMap!$A:$A, 0)),""))</f>
        <v>000074406</v>
      </c>
      <c r="AW17" s="6" t="s">
        <v>121</v>
      </c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 t="s">
        <v>717</v>
      </c>
      <c r="BI17" s="6" t="s">
        <v>124</v>
      </c>
      <c r="BJ17" s="6" t="s">
        <v>125</v>
      </c>
      <c r="BK17" s="6"/>
      <c r="BL17" s="6" t="s">
        <v>249</v>
      </c>
      <c r="BM17" s="6"/>
      <c r="BN17" s="6"/>
      <c r="BO17" s="6" t="s">
        <v>127</v>
      </c>
      <c r="BP17" s="6"/>
      <c r="BQ17" s="6" t="s">
        <v>511</v>
      </c>
      <c r="BR17" s="6"/>
      <c r="BS17" s="6"/>
      <c r="BT17" s="6" t="s">
        <v>128</v>
      </c>
      <c r="BU17" s="6" t="s">
        <v>129</v>
      </c>
      <c r="BV17" s="6" t="s">
        <v>129</v>
      </c>
      <c r="BW17" s="6" t="s">
        <v>130</v>
      </c>
      <c r="BX17" s="6"/>
      <c r="BY17" s="6"/>
      <c r="BZ17" s="6"/>
      <c r="CA17" s="6"/>
      <c r="CB17" s="6"/>
      <c r="CC17" s="6"/>
      <c r="CD17" s="6"/>
      <c r="CE17" s="6"/>
      <c r="CF17" s="6" t="s">
        <v>130</v>
      </c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 t="s">
        <v>132</v>
      </c>
      <c r="CT17" s="6" t="s">
        <v>133</v>
      </c>
      <c r="CU17" s="6" t="s">
        <v>134</v>
      </c>
      <c r="CV17" s="6"/>
    </row>
  </sheetData>
  <autoFilter ref="A1:CV17" xr:uid="{00000000-0009-0000-0000-000003000000}">
    <sortState xmlns:xlrd2="http://schemas.microsoft.com/office/spreadsheetml/2017/richdata2" ref="A2:CV17">
      <sortCondition ref="K1:K17"/>
    </sortState>
  </autoFilter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62">
        <x14:dataValidation type="list" allowBlank="1" xr:uid="{00000000-0002-0000-0300-000000000000}">
          <x14:formula1>
            <xm:f>DropDownMenu!$A$2:$A$3</xm:f>
          </x14:formula1>
          <xm:sqref>A18:A5000</xm:sqref>
        </x14:dataValidation>
        <x14:dataValidation type="list" allowBlank="1" xr:uid="{00000000-0002-0000-0300-000001000000}">
          <x14:formula1>
            <xm:f>DropDownMenu!$B$2:$B$3</xm:f>
          </x14:formula1>
          <xm:sqref>B18:B5000</xm:sqref>
        </x14:dataValidation>
        <x14:dataValidation type="list" allowBlank="1" xr:uid="{00000000-0002-0000-0300-000002000000}">
          <x14:formula1>
            <xm:f>DropDownMenu!$C$2:$C$3</xm:f>
          </x14:formula1>
          <xm:sqref>D18:D5000</xm:sqref>
        </x14:dataValidation>
        <x14:dataValidation type="list" allowBlank="1" xr:uid="{00000000-0002-0000-0300-000003000000}">
          <x14:formula1>
            <xm:f>DropDownMenu!$D$2:$D$3</xm:f>
          </x14:formula1>
          <xm:sqref>E18:E5000</xm:sqref>
        </x14:dataValidation>
        <x14:dataValidation type="list" allowBlank="1" xr:uid="{00000000-0002-0000-0300-000004000000}">
          <x14:formula1>
            <xm:f>DropDownMenu!$E$2:$E$3</xm:f>
          </x14:formula1>
          <xm:sqref>F18:F5000</xm:sqref>
        </x14:dataValidation>
        <x14:dataValidation type="list" allowBlank="1" xr:uid="{00000000-0002-0000-0300-000005000000}">
          <x14:formula1>
            <xm:f>DropDownMenu!$G$2:$G$19</xm:f>
          </x14:formula1>
          <xm:sqref>G4 G6 G8:G5000</xm:sqref>
        </x14:dataValidation>
        <x14:dataValidation type="list" allowBlank="1" xr:uid="{00000000-0002-0000-0300-000006000000}">
          <x14:formula1>
            <xm:f>DropDownMenu!$H$2:$H$564</xm:f>
          </x14:formula1>
          <xm:sqref>H2:H5000</xm:sqref>
        </x14:dataValidation>
        <x14:dataValidation type="list" allowBlank="1" xr:uid="{00000000-0002-0000-0300-000007000000}">
          <x14:formula1>
            <xm:f>DropDownMenu!$I$2:$I$352</xm:f>
          </x14:formula1>
          <xm:sqref>I2:I5000</xm:sqref>
        </x14:dataValidation>
        <x14:dataValidation type="list" allowBlank="1" xr:uid="{00000000-0002-0000-0300-000008000000}">
          <x14:formula1>
            <xm:f>DropDownMenu!$J$2:$J$10</xm:f>
          </x14:formula1>
          <xm:sqref>J2:J5000</xm:sqref>
        </x14:dataValidation>
        <x14:dataValidation type="list" allowBlank="1" xr:uid="{00000000-0002-0000-0300-000009000000}">
          <x14:formula1>
            <xm:f>DropDownMenu!$K$2:$K$101</xm:f>
          </x14:formula1>
          <xm:sqref>K2:K5000</xm:sqref>
        </x14:dataValidation>
        <x14:dataValidation type="list" allowBlank="1" xr:uid="{00000000-0002-0000-0300-00000A000000}">
          <x14:formula1>
            <xm:f>DropDownMenu!$L$2:$L$42</xm:f>
          </x14:formula1>
          <xm:sqref>L2:L5000</xm:sqref>
        </x14:dataValidation>
        <x14:dataValidation type="list" allowBlank="1" xr:uid="{00000000-0002-0000-0300-00000B000000}">
          <x14:formula1>
            <xm:f>DropDownMenu!$M$2:$M$16</xm:f>
          </x14:formula1>
          <xm:sqref>M2:M5000</xm:sqref>
        </x14:dataValidation>
        <x14:dataValidation type="list" allowBlank="1" xr:uid="{00000000-0002-0000-0300-00000C000000}">
          <x14:formula1>
            <xm:f>DropDownMenu!$N$2:$N$140</xm:f>
          </x14:formula1>
          <xm:sqref>N2:N5000</xm:sqref>
        </x14:dataValidation>
        <x14:dataValidation type="list" allowBlank="1" xr:uid="{00000000-0002-0000-0300-00000D000000}">
          <x14:formula1>
            <xm:f>DropDownMenu!$O$2:$O$65</xm:f>
          </x14:formula1>
          <xm:sqref>O2:O5000</xm:sqref>
        </x14:dataValidation>
        <x14:dataValidation type="list" allowBlank="1" xr:uid="{00000000-0002-0000-0300-00000E000000}">
          <x14:formula1>
            <xm:f>DropDownMenu!$P$2:$P$45</xm:f>
          </x14:formula1>
          <xm:sqref>Q2:Q5000</xm:sqref>
        </x14:dataValidation>
        <x14:dataValidation type="list" allowBlank="1" xr:uid="{00000000-0002-0000-0300-00000F000000}">
          <x14:formula1>
            <xm:f>DropDownMenu!$Q$2:$Q$5</xm:f>
          </x14:formula1>
          <xm:sqref>R2:R5000</xm:sqref>
        </x14:dataValidation>
        <x14:dataValidation type="list" allowBlank="1" xr:uid="{00000000-0002-0000-0300-000010000000}">
          <x14:formula1>
            <xm:f>DropDownMenu!$R$2:$R$7</xm:f>
          </x14:formula1>
          <xm:sqref>S2:S5000</xm:sqref>
        </x14:dataValidation>
        <x14:dataValidation type="list" allowBlank="1" xr:uid="{00000000-0002-0000-0300-000011000000}">
          <x14:formula1>
            <xm:f>DropDownMenu!$S$2:$S$11</xm:f>
          </x14:formula1>
          <xm:sqref>T2:T5000</xm:sqref>
        </x14:dataValidation>
        <x14:dataValidation type="list" allowBlank="1" xr:uid="{00000000-0002-0000-0300-000012000000}">
          <x14:formula1>
            <xm:f>DropDownMenu!$T$2:$T$13</xm:f>
          </x14:formula1>
          <xm:sqref>U2:U5000</xm:sqref>
        </x14:dataValidation>
        <x14:dataValidation type="list" allowBlank="1" xr:uid="{00000000-0002-0000-0300-000013000000}">
          <x14:formula1>
            <xm:f>DropDownMenu!$U$2:$U$5</xm:f>
          </x14:formula1>
          <xm:sqref>CR2:CR5000</xm:sqref>
        </x14:dataValidation>
        <x14:dataValidation type="list" allowBlank="1" xr:uid="{00000000-0002-0000-0300-000014000000}">
          <x14:formula1>
            <xm:f>DropDownMenu!$V$2:$V$4</xm:f>
          </x14:formula1>
          <xm:sqref>V2:V5000</xm:sqref>
        </x14:dataValidation>
        <x14:dataValidation type="list" allowBlank="1" xr:uid="{00000000-0002-0000-0300-000015000000}">
          <x14:formula1>
            <xm:f>DropDownMenu!$W$2:$W$6</xm:f>
          </x14:formula1>
          <xm:sqref>CU2:CU5000</xm:sqref>
        </x14:dataValidation>
        <x14:dataValidation type="list" allowBlank="1" xr:uid="{00000000-0002-0000-0300-000016000000}">
          <x14:formula1>
            <xm:f>DropDownMenu!$X$2:$X$26</xm:f>
          </x14:formula1>
          <xm:sqref>W2:W5000</xm:sqref>
        </x14:dataValidation>
        <x14:dataValidation type="list" allowBlank="1" xr:uid="{00000000-0002-0000-0300-000017000000}">
          <x14:formula1>
            <xm:f>DropDownMenu!$Y$2:$Y$7</xm:f>
          </x14:formula1>
          <xm:sqref>X2:X5000</xm:sqref>
        </x14:dataValidation>
        <x14:dataValidation type="list" allowBlank="1" xr:uid="{00000000-0002-0000-0300-000018000000}">
          <x14:formula1>
            <xm:f>DropDownMenu!$Z$2:$Z$15</xm:f>
          </x14:formula1>
          <xm:sqref>Y2:Y5000</xm:sqref>
        </x14:dataValidation>
        <x14:dataValidation type="list" allowBlank="1" xr:uid="{00000000-0002-0000-0300-000019000000}">
          <x14:formula1>
            <xm:f>DropDownMenu!$AA$2:$AA$6</xm:f>
          </x14:formula1>
          <xm:sqref>Z2:Z5000</xm:sqref>
        </x14:dataValidation>
        <x14:dataValidation type="list" allowBlank="1" xr:uid="{00000000-0002-0000-0300-00001A000000}">
          <x14:formula1>
            <xm:f>DropDownMenu!$AB$2:$AB$7</xm:f>
          </x14:formula1>
          <xm:sqref>AA2:AA5000</xm:sqref>
        </x14:dataValidation>
        <x14:dataValidation type="list" allowBlank="1" xr:uid="{00000000-0002-0000-0300-00001B000000}">
          <x14:formula1>
            <xm:f>DropDownMenu!$AC$2:$AC$49</xm:f>
          </x14:formula1>
          <xm:sqref>AD2:AD5000</xm:sqref>
        </x14:dataValidation>
        <x14:dataValidation type="list" allowBlank="1" xr:uid="{00000000-0002-0000-0300-00001C000000}">
          <x14:formula1>
            <xm:f>DropDownMenu!$AD$2:$AD$52</xm:f>
          </x14:formula1>
          <xm:sqref>AE2:AE5000</xm:sqref>
        </x14:dataValidation>
        <x14:dataValidation type="list" allowBlank="1" xr:uid="{00000000-0002-0000-0300-00001D000000}">
          <x14:formula1>
            <xm:f>DropDownMenu!$AE$2:$AE$9</xm:f>
          </x14:formula1>
          <xm:sqref>AH2:AH5000</xm:sqref>
        </x14:dataValidation>
        <x14:dataValidation type="list" allowBlank="1" xr:uid="{00000000-0002-0000-0300-00001E000000}">
          <x14:formula1>
            <xm:f>DropDownMenu!$AF$2:$AF$6</xm:f>
          </x14:formula1>
          <xm:sqref>AI2:AI5000</xm:sqref>
        </x14:dataValidation>
        <x14:dataValidation type="list" allowBlank="1" xr:uid="{00000000-0002-0000-0300-00001F000000}">
          <x14:formula1>
            <xm:f>DropDownMenu!$AG$2:$AG$11</xm:f>
          </x14:formula1>
          <xm:sqref>AJ2:AJ5000</xm:sqref>
        </x14:dataValidation>
        <x14:dataValidation type="list" allowBlank="1" xr:uid="{00000000-0002-0000-0300-000020000000}">
          <x14:formula1>
            <xm:f>DropDownMenu!$AH$2:$AH$2</xm:f>
          </x14:formula1>
          <xm:sqref>AK2:AK5000</xm:sqref>
        </x14:dataValidation>
        <x14:dataValidation type="list" allowBlank="1" xr:uid="{00000000-0002-0000-0300-000021000000}">
          <x14:formula1>
            <xm:f>DropDownMenu!$AI$2:$AI$2</xm:f>
          </x14:formula1>
          <xm:sqref>AL2:AL5000</xm:sqref>
        </x14:dataValidation>
        <x14:dataValidation type="list" allowBlank="1" xr:uid="{00000000-0002-0000-0300-000022000000}">
          <x14:formula1>
            <xm:f>DropDownMenu!$AJ$2:$AJ$2</xm:f>
          </x14:formula1>
          <xm:sqref>AM2:AM5000</xm:sqref>
        </x14:dataValidation>
        <x14:dataValidation type="list" allowBlank="1" xr:uid="{00000000-0002-0000-0300-000023000000}">
          <x14:formula1>
            <xm:f>DropDownMenu!$AK$2:$AK$2</xm:f>
          </x14:formula1>
          <xm:sqref>AN2:AN5000</xm:sqref>
        </x14:dataValidation>
        <x14:dataValidation type="list" allowBlank="1" xr:uid="{00000000-0002-0000-0300-000024000000}">
          <x14:formula1>
            <xm:f>DropDownMenu!$AL$2:$AL$2</xm:f>
          </x14:formula1>
          <xm:sqref>AO2:AO5000</xm:sqref>
        </x14:dataValidation>
        <x14:dataValidation type="list" allowBlank="1" xr:uid="{00000000-0002-0000-0300-000025000000}">
          <x14:formula1>
            <xm:f>DropDownMenu!$AM$2:$AM$5</xm:f>
          </x14:formula1>
          <xm:sqref>CS2:CS5000</xm:sqref>
        </x14:dataValidation>
        <x14:dataValidation type="list" allowBlank="1" xr:uid="{00000000-0002-0000-0300-000026000000}">
          <x14:formula1>
            <xm:f>DropDownMenu!$AN$2:$AN$13</xm:f>
          </x14:formula1>
          <xm:sqref>AR2:AR5000</xm:sqref>
        </x14:dataValidation>
        <x14:dataValidation type="list" allowBlank="1" xr:uid="{00000000-0002-0000-0300-000027000000}">
          <x14:formula1>
            <xm:f>DropDownMenu!$AO$2:$AO$40</xm:f>
          </x14:formula1>
          <xm:sqref>AS2:AS5000</xm:sqref>
        </x14:dataValidation>
        <x14:dataValidation type="list" allowBlank="1" xr:uid="{00000000-0002-0000-0300-000028000000}">
          <x14:formula1>
            <xm:f>DropDownMenu!$AP$2:$AP$274</xm:f>
          </x14:formula1>
          <xm:sqref>AT2:AT5000</xm:sqref>
        </x14:dataValidation>
        <x14:dataValidation type="list" allowBlank="1" xr:uid="{00000000-0002-0000-0300-000029000000}">
          <x14:formula1>
            <xm:f>DropDownMenu!$AQ$2:$AQ$9</xm:f>
          </x14:formula1>
          <xm:sqref>BB2:BB5000</xm:sqref>
        </x14:dataValidation>
        <x14:dataValidation type="list" allowBlank="1" xr:uid="{00000000-0002-0000-0300-00002A000000}">
          <x14:formula1>
            <xm:f>DropDownMenu!$AR$2:$AR$11</xm:f>
          </x14:formula1>
          <xm:sqref>BC2:BC5000</xm:sqref>
        </x14:dataValidation>
        <x14:dataValidation type="list" allowBlank="1" xr:uid="{00000000-0002-0000-0300-00002B000000}">
          <x14:formula1>
            <xm:f>DropDownMenu!$AS$2:$AS$3</xm:f>
          </x14:formula1>
          <xm:sqref>BD2:BD5000</xm:sqref>
        </x14:dataValidation>
        <x14:dataValidation type="list" allowBlank="1" xr:uid="{00000000-0002-0000-0300-00002C000000}">
          <x14:formula1>
            <xm:f>DropDownMenu!$AT$2:$AT$4</xm:f>
          </x14:formula1>
          <xm:sqref>BE2:BE5000</xm:sqref>
        </x14:dataValidation>
        <x14:dataValidation type="list" allowBlank="1" xr:uid="{00000000-0002-0000-0300-00002D000000}">
          <x14:formula1>
            <xm:f>DropDownMenu!$AU$2:$AU$2</xm:f>
          </x14:formula1>
          <xm:sqref>BG2:BG5000</xm:sqref>
        </x14:dataValidation>
        <x14:dataValidation type="list" allowBlank="1" xr:uid="{00000000-0002-0000-0300-00002E000000}">
          <x14:formula1>
            <xm:f>DropDownMenu!$AV$2:$AV$9</xm:f>
          </x14:formula1>
          <xm:sqref>BH2:BH5000</xm:sqref>
        </x14:dataValidation>
        <x14:dataValidation type="list" allowBlank="1" xr:uid="{00000000-0002-0000-0300-00002F000000}">
          <x14:formula1>
            <xm:f>DropDownMenu!$AW$2:$AW$81</xm:f>
          </x14:formula1>
          <xm:sqref>BI2:BI5000</xm:sqref>
        </x14:dataValidation>
        <x14:dataValidation type="list" allowBlank="1" xr:uid="{00000000-0002-0000-0300-000030000000}">
          <x14:formula1>
            <xm:f>DropDownMenu!$AX$2:$AX$3</xm:f>
          </x14:formula1>
          <xm:sqref>BJ2:BJ5000</xm:sqref>
        </x14:dataValidation>
        <x14:dataValidation type="list" allowBlank="1" xr:uid="{00000000-0002-0000-0300-000031000000}">
          <x14:formula1>
            <xm:f>DropDownMenu!$AY$2:$AY$7</xm:f>
          </x14:formula1>
          <xm:sqref>BK2:BK5000</xm:sqref>
        </x14:dataValidation>
        <x14:dataValidation type="list" allowBlank="1" xr:uid="{00000000-0002-0000-0300-000032000000}">
          <x14:formula1>
            <xm:f>DropDownMenu!$AZ$2:$AZ$9</xm:f>
          </x14:formula1>
          <xm:sqref>BL2:BL5000</xm:sqref>
        </x14:dataValidation>
        <x14:dataValidation type="list" allowBlank="1" xr:uid="{00000000-0002-0000-0300-000033000000}">
          <x14:formula1>
            <xm:f>DropDownMenu!$BA$2:$BA$9</xm:f>
          </x14:formula1>
          <xm:sqref>BM2:BM5000</xm:sqref>
        </x14:dataValidation>
        <x14:dataValidation type="list" allowBlank="1" xr:uid="{00000000-0002-0000-0300-000034000000}">
          <x14:formula1>
            <xm:f>DropDownMenu!$BB$2:$BB$3</xm:f>
          </x14:formula1>
          <xm:sqref>BN2:BN5000</xm:sqref>
        </x14:dataValidation>
        <x14:dataValidation type="list" allowBlank="1" xr:uid="{00000000-0002-0000-0300-000035000000}">
          <x14:formula1>
            <xm:f>DropDownMenu!$BC$2:$BC$2</xm:f>
          </x14:formula1>
          <xm:sqref>BO2:BO5000</xm:sqref>
        </x14:dataValidation>
        <x14:dataValidation type="list" allowBlank="1" xr:uid="{00000000-0002-0000-0300-000036000000}">
          <x14:formula1>
            <xm:f>DropDownMenu!$BD$2:$BD$29</xm:f>
          </x14:formula1>
          <xm:sqref>BQ2:BQ5000</xm:sqref>
        </x14:dataValidation>
        <x14:dataValidation type="list" allowBlank="1" xr:uid="{00000000-0002-0000-0300-000037000000}">
          <x14:formula1>
            <xm:f>DropDownMenu!$BE$2:$BE$2</xm:f>
          </x14:formula1>
          <xm:sqref>BT2:BT5000</xm:sqref>
        </x14:dataValidation>
        <x14:dataValidation type="list" allowBlank="1" xr:uid="{00000000-0002-0000-0300-000038000000}">
          <x14:formula1>
            <xm:f>DropDownMenu!$BF$2:$BF$33</xm:f>
          </x14:formula1>
          <xm:sqref>BU2:BU5000</xm:sqref>
        </x14:dataValidation>
        <x14:dataValidation type="list" allowBlank="1" xr:uid="{00000000-0002-0000-0300-000039000000}">
          <x14:formula1>
            <xm:f>DropDownMenu!$BG$2:$BG$2</xm:f>
          </x14:formula1>
          <xm:sqref>BV2:BV5000</xm:sqref>
        </x14:dataValidation>
        <x14:dataValidation type="list" allowBlank="1" xr:uid="{00000000-0002-0000-0300-00003A000000}">
          <x14:formula1>
            <xm:f>DropDownMenu!$BH$2:$BH$4</xm:f>
          </x14:formula1>
          <xm:sqref>AW2:AW5000</xm:sqref>
        </x14:dataValidation>
        <x14:dataValidation type="list" allowBlank="1" xr:uid="{00000000-0002-0000-0300-00003B000000}">
          <x14:formula1>
            <xm:f>DropDownMenu!$BI$2:$BI$2</xm:f>
          </x14:formula1>
          <xm:sqref>BW2:BW5000</xm:sqref>
        </x14:dataValidation>
        <x14:dataValidation type="list" allowBlank="1" xr:uid="{00000000-0002-0000-0300-00003C000000}">
          <x14:formula1>
            <xm:f>DropDownMenu!$BJ$2:$BJ$2</xm:f>
          </x14:formula1>
          <xm:sqref>BX2:BX5000</xm:sqref>
        </x14:dataValidation>
        <x14:dataValidation type="list" allowBlank="1" xr:uid="{00000000-0002-0000-0300-00003D000000}">
          <x14:formula1>
            <xm:f>DropDownMenu!$BK$2:$BK$2</xm:f>
          </x14:formula1>
          <xm:sqref>BY2:BY5000</xm:sqref>
        </x14:dataValidation>
        <x14:dataValidation type="list" allowBlank="1" xr:uid="{00000000-0002-0000-0300-00003E000000}">
          <x14:formula1>
            <xm:f>DropDownMenu!$BL$2:$BL$8</xm:f>
          </x14:formula1>
          <xm:sqref>BZ2:BZ5000</xm:sqref>
        </x14:dataValidation>
        <x14:dataValidation type="list" allowBlank="1" xr:uid="{00000000-0002-0000-0300-00003F000000}">
          <x14:formula1>
            <xm:f>DropDownMenu!$BM$2:$BM$8</xm:f>
          </x14:formula1>
          <xm:sqref>CA2:CA5000</xm:sqref>
        </x14:dataValidation>
        <x14:dataValidation type="list" allowBlank="1" xr:uid="{00000000-0002-0000-0300-000040000000}">
          <x14:formula1>
            <xm:f>DropDownMenu!$BN$2:$BN$8</xm:f>
          </x14:formula1>
          <xm:sqref>CB2:CB5000</xm:sqref>
        </x14:dataValidation>
        <x14:dataValidation type="list" allowBlank="1" xr:uid="{00000000-0002-0000-0300-000041000000}">
          <x14:formula1>
            <xm:f>DropDownMenu!$BO$2:$BO$6</xm:f>
          </x14:formula1>
          <xm:sqref>CC2:CC5000</xm:sqref>
        </x14:dataValidation>
        <x14:dataValidation type="list" allowBlank="1" xr:uid="{00000000-0002-0000-0300-000042000000}">
          <x14:formula1>
            <xm:f>DropDownMenu!$BP$2:$BP$2</xm:f>
          </x14:formula1>
          <xm:sqref>CD2:CD5000</xm:sqref>
        </x14:dataValidation>
        <x14:dataValidation type="list" allowBlank="1" xr:uid="{00000000-0002-0000-0300-000043000000}">
          <x14:formula1>
            <xm:f>DropDownMenu!$BQ$2:$BQ$2</xm:f>
          </x14:formula1>
          <xm:sqref>CE2:CE5000</xm:sqref>
        </x14:dataValidation>
        <x14:dataValidation type="list" allowBlank="1" xr:uid="{00000000-0002-0000-0300-000044000000}">
          <x14:formula1>
            <xm:f>DropDownMenu!$BR$2:$BR$2</xm:f>
          </x14:formula1>
          <xm:sqref>CF2:CF5000</xm:sqref>
        </x14:dataValidation>
        <x14:dataValidation type="list" allowBlank="1" xr:uid="{00000000-0002-0000-0300-000045000000}">
          <x14:formula1>
            <xm:f>DropDownMenu!$BS$2:$BS$2</xm:f>
          </x14:formula1>
          <xm:sqref>CG2:CG5000</xm:sqref>
        </x14:dataValidation>
        <x14:dataValidation type="list" allowBlank="1" xr:uid="{00000000-0002-0000-0300-000046000000}">
          <x14:formula1>
            <xm:f>DropDownMenu!$BT$2:$BT$2</xm:f>
          </x14:formula1>
          <xm:sqref>CH2:CH5000</xm:sqref>
        </x14:dataValidation>
        <x14:dataValidation type="list" allowBlank="1" xr:uid="{00000000-0002-0000-0300-000047000000}">
          <x14:formula1>
            <xm:f>DropDownMenu!$BU$2:$BU$2</xm:f>
          </x14:formula1>
          <xm:sqref>CN2:CN5000</xm:sqref>
        </x14:dataValidation>
        <x14:dataValidation type="list" allowBlank="1" xr:uid="{00000000-0002-0000-0300-000048000000}">
          <x14:formula1>
            <xm:f>DropDownMenu!$BV$2:$BV$2</xm:f>
          </x14:formula1>
          <xm:sqref>CO2:CO5000</xm:sqref>
        </x14:dataValidation>
        <x14:dataValidation type="list" allowBlank="1" xr:uid="{00000000-0002-0000-0300-000049000000}">
          <x14:formula1>
            <xm:f>DropDownMenu!$BW$2:$BW$2</xm:f>
          </x14:formula1>
          <xm:sqref>CQ2:CQ5000</xm:sqref>
        </x14:dataValidation>
        <x14:dataValidation type="list" allowBlank="1" xr:uid="{00000000-0002-0000-0300-00004A000000}">
          <x14:formula1>
            <xm:f>DropDownMenu!$BX$2:$BX$2</xm:f>
          </x14:formula1>
          <xm:sqref>CT2:CT5000</xm:sqref>
        </x14:dataValidation>
        <x14:dataValidation type="list" allowBlank="1" xr:uid="{00000000-0002-0000-0300-00004B000000}">
          <x14:formula1>
            <xm:f>DropDownMenu!$BY$2:$BY$77</xm:f>
          </x14:formula1>
          <xm:sqref>AU2:AU5000</xm:sqref>
        </x14:dataValidation>
        <x14:dataValidation type="list" allowBlank="1" xr:uid="{00000000-0002-0000-0300-00004C000000}">
          <x14:formula1>
            <xm:f>DropDownMenu!$BZ$2:$BZ$3</xm:f>
          </x14:formula1>
          <xm:sqref>CV2:CV5000</xm:sqref>
        </x14:dataValidation>
        <x14:dataValidation type="list" allowBlank="1" xr:uid="{00000000-0002-0000-0300-00004D000000}">
          <x14:formula1>
            <xm:f>DropDownMenu!$CA$2:$CA$77</xm:f>
          </x14:formula1>
          <xm:sqref>AV2:AV5000</xm:sqref>
        </x14:dataValidation>
        <x14:dataValidation type="list" allowBlank="1" xr:uid="{00000000-0002-0000-0300-00004E000000}">
          <x14:formula1>
            <xm:f>DropDownMenu!$CB$2:$CB$3</xm:f>
          </x14:formula1>
          <xm:sqref>AX2:AX5000</xm:sqref>
        </x14:dataValidation>
        <x14:dataValidation type="list" allowBlank="1" xr:uid="{00000000-0002-0000-0300-00004F000000}">
          <x14:formula1>
            <xm:f>DropDownMenu!$CC$2:$CC$3</xm:f>
          </x14:formula1>
          <xm:sqref>AY2:AY5000</xm:sqref>
        </x14:dataValidation>
        <x14:dataValidation type="list" allowBlank="1" xr:uid="{00000000-0002-0000-0300-000050000000}">
          <x14:formula1>
            <xm:f>DropDownMenu!$CD$2:$CD$10</xm:f>
          </x14:formula1>
          <xm:sqref>BA2:BA5000</xm:sqref>
        </x14:dataValidation>
        <x14:dataValidation type="list" allowBlank="1" showInputMessage="1" showErrorMessage="1" xr:uid="{00000000-0002-0000-0300-000051000000}">
          <x14:formula1>
            <xm:f>DropDownMenu!$A$2:$A$3</xm:f>
          </x14:formula1>
          <xm:sqref>A18:A5000</xm:sqref>
        </x14:dataValidation>
        <x14:dataValidation type="list" allowBlank="1" showInputMessage="1" showErrorMessage="1" xr:uid="{00000000-0002-0000-0300-000052000000}">
          <x14:formula1>
            <xm:f>DropDownMenu!$B$2:$B$3</xm:f>
          </x14:formula1>
          <xm:sqref>B18:B5000</xm:sqref>
        </x14:dataValidation>
        <x14:dataValidation type="list" allowBlank="1" showInputMessage="1" showErrorMessage="1" xr:uid="{00000000-0002-0000-0300-000053000000}">
          <x14:formula1>
            <xm:f>DropDownMenu!$C$2:$C$3</xm:f>
          </x14:formula1>
          <xm:sqref>D18:D5000</xm:sqref>
        </x14:dataValidation>
        <x14:dataValidation type="list" allowBlank="1" showInputMessage="1" showErrorMessage="1" xr:uid="{00000000-0002-0000-0300-000054000000}">
          <x14:formula1>
            <xm:f>DropDownMenu!$D$2:$D$3</xm:f>
          </x14:formula1>
          <xm:sqref>E18:E5000</xm:sqref>
        </x14:dataValidation>
        <x14:dataValidation type="list" allowBlank="1" showInputMessage="1" showErrorMessage="1" xr:uid="{00000000-0002-0000-0300-000055000000}">
          <x14:formula1>
            <xm:f>DropDownMenu!$E$2:$E$3</xm:f>
          </x14:formula1>
          <xm:sqref>F18:F5000</xm:sqref>
        </x14:dataValidation>
        <x14:dataValidation type="list" allowBlank="1" showInputMessage="1" showErrorMessage="1" xr:uid="{00000000-0002-0000-0300-000056000000}">
          <x14:formula1>
            <xm:f>DropDownMenu!$G$2:$G$19</xm:f>
          </x14:formula1>
          <xm:sqref>G4 G6 G8:G5000</xm:sqref>
        </x14:dataValidation>
        <x14:dataValidation type="list" allowBlank="1" showInputMessage="1" showErrorMessage="1" xr:uid="{00000000-0002-0000-0300-000057000000}">
          <x14:formula1>
            <xm:f>DropDownMenu!$H$2:$H$564</xm:f>
          </x14:formula1>
          <xm:sqref>H2:H5000</xm:sqref>
        </x14:dataValidation>
        <x14:dataValidation type="list" allowBlank="1" showInputMessage="1" showErrorMessage="1" xr:uid="{00000000-0002-0000-0300-000058000000}">
          <x14:formula1>
            <xm:f>DropDownMenu!$I$2:$I$352</xm:f>
          </x14:formula1>
          <xm:sqref>I2:I5000</xm:sqref>
        </x14:dataValidation>
        <x14:dataValidation type="list" allowBlank="1" showInputMessage="1" showErrorMessage="1" xr:uid="{00000000-0002-0000-0300-000059000000}">
          <x14:formula1>
            <xm:f>DropDownMenu!$J$2:$J$10</xm:f>
          </x14:formula1>
          <xm:sqref>J2:J5000</xm:sqref>
        </x14:dataValidation>
        <x14:dataValidation type="list" allowBlank="1" showInputMessage="1" showErrorMessage="1" xr:uid="{00000000-0002-0000-0300-00005A000000}">
          <x14:formula1>
            <xm:f>DropDownMenu!$K$2:$K$101</xm:f>
          </x14:formula1>
          <xm:sqref>K2:K5000</xm:sqref>
        </x14:dataValidation>
        <x14:dataValidation type="list" allowBlank="1" showInputMessage="1" showErrorMessage="1" xr:uid="{00000000-0002-0000-0300-00005B000000}">
          <x14:formula1>
            <xm:f>DropDownMenu!$L$2:$L$42</xm:f>
          </x14:formula1>
          <xm:sqref>L2:L5000</xm:sqref>
        </x14:dataValidation>
        <x14:dataValidation type="list" allowBlank="1" showInputMessage="1" showErrorMessage="1" xr:uid="{00000000-0002-0000-0300-00005C000000}">
          <x14:formula1>
            <xm:f>DropDownMenu!$M$2:$M$16</xm:f>
          </x14:formula1>
          <xm:sqref>M2:M5000</xm:sqref>
        </x14:dataValidation>
        <x14:dataValidation type="list" allowBlank="1" showInputMessage="1" showErrorMessage="1" xr:uid="{00000000-0002-0000-0300-00005D000000}">
          <x14:formula1>
            <xm:f>DropDownMenu!$N$2:$N$140</xm:f>
          </x14:formula1>
          <xm:sqref>N2:N5000</xm:sqref>
        </x14:dataValidation>
        <x14:dataValidation type="list" allowBlank="1" showInputMessage="1" showErrorMessage="1" xr:uid="{00000000-0002-0000-0300-00005E000000}">
          <x14:formula1>
            <xm:f>DropDownMenu!$O$2:$O$65</xm:f>
          </x14:formula1>
          <xm:sqref>O2:O5000</xm:sqref>
        </x14:dataValidation>
        <x14:dataValidation type="list" allowBlank="1" showInputMessage="1" showErrorMessage="1" xr:uid="{00000000-0002-0000-0300-00005F000000}">
          <x14:formula1>
            <xm:f>DropDownMenu!$P$2:$P$45</xm:f>
          </x14:formula1>
          <xm:sqref>Q2:Q5000</xm:sqref>
        </x14:dataValidation>
        <x14:dataValidation type="list" allowBlank="1" showInputMessage="1" showErrorMessage="1" xr:uid="{00000000-0002-0000-0300-000060000000}">
          <x14:formula1>
            <xm:f>DropDownMenu!$Q$2:$Q$5</xm:f>
          </x14:formula1>
          <xm:sqref>R2:R5000</xm:sqref>
        </x14:dataValidation>
        <x14:dataValidation type="list" allowBlank="1" showInputMessage="1" showErrorMessage="1" xr:uid="{00000000-0002-0000-0300-000061000000}">
          <x14:formula1>
            <xm:f>DropDownMenu!$R$2:$R$7</xm:f>
          </x14:formula1>
          <xm:sqref>S2:S5000</xm:sqref>
        </x14:dataValidation>
        <x14:dataValidation type="list" allowBlank="1" showInputMessage="1" showErrorMessage="1" xr:uid="{00000000-0002-0000-0300-000062000000}">
          <x14:formula1>
            <xm:f>DropDownMenu!$S$2:$S$11</xm:f>
          </x14:formula1>
          <xm:sqref>T2:T5000</xm:sqref>
        </x14:dataValidation>
        <x14:dataValidation type="list" allowBlank="1" showInputMessage="1" showErrorMessage="1" xr:uid="{00000000-0002-0000-0300-000063000000}">
          <x14:formula1>
            <xm:f>DropDownMenu!$T$2:$T$13</xm:f>
          </x14:formula1>
          <xm:sqref>U2:U5000</xm:sqref>
        </x14:dataValidation>
        <x14:dataValidation type="list" allowBlank="1" showInputMessage="1" showErrorMessage="1" xr:uid="{00000000-0002-0000-0300-000064000000}">
          <x14:formula1>
            <xm:f>DropDownMenu!$U$2:$U$5</xm:f>
          </x14:formula1>
          <xm:sqref>CR2:CR5000</xm:sqref>
        </x14:dataValidation>
        <x14:dataValidation type="list" allowBlank="1" showInputMessage="1" showErrorMessage="1" xr:uid="{00000000-0002-0000-0300-000065000000}">
          <x14:formula1>
            <xm:f>DropDownMenu!$V$2:$V$4</xm:f>
          </x14:formula1>
          <xm:sqref>V2:V5000</xm:sqref>
        </x14:dataValidation>
        <x14:dataValidation type="list" allowBlank="1" showInputMessage="1" showErrorMessage="1" xr:uid="{00000000-0002-0000-0300-000066000000}">
          <x14:formula1>
            <xm:f>DropDownMenu!$W$2:$W$6</xm:f>
          </x14:formula1>
          <xm:sqref>CU2:CU5000</xm:sqref>
        </x14:dataValidation>
        <x14:dataValidation type="list" allowBlank="1" showInputMessage="1" showErrorMessage="1" xr:uid="{00000000-0002-0000-0300-000067000000}">
          <x14:formula1>
            <xm:f>DropDownMenu!$X$2:$X$26</xm:f>
          </x14:formula1>
          <xm:sqref>W2:W5000</xm:sqref>
        </x14:dataValidation>
        <x14:dataValidation type="list" allowBlank="1" showInputMessage="1" showErrorMessage="1" xr:uid="{00000000-0002-0000-0300-000068000000}">
          <x14:formula1>
            <xm:f>DropDownMenu!$Y$2:$Y$7</xm:f>
          </x14:formula1>
          <xm:sqref>X2:X5000</xm:sqref>
        </x14:dataValidation>
        <x14:dataValidation type="list" allowBlank="1" showInputMessage="1" showErrorMessage="1" xr:uid="{00000000-0002-0000-0300-000069000000}">
          <x14:formula1>
            <xm:f>DropDownMenu!$Z$2:$Z$15</xm:f>
          </x14:formula1>
          <xm:sqref>Y2:Y5000</xm:sqref>
        </x14:dataValidation>
        <x14:dataValidation type="list" allowBlank="1" showInputMessage="1" showErrorMessage="1" xr:uid="{00000000-0002-0000-0300-00006A000000}">
          <x14:formula1>
            <xm:f>DropDownMenu!$AA$2:$AA$6</xm:f>
          </x14:formula1>
          <xm:sqref>Z2:Z5000</xm:sqref>
        </x14:dataValidation>
        <x14:dataValidation type="list" allowBlank="1" showInputMessage="1" showErrorMessage="1" xr:uid="{00000000-0002-0000-0300-00006B000000}">
          <x14:formula1>
            <xm:f>DropDownMenu!$AB$2:$AB$7</xm:f>
          </x14:formula1>
          <xm:sqref>AA2:AA5000</xm:sqref>
        </x14:dataValidation>
        <x14:dataValidation type="list" allowBlank="1" showInputMessage="1" showErrorMessage="1" xr:uid="{00000000-0002-0000-0300-00006C000000}">
          <x14:formula1>
            <xm:f>DropDownMenu!$AC$2:$AC$49</xm:f>
          </x14:formula1>
          <xm:sqref>AD2:AD5000</xm:sqref>
        </x14:dataValidation>
        <x14:dataValidation type="list" allowBlank="1" showInputMessage="1" showErrorMessage="1" xr:uid="{00000000-0002-0000-0300-00006D000000}">
          <x14:formula1>
            <xm:f>DropDownMenu!$AD$2:$AD$52</xm:f>
          </x14:formula1>
          <xm:sqref>AE2:AE5000</xm:sqref>
        </x14:dataValidation>
        <x14:dataValidation type="list" allowBlank="1" showInputMessage="1" showErrorMessage="1" xr:uid="{00000000-0002-0000-0300-00006E000000}">
          <x14:formula1>
            <xm:f>DropDownMenu!$AE$2:$AE$9</xm:f>
          </x14:formula1>
          <xm:sqref>AH2:AH5000</xm:sqref>
        </x14:dataValidation>
        <x14:dataValidation type="list" allowBlank="1" showInputMessage="1" showErrorMessage="1" xr:uid="{00000000-0002-0000-0300-00006F000000}">
          <x14:formula1>
            <xm:f>DropDownMenu!$AF$2:$AF$6</xm:f>
          </x14:formula1>
          <xm:sqref>AI2:AI5000</xm:sqref>
        </x14:dataValidation>
        <x14:dataValidation type="list" allowBlank="1" showInputMessage="1" showErrorMessage="1" xr:uid="{00000000-0002-0000-0300-000070000000}">
          <x14:formula1>
            <xm:f>DropDownMenu!$AG$2:$AG$11</xm:f>
          </x14:formula1>
          <xm:sqref>AJ2:AJ5000</xm:sqref>
        </x14:dataValidation>
        <x14:dataValidation type="list" allowBlank="1" showInputMessage="1" showErrorMessage="1" xr:uid="{00000000-0002-0000-0300-000071000000}">
          <x14:formula1>
            <xm:f>DropDownMenu!$AH$2:$AH$2</xm:f>
          </x14:formula1>
          <xm:sqref>AK2:AK5000</xm:sqref>
        </x14:dataValidation>
        <x14:dataValidation type="list" allowBlank="1" showInputMessage="1" showErrorMessage="1" xr:uid="{00000000-0002-0000-0300-000072000000}">
          <x14:formula1>
            <xm:f>DropDownMenu!$AI$2:$AI$2</xm:f>
          </x14:formula1>
          <xm:sqref>AL2:AL5000</xm:sqref>
        </x14:dataValidation>
        <x14:dataValidation type="list" allowBlank="1" showInputMessage="1" showErrorMessage="1" xr:uid="{00000000-0002-0000-0300-000073000000}">
          <x14:formula1>
            <xm:f>DropDownMenu!$AJ$2:$AJ$2</xm:f>
          </x14:formula1>
          <xm:sqref>AM2:AM5000</xm:sqref>
        </x14:dataValidation>
        <x14:dataValidation type="list" allowBlank="1" showInputMessage="1" showErrorMessage="1" xr:uid="{00000000-0002-0000-0300-000074000000}">
          <x14:formula1>
            <xm:f>DropDownMenu!$AK$2:$AK$2</xm:f>
          </x14:formula1>
          <xm:sqref>AN2:AN5000</xm:sqref>
        </x14:dataValidation>
        <x14:dataValidation type="list" allowBlank="1" showInputMessage="1" showErrorMessage="1" xr:uid="{00000000-0002-0000-0300-000075000000}">
          <x14:formula1>
            <xm:f>DropDownMenu!$AL$2:$AL$2</xm:f>
          </x14:formula1>
          <xm:sqref>AO2:AO5000</xm:sqref>
        </x14:dataValidation>
        <x14:dataValidation type="list" allowBlank="1" showInputMessage="1" showErrorMessage="1" xr:uid="{00000000-0002-0000-0300-000076000000}">
          <x14:formula1>
            <xm:f>DropDownMenu!$AM$2:$AM$5</xm:f>
          </x14:formula1>
          <xm:sqref>CS2:CS5000</xm:sqref>
        </x14:dataValidation>
        <x14:dataValidation type="list" allowBlank="1" showInputMessage="1" showErrorMessage="1" xr:uid="{00000000-0002-0000-0300-000077000000}">
          <x14:formula1>
            <xm:f>DropDownMenu!$AN$2:$AN$13</xm:f>
          </x14:formula1>
          <xm:sqref>AR2:AR5000</xm:sqref>
        </x14:dataValidation>
        <x14:dataValidation type="list" allowBlank="1" showInputMessage="1" showErrorMessage="1" xr:uid="{00000000-0002-0000-0300-000078000000}">
          <x14:formula1>
            <xm:f>DropDownMenu!$AO$2:$AO$40</xm:f>
          </x14:formula1>
          <xm:sqref>AS2:AS5000</xm:sqref>
        </x14:dataValidation>
        <x14:dataValidation type="list" allowBlank="1" showInputMessage="1" showErrorMessage="1" xr:uid="{00000000-0002-0000-0300-000079000000}">
          <x14:formula1>
            <xm:f>DropDownMenu!$AP$2:$AP$274</xm:f>
          </x14:formula1>
          <xm:sqref>AT2:AT5000</xm:sqref>
        </x14:dataValidation>
        <x14:dataValidation type="list" allowBlank="1" showInputMessage="1" showErrorMessage="1" xr:uid="{00000000-0002-0000-0300-00007A000000}">
          <x14:formula1>
            <xm:f>DropDownMenu!$AQ$2:$AQ$9</xm:f>
          </x14:formula1>
          <xm:sqref>BB2:BB5000</xm:sqref>
        </x14:dataValidation>
        <x14:dataValidation type="list" allowBlank="1" showInputMessage="1" showErrorMessage="1" xr:uid="{00000000-0002-0000-0300-00007B000000}">
          <x14:formula1>
            <xm:f>DropDownMenu!$AR$2:$AR$11</xm:f>
          </x14:formula1>
          <xm:sqref>BC2:BC5000</xm:sqref>
        </x14:dataValidation>
        <x14:dataValidation type="list" allowBlank="1" showInputMessage="1" showErrorMessage="1" xr:uid="{00000000-0002-0000-0300-00007C000000}">
          <x14:formula1>
            <xm:f>DropDownMenu!$AS$2:$AS$3</xm:f>
          </x14:formula1>
          <xm:sqref>BD2:BD5000</xm:sqref>
        </x14:dataValidation>
        <x14:dataValidation type="list" allowBlank="1" showInputMessage="1" showErrorMessage="1" xr:uid="{00000000-0002-0000-0300-00007D000000}">
          <x14:formula1>
            <xm:f>DropDownMenu!$AT$2:$AT$4</xm:f>
          </x14:formula1>
          <xm:sqref>BE2:BE5000</xm:sqref>
        </x14:dataValidation>
        <x14:dataValidation type="list" allowBlank="1" showInputMessage="1" showErrorMessage="1" xr:uid="{00000000-0002-0000-0300-00007E000000}">
          <x14:formula1>
            <xm:f>DropDownMenu!$AU$2:$AU$2</xm:f>
          </x14:formula1>
          <xm:sqref>BG2:BG5000</xm:sqref>
        </x14:dataValidation>
        <x14:dataValidation type="list" allowBlank="1" showInputMessage="1" showErrorMessage="1" xr:uid="{00000000-0002-0000-0300-00007F000000}">
          <x14:formula1>
            <xm:f>DropDownMenu!$AV$2:$AV$9</xm:f>
          </x14:formula1>
          <xm:sqref>BH2:BH5000</xm:sqref>
        </x14:dataValidation>
        <x14:dataValidation type="list" allowBlank="1" showInputMessage="1" showErrorMessage="1" xr:uid="{00000000-0002-0000-0300-000080000000}">
          <x14:formula1>
            <xm:f>DropDownMenu!$AW$2:$AW$81</xm:f>
          </x14:formula1>
          <xm:sqref>BI2:BI5000</xm:sqref>
        </x14:dataValidation>
        <x14:dataValidation type="list" allowBlank="1" showInputMessage="1" showErrorMessage="1" xr:uid="{00000000-0002-0000-0300-000081000000}">
          <x14:formula1>
            <xm:f>DropDownMenu!$AX$2:$AX$3</xm:f>
          </x14:formula1>
          <xm:sqref>BJ2:BJ5000</xm:sqref>
        </x14:dataValidation>
        <x14:dataValidation type="list" allowBlank="1" showInputMessage="1" showErrorMessage="1" xr:uid="{00000000-0002-0000-0300-000082000000}">
          <x14:formula1>
            <xm:f>DropDownMenu!$AY$2:$AY$7</xm:f>
          </x14:formula1>
          <xm:sqref>BK2:BK5000</xm:sqref>
        </x14:dataValidation>
        <x14:dataValidation type="list" allowBlank="1" showInputMessage="1" showErrorMessage="1" xr:uid="{00000000-0002-0000-0300-000083000000}">
          <x14:formula1>
            <xm:f>DropDownMenu!$AZ$2:$AZ$9</xm:f>
          </x14:formula1>
          <xm:sqref>BL2:BL5000</xm:sqref>
        </x14:dataValidation>
        <x14:dataValidation type="list" allowBlank="1" showInputMessage="1" showErrorMessage="1" xr:uid="{00000000-0002-0000-0300-000084000000}">
          <x14:formula1>
            <xm:f>DropDownMenu!$BA$2:$BA$9</xm:f>
          </x14:formula1>
          <xm:sqref>BM2:BM5000</xm:sqref>
        </x14:dataValidation>
        <x14:dataValidation type="list" allowBlank="1" showInputMessage="1" showErrorMessage="1" xr:uid="{00000000-0002-0000-0300-000085000000}">
          <x14:formula1>
            <xm:f>DropDownMenu!$BB$2:$BB$3</xm:f>
          </x14:formula1>
          <xm:sqref>BN2:BN5000</xm:sqref>
        </x14:dataValidation>
        <x14:dataValidation type="list" allowBlank="1" showInputMessage="1" showErrorMessage="1" xr:uid="{00000000-0002-0000-0300-000086000000}">
          <x14:formula1>
            <xm:f>DropDownMenu!$BC$2:$BC$2</xm:f>
          </x14:formula1>
          <xm:sqref>BO2:BO5000</xm:sqref>
        </x14:dataValidation>
        <x14:dataValidation type="list" allowBlank="1" showInputMessage="1" showErrorMessage="1" xr:uid="{00000000-0002-0000-0300-000087000000}">
          <x14:formula1>
            <xm:f>DropDownMenu!$BD$2:$BD$29</xm:f>
          </x14:formula1>
          <xm:sqref>BQ2:BQ5000</xm:sqref>
        </x14:dataValidation>
        <x14:dataValidation type="list" allowBlank="1" showInputMessage="1" showErrorMessage="1" xr:uid="{00000000-0002-0000-0300-000088000000}">
          <x14:formula1>
            <xm:f>DropDownMenu!$BE$2:$BE$2</xm:f>
          </x14:formula1>
          <xm:sqref>BT2:BT5000</xm:sqref>
        </x14:dataValidation>
        <x14:dataValidation type="list" allowBlank="1" showInputMessage="1" showErrorMessage="1" xr:uid="{00000000-0002-0000-0300-000089000000}">
          <x14:formula1>
            <xm:f>DropDownMenu!$BF$2:$BF$33</xm:f>
          </x14:formula1>
          <xm:sqref>BU2:BU5000</xm:sqref>
        </x14:dataValidation>
        <x14:dataValidation type="list" allowBlank="1" showInputMessage="1" showErrorMessage="1" xr:uid="{00000000-0002-0000-0300-00008A000000}">
          <x14:formula1>
            <xm:f>DropDownMenu!$BG$2:$BG$2</xm:f>
          </x14:formula1>
          <xm:sqref>BV2:BV5000</xm:sqref>
        </x14:dataValidation>
        <x14:dataValidation type="list" allowBlank="1" showInputMessage="1" showErrorMessage="1" xr:uid="{00000000-0002-0000-0300-00008B000000}">
          <x14:formula1>
            <xm:f>DropDownMenu!$BH$2:$BH$4</xm:f>
          </x14:formula1>
          <xm:sqref>AW2:AW5000</xm:sqref>
        </x14:dataValidation>
        <x14:dataValidation type="list" allowBlank="1" showInputMessage="1" showErrorMessage="1" xr:uid="{00000000-0002-0000-0300-00008C000000}">
          <x14:formula1>
            <xm:f>DropDownMenu!$BI$2:$BI$2</xm:f>
          </x14:formula1>
          <xm:sqref>BW2:BW5000</xm:sqref>
        </x14:dataValidation>
        <x14:dataValidation type="list" allowBlank="1" showInputMessage="1" showErrorMessage="1" xr:uid="{00000000-0002-0000-0300-00008D000000}">
          <x14:formula1>
            <xm:f>DropDownMenu!$BJ$2:$BJ$2</xm:f>
          </x14:formula1>
          <xm:sqref>BX2:BX5000</xm:sqref>
        </x14:dataValidation>
        <x14:dataValidation type="list" allowBlank="1" showInputMessage="1" showErrorMessage="1" xr:uid="{00000000-0002-0000-0300-00008E000000}">
          <x14:formula1>
            <xm:f>DropDownMenu!$BK$2:$BK$2</xm:f>
          </x14:formula1>
          <xm:sqref>BY2:BY5000</xm:sqref>
        </x14:dataValidation>
        <x14:dataValidation type="list" allowBlank="1" showInputMessage="1" showErrorMessage="1" xr:uid="{00000000-0002-0000-0300-00008F000000}">
          <x14:formula1>
            <xm:f>DropDownMenu!$BL$2:$BL$8</xm:f>
          </x14:formula1>
          <xm:sqref>BZ2:BZ5000</xm:sqref>
        </x14:dataValidation>
        <x14:dataValidation type="list" allowBlank="1" showInputMessage="1" showErrorMessage="1" xr:uid="{00000000-0002-0000-0300-000090000000}">
          <x14:formula1>
            <xm:f>DropDownMenu!$BM$2:$BM$8</xm:f>
          </x14:formula1>
          <xm:sqref>CA2:CA5000</xm:sqref>
        </x14:dataValidation>
        <x14:dataValidation type="list" allowBlank="1" showInputMessage="1" showErrorMessage="1" xr:uid="{00000000-0002-0000-0300-000091000000}">
          <x14:formula1>
            <xm:f>DropDownMenu!$BN$2:$BN$8</xm:f>
          </x14:formula1>
          <xm:sqref>CB2:CB5000</xm:sqref>
        </x14:dataValidation>
        <x14:dataValidation type="list" allowBlank="1" showInputMessage="1" showErrorMessage="1" xr:uid="{00000000-0002-0000-0300-000092000000}">
          <x14:formula1>
            <xm:f>DropDownMenu!$BO$2:$BO$6</xm:f>
          </x14:formula1>
          <xm:sqref>CC2:CC5000</xm:sqref>
        </x14:dataValidation>
        <x14:dataValidation type="list" allowBlank="1" showInputMessage="1" showErrorMessage="1" xr:uid="{00000000-0002-0000-0300-000093000000}">
          <x14:formula1>
            <xm:f>DropDownMenu!$BP$2:$BP$2</xm:f>
          </x14:formula1>
          <xm:sqref>CD2:CD5000</xm:sqref>
        </x14:dataValidation>
        <x14:dataValidation type="list" allowBlank="1" showInputMessage="1" showErrorMessage="1" xr:uid="{00000000-0002-0000-0300-000094000000}">
          <x14:formula1>
            <xm:f>DropDownMenu!$BQ$2:$BQ$2</xm:f>
          </x14:formula1>
          <xm:sqref>CE2:CE5000</xm:sqref>
        </x14:dataValidation>
        <x14:dataValidation type="list" allowBlank="1" showInputMessage="1" showErrorMessage="1" xr:uid="{00000000-0002-0000-0300-000095000000}">
          <x14:formula1>
            <xm:f>DropDownMenu!$BR$2:$BR$2</xm:f>
          </x14:formula1>
          <xm:sqref>CF2:CF5000</xm:sqref>
        </x14:dataValidation>
        <x14:dataValidation type="list" allowBlank="1" showInputMessage="1" showErrorMessage="1" xr:uid="{00000000-0002-0000-0300-000096000000}">
          <x14:formula1>
            <xm:f>DropDownMenu!$BS$2:$BS$2</xm:f>
          </x14:formula1>
          <xm:sqref>CG2:CG5000</xm:sqref>
        </x14:dataValidation>
        <x14:dataValidation type="list" allowBlank="1" showInputMessage="1" showErrorMessage="1" xr:uid="{00000000-0002-0000-0300-000097000000}">
          <x14:formula1>
            <xm:f>DropDownMenu!$BT$2:$BT$2</xm:f>
          </x14:formula1>
          <xm:sqref>CH2:CH5000</xm:sqref>
        </x14:dataValidation>
        <x14:dataValidation type="list" allowBlank="1" showInputMessage="1" showErrorMessage="1" xr:uid="{00000000-0002-0000-0300-000098000000}">
          <x14:formula1>
            <xm:f>DropDownMenu!$BU$2:$BU$2</xm:f>
          </x14:formula1>
          <xm:sqref>CN2:CN5000</xm:sqref>
        </x14:dataValidation>
        <x14:dataValidation type="list" allowBlank="1" showInputMessage="1" showErrorMessage="1" xr:uid="{00000000-0002-0000-0300-000099000000}">
          <x14:formula1>
            <xm:f>DropDownMenu!$BV$2:$BV$2</xm:f>
          </x14:formula1>
          <xm:sqref>CO2:CO5000</xm:sqref>
        </x14:dataValidation>
        <x14:dataValidation type="list" allowBlank="1" showInputMessage="1" showErrorMessage="1" xr:uid="{00000000-0002-0000-0300-00009A000000}">
          <x14:formula1>
            <xm:f>DropDownMenu!$BW$2:$BW$2</xm:f>
          </x14:formula1>
          <xm:sqref>CQ2:CQ5000</xm:sqref>
        </x14:dataValidation>
        <x14:dataValidation type="list" allowBlank="1" showInputMessage="1" showErrorMessage="1" xr:uid="{00000000-0002-0000-0300-00009B000000}">
          <x14:formula1>
            <xm:f>DropDownMenu!$BX$2:$BX$2</xm:f>
          </x14:formula1>
          <xm:sqref>CT2:CT5000</xm:sqref>
        </x14:dataValidation>
        <x14:dataValidation type="list" allowBlank="1" showInputMessage="1" showErrorMessage="1" xr:uid="{00000000-0002-0000-0300-00009C000000}">
          <x14:formula1>
            <xm:f>DropDownMenu!$BY$2:$BY$77</xm:f>
          </x14:formula1>
          <xm:sqref>AU2:AU5000</xm:sqref>
        </x14:dataValidation>
        <x14:dataValidation type="list" allowBlank="1" showInputMessage="1" showErrorMessage="1" xr:uid="{00000000-0002-0000-0300-00009D000000}">
          <x14:formula1>
            <xm:f>DropDownMenu!$BZ$2:$BZ$3</xm:f>
          </x14:formula1>
          <xm:sqref>CV2:CV5000</xm:sqref>
        </x14:dataValidation>
        <x14:dataValidation type="list" allowBlank="1" showInputMessage="1" showErrorMessage="1" xr:uid="{00000000-0002-0000-0300-00009E000000}">
          <x14:formula1>
            <xm:f>DropDownMenu!$CA$2:$CA$77</xm:f>
          </x14:formula1>
          <xm:sqref>AV2:AV5000</xm:sqref>
        </x14:dataValidation>
        <x14:dataValidation type="list" allowBlank="1" showInputMessage="1" showErrorMessage="1" xr:uid="{00000000-0002-0000-0300-00009F000000}">
          <x14:formula1>
            <xm:f>DropDownMenu!$CB$2:$CB$3</xm:f>
          </x14:formula1>
          <xm:sqref>AX2:AX5000</xm:sqref>
        </x14:dataValidation>
        <x14:dataValidation type="list" allowBlank="1" showInputMessage="1" showErrorMessage="1" xr:uid="{00000000-0002-0000-0300-0000A0000000}">
          <x14:formula1>
            <xm:f>DropDownMenu!$CC$2:$CC$3</xm:f>
          </x14:formula1>
          <xm:sqref>AY2:AY5000</xm:sqref>
        </x14:dataValidation>
        <x14:dataValidation type="list" allowBlank="1" showInputMessage="1" showErrorMessage="1" xr:uid="{00000000-0002-0000-0300-0000A1000000}">
          <x14:formula1>
            <xm:f>DropDownMenu!$CD$2:$CD$10</xm:f>
          </x14:formula1>
          <xm:sqref>BA2:BA5000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66FF"/>
    <outlinePr applyStyles="1" summaryRight="0"/>
  </sheetPr>
  <dimension ref="A1:CV39"/>
  <sheetViews>
    <sheetView workbookViewId="0">
      <pane xSplit="14" topLeftCell="O1" activePane="topRight" state="frozen"/>
      <selection pane="topRight" activeCell="G30" sqref="G30"/>
    </sheetView>
  </sheetViews>
  <sheetFormatPr baseColWidth="10" defaultColWidth="8.83203125" defaultRowHeight="15" outlineLevelCol="1" x14ac:dyDescent="0.2"/>
  <cols>
    <col min="1" max="6" width="4" customWidth="1"/>
    <col min="7" max="7" width="40" customWidth="1"/>
    <col min="8" max="8" width="9" customWidth="1"/>
    <col min="9" max="10" width="6" customWidth="1"/>
    <col min="11" max="12" width="5" customWidth="1"/>
    <col min="13" max="13" width="4" customWidth="1"/>
    <col min="14" max="14" width="38" customWidth="1"/>
    <col min="15" max="15" width="32" customWidth="1"/>
    <col min="16" max="16" width="38.1640625" customWidth="1"/>
    <col min="17" max="17" width="5" customWidth="1" outlineLevel="1"/>
    <col min="18" max="18" width="7.5" customWidth="1" outlineLevel="1"/>
    <col min="19" max="19" width="5.5" customWidth="1" outlineLevel="1"/>
    <col min="20" max="20" width="14.1640625" customWidth="1" outlineLevel="1"/>
    <col min="21" max="21" width="12.5" customWidth="1" outlineLevel="1"/>
    <col min="22" max="22" width="4" customWidth="1" outlineLevel="1"/>
    <col min="23" max="23" width="5" customWidth="1"/>
    <col min="24" max="26" width="6" customWidth="1" outlineLevel="1"/>
    <col min="27" max="27" width="10" customWidth="1" collapsed="1"/>
    <col min="28" max="34" width="10" hidden="1" customWidth="1" outlineLevel="1"/>
    <col min="35" max="35" width="6" customWidth="1"/>
    <col min="36" max="36" width="6" customWidth="1" outlineLevel="1"/>
    <col min="37" max="43" width="4" customWidth="1" outlineLevel="1"/>
    <col min="44" max="44" width="6" customWidth="1" outlineLevel="1"/>
    <col min="45" max="45" width="25" customWidth="1" outlineLevel="1"/>
    <col min="46" max="47" width="20" customWidth="1" outlineLevel="1"/>
    <col min="48" max="48" width="10" customWidth="1" outlineLevel="1"/>
    <col min="49" max="49" width="8.6640625" customWidth="1" outlineLevel="1"/>
    <col min="50" max="50" width="9.5" customWidth="1"/>
    <col min="51" max="51" width="6.83203125" customWidth="1" outlineLevel="1"/>
    <col min="52" max="52" width="10.6640625" customWidth="1" outlineLevel="1"/>
    <col min="53" max="53" width="20" customWidth="1" outlineLevel="1"/>
    <col min="54" max="54" width="4" customWidth="1"/>
    <col min="55" max="59" width="4" customWidth="1" outlineLevel="1"/>
    <col min="60" max="60" width="6" customWidth="1" outlineLevel="1"/>
    <col min="61" max="61" width="11" customWidth="1" outlineLevel="1"/>
    <col min="62" max="64" width="4" customWidth="1" outlineLevel="1"/>
    <col min="65" max="65" width="11" customWidth="1" outlineLevel="1"/>
    <col min="66" max="66" width="4" customWidth="1" outlineLevel="1"/>
    <col min="67" max="67" width="7" customWidth="1" outlineLevel="1"/>
    <col min="68" max="68" width="4" customWidth="1" outlineLevel="1"/>
    <col min="69" max="69" width="16" customWidth="1" outlineLevel="1"/>
    <col min="70" max="76" width="4" customWidth="1" outlineLevel="1"/>
    <col min="77" max="80" width="11" customWidth="1" outlineLevel="1"/>
    <col min="81" max="81" width="4" customWidth="1" outlineLevel="1"/>
    <col min="82" max="82" width="6" customWidth="1" outlineLevel="1"/>
    <col min="83" max="96" width="4" customWidth="1" outlineLevel="1"/>
    <col min="97" max="97" width="6" customWidth="1" outlineLevel="1"/>
    <col min="98" max="98" width="8" customWidth="1" outlineLevel="1"/>
    <col min="99" max="100" width="4" customWidth="1" outlineLevel="1"/>
  </cols>
  <sheetData>
    <row r="1" spans="1:100" ht="15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 t="s">
        <v>22</v>
      </c>
      <c r="X1" s="1" t="s">
        <v>23</v>
      </c>
      <c r="Y1" s="1" t="s">
        <v>24</v>
      </c>
      <c r="Z1" s="1" t="s">
        <v>25</v>
      </c>
      <c r="AA1" s="3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</row>
    <row r="2" spans="1:100" x14ac:dyDescent="0.2">
      <c r="A2" s="33" t="b">
        <v>0</v>
      </c>
      <c r="B2" s="34" t="b">
        <v>0</v>
      </c>
      <c r="C2" s="33" t="b">
        <v>1</v>
      </c>
      <c r="D2" s="34" t="b">
        <v>0</v>
      </c>
      <c r="E2" s="34" t="b">
        <v>0</v>
      </c>
      <c r="F2" s="32" t="b">
        <v>0</v>
      </c>
      <c r="G2" s="25" t="s">
        <v>765</v>
      </c>
      <c r="H2" s="11"/>
      <c r="I2" s="12" t="s">
        <v>147</v>
      </c>
      <c r="J2" s="11" t="s">
        <v>766</v>
      </c>
      <c r="K2" s="11" t="s">
        <v>767</v>
      </c>
      <c r="L2" s="11" t="s">
        <v>148</v>
      </c>
      <c r="M2" s="11"/>
      <c r="N2" s="11" t="s">
        <v>768</v>
      </c>
      <c r="O2" s="11"/>
      <c r="P2" s="11"/>
      <c r="Q2" s="11"/>
      <c r="R2" s="11" t="s">
        <v>108</v>
      </c>
      <c r="S2" s="11"/>
      <c r="T2" s="11" t="s">
        <v>109</v>
      </c>
      <c r="U2" s="11" t="s">
        <v>149</v>
      </c>
      <c r="V2" s="11"/>
      <c r="W2" s="11"/>
      <c r="X2" s="11" t="s">
        <v>150</v>
      </c>
      <c r="Y2" s="11" t="s">
        <v>141</v>
      </c>
      <c r="Z2" s="11" t="s">
        <v>114</v>
      </c>
      <c r="AA2" s="11" t="s">
        <v>115</v>
      </c>
      <c r="AB2" s="11"/>
      <c r="AC2" s="11"/>
      <c r="AD2" s="11" t="s">
        <v>115</v>
      </c>
      <c r="AE2" s="11" t="s">
        <v>116</v>
      </c>
      <c r="AF2" s="11"/>
      <c r="AG2" s="11"/>
      <c r="AH2" s="11" t="s">
        <v>116</v>
      </c>
      <c r="AI2" s="12" t="s">
        <v>147</v>
      </c>
      <c r="AJ2" s="12" t="s">
        <v>147</v>
      </c>
      <c r="AK2" s="11"/>
      <c r="AL2" s="11"/>
      <c r="AM2" s="11"/>
      <c r="AN2" s="11"/>
      <c r="AO2" s="11"/>
      <c r="AP2" s="11"/>
      <c r="AQ2" s="11"/>
      <c r="AR2" s="11"/>
      <c r="AS2" s="11"/>
      <c r="AT2" s="11" t="s">
        <v>769</v>
      </c>
      <c r="AU2" s="13" t="str">
        <f>IF($AT2="","",IFERROR(INDEX(InstructorMap!$B:$B, MATCH($AT2, InstructorMap!$A:$A, 0)),""))</f>
        <v>kondrat@andrews.edu</v>
      </c>
      <c r="AV2" s="13" t="str">
        <f>IF($AT2="","",IFERROR(INDEX(InstructorMap!$C:$C, MATCH($AT2, InstructorMap!$A:$A, 0)),""))</f>
        <v>000119532</v>
      </c>
      <c r="AW2" s="11" t="s">
        <v>121</v>
      </c>
      <c r="AX2" s="11" t="s">
        <v>160</v>
      </c>
      <c r="AY2" s="11" t="s">
        <v>161</v>
      </c>
      <c r="AZ2" s="11" t="s">
        <v>526</v>
      </c>
      <c r="BA2" s="11"/>
      <c r="BB2" s="11"/>
      <c r="BC2" s="11"/>
      <c r="BD2" s="11"/>
      <c r="BE2" s="11"/>
      <c r="BF2" s="11"/>
      <c r="BG2" s="11"/>
      <c r="BH2" s="11" t="s">
        <v>766</v>
      </c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2" t="s">
        <v>147</v>
      </c>
      <c r="CT2" s="11" t="s">
        <v>133</v>
      </c>
      <c r="CU2" s="11"/>
      <c r="CV2" s="11"/>
    </row>
    <row r="3" spans="1:100" x14ac:dyDescent="0.2">
      <c r="A3" s="33" t="b">
        <v>0</v>
      </c>
      <c r="B3" s="34" t="b">
        <v>0</v>
      </c>
      <c r="C3" s="33" t="b">
        <v>1</v>
      </c>
      <c r="D3" s="34" t="b">
        <v>0</v>
      </c>
      <c r="E3" s="34" t="b">
        <v>0</v>
      </c>
      <c r="F3" s="32" t="b">
        <v>0</v>
      </c>
      <c r="G3" s="25" t="s">
        <v>765</v>
      </c>
      <c r="H3" s="11"/>
      <c r="I3" s="12" t="s">
        <v>147</v>
      </c>
      <c r="J3" s="11" t="s">
        <v>766</v>
      </c>
      <c r="K3" s="11" t="s">
        <v>581</v>
      </c>
      <c r="L3" s="11" t="s">
        <v>148</v>
      </c>
      <c r="M3" s="11"/>
      <c r="N3" s="11" t="s">
        <v>770</v>
      </c>
      <c r="O3" s="11"/>
      <c r="P3" s="11"/>
      <c r="Q3" s="11"/>
      <c r="R3" s="11" t="s">
        <v>108</v>
      </c>
      <c r="S3" s="11"/>
      <c r="T3" s="11" t="s">
        <v>109</v>
      </c>
      <c r="U3" s="11" t="s">
        <v>149</v>
      </c>
      <c r="V3" s="11"/>
      <c r="W3" s="11"/>
      <c r="X3" s="11" t="s">
        <v>150</v>
      </c>
      <c r="Y3" s="11" t="s">
        <v>113</v>
      </c>
      <c r="Z3" s="11" t="s">
        <v>114</v>
      </c>
      <c r="AA3" s="11" t="s">
        <v>115</v>
      </c>
      <c r="AB3" s="11"/>
      <c r="AC3" s="11"/>
      <c r="AD3" s="11" t="s">
        <v>115</v>
      </c>
      <c r="AE3" s="11" t="s">
        <v>116</v>
      </c>
      <c r="AF3" s="11"/>
      <c r="AG3" s="11"/>
      <c r="AH3" s="11" t="s">
        <v>116</v>
      </c>
      <c r="AI3" s="12" t="s">
        <v>147</v>
      </c>
      <c r="AJ3" s="12" t="s">
        <v>147</v>
      </c>
      <c r="AK3" s="11"/>
      <c r="AL3" s="11"/>
      <c r="AM3" s="11"/>
      <c r="AN3" s="11"/>
      <c r="AO3" s="11"/>
      <c r="AP3" s="11"/>
      <c r="AQ3" s="11"/>
      <c r="AR3" s="11"/>
      <c r="AS3" s="11"/>
      <c r="AT3" s="11" t="s">
        <v>771</v>
      </c>
      <c r="AU3" s="13" t="str">
        <f>IF($AT3="","",IFERROR(INDEX(InstructorMap!$B:$B, MATCH($AT3, InstructorMap!$A:$A, 0)),""))</f>
        <v>huss@andrews.edu</v>
      </c>
      <c r="AV3" s="13" t="str">
        <f>IF($AT3="","",IFERROR(INDEX(InstructorMap!$C:$C, MATCH($AT3, InstructorMap!$A:$A, 0)),""))</f>
        <v>000141225</v>
      </c>
      <c r="AW3" s="11" t="s">
        <v>121</v>
      </c>
      <c r="AX3" s="11" t="s">
        <v>160</v>
      </c>
      <c r="AY3" s="11" t="s">
        <v>161</v>
      </c>
      <c r="AZ3" s="11" t="s">
        <v>526</v>
      </c>
      <c r="BA3" s="11"/>
      <c r="BB3" s="11"/>
      <c r="BC3" s="11"/>
      <c r="BD3" s="11"/>
      <c r="BE3" s="11"/>
      <c r="BF3" s="11"/>
      <c r="BG3" s="11"/>
      <c r="BH3" s="11" t="s">
        <v>766</v>
      </c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2" t="s">
        <v>147</v>
      </c>
      <c r="CT3" s="11" t="s">
        <v>133</v>
      </c>
      <c r="CU3" s="11"/>
      <c r="CV3" s="11"/>
    </row>
    <row r="4" spans="1:100" x14ac:dyDescent="0.2">
      <c r="A4" s="35" t="b">
        <v>0</v>
      </c>
      <c r="B4" s="52" t="b">
        <v>0</v>
      </c>
      <c r="C4" s="35" t="b">
        <v>1</v>
      </c>
      <c r="D4" s="52" t="b">
        <v>0</v>
      </c>
      <c r="E4" s="52" t="b">
        <v>0</v>
      </c>
      <c r="F4" s="26" t="b">
        <v>1</v>
      </c>
      <c r="G4" s="64"/>
      <c r="H4" s="4" t="s">
        <v>772</v>
      </c>
      <c r="I4" s="4" t="s">
        <v>773</v>
      </c>
      <c r="J4" s="4" t="s">
        <v>766</v>
      </c>
      <c r="K4" s="4" t="s">
        <v>774</v>
      </c>
      <c r="L4" s="4" t="s">
        <v>148</v>
      </c>
      <c r="M4" s="4"/>
      <c r="N4" s="4" t="s">
        <v>775</v>
      </c>
      <c r="O4" s="4"/>
      <c r="P4" s="4"/>
      <c r="Q4" s="4"/>
      <c r="R4" s="4" t="s">
        <v>108</v>
      </c>
      <c r="S4" s="4"/>
      <c r="T4" s="4" t="s">
        <v>109</v>
      </c>
      <c r="U4" s="4" t="s">
        <v>149</v>
      </c>
      <c r="V4" s="4"/>
      <c r="W4" s="4" t="s">
        <v>776</v>
      </c>
      <c r="X4" s="4" t="s">
        <v>173</v>
      </c>
      <c r="Y4" s="4" t="s">
        <v>332</v>
      </c>
      <c r="Z4" s="4" t="s">
        <v>114</v>
      </c>
      <c r="AA4" s="4" t="s">
        <v>115</v>
      </c>
      <c r="AB4" s="4"/>
      <c r="AC4" s="4"/>
      <c r="AD4" s="4" t="s">
        <v>115</v>
      </c>
      <c r="AE4" s="4" t="s">
        <v>116</v>
      </c>
      <c r="AF4" s="4"/>
      <c r="AG4" s="4"/>
      <c r="AH4" s="4" t="s">
        <v>116</v>
      </c>
      <c r="AI4" s="10" t="s">
        <v>147</v>
      </c>
      <c r="AJ4" s="10" t="s">
        <v>147</v>
      </c>
      <c r="AK4" s="4"/>
      <c r="AL4" s="4"/>
      <c r="AM4" s="4"/>
      <c r="AN4" s="4"/>
      <c r="AO4" s="4"/>
      <c r="AP4" s="4"/>
      <c r="AQ4" s="4"/>
      <c r="AR4" s="4"/>
      <c r="AS4" s="4"/>
      <c r="AT4" s="4" t="s">
        <v>769</v>
      </c>
      <c r="AU4" s="5" t="str">
        <f>IF($AT4="","",IFERROR(INDEX(InstructorMap!$B:$B, MATCH($AT4, InstructorMap!$A:$A, 0)),""))</f>
        <v>kondrat@andrews.edu</v>
      </c>
      <c r="AV4" s="5" t="str">
        <f>IF($AT4="","",IFERROR(INDEX(InstructorMap!$C:$C, MATCH($AT4, InstructorMap!$A:$A, 0)),""))</f>
        <v>000119532</v>
      </c>
      <c r="AW4" s="4" t="s">
        <v>121</v>
      </c>
      <c r="AX4" s="4" t="s">
        <v>160</v>
      </c>
      <c r="AY4" s="4" t="s">
        <v>161</v>
      </c>
      <c r="AZ4" s="4" t="s">
        <v>526</v>
      </c>
      <c r="BA4" s="4"/>
      <c r="BB4" s="4"/>
      <c r="BC4" s="4"/>
      <c r="BD4" s="4"/>
      <c r="BE4" s="4"/>
      <c r="BF4" s="4"/>
      <c r="BG4" s="4"/>
      <c r="BH4" s="4" t="s">
        <v>766</v>
      </c>
      <c r="BI4" s="4" t="s">
        <v>124</v>
      </c>
      <c r="BJ4" s="4" t="s">
        <v>125</v>
      </c>
      <c r="BK4" s="4" t="s">
        <v>150</v>
      </c>
      <c r="BL4" s="4" t="s">
        <v>126</v>
      </c>
      <c r="BM4" s="4"/>
      <c r="BN4" s="4"/>
      <c r="BO4" s="4" t="s">
        <v>127</v>
      </c>
      <c r="BP4" s="4"/>
      <c r="BQ4" s="4"/>
      <c r="BR4" s="4"/>
      <c r="BS4" s="4"/>
      <c r="BT4" s="4" t="s">
        <v>128</v>
      </c>
      <c r="BU4" s="4" t="s">
        <v>129</v>
      </c>
      <c r="BV4" s="4" t="s">
        <v>129</v>
      </c>
      <c r="BW4" s="4"/>
      <c r="BX4" s="4"/>
      <c r="BY4" s="4"/>
      <c r="BZ4" s="4"/>
      <c r="CA4" s="4"/>
      <c r="CB4" s="4"/>
      <c r="CC4" s="4"/>
      <c r="CD4" s="4"/>
      <c r="CE4" s="4"/>
      <c r="CF4" s="4" t="s">
        <v>130</v>
      </c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10" t="s">
        <v>147</v>
      </c>
      <c r="CT4" s="4" t="s">
        <v>133</v>
      </c>
      <c r="CU4" s="4" t="s">
        <v>134</v>
      </c>
      <c r="CV4" s="4"/>
    </row>
    <row r="5" spans="1:100" x14ac:dyDescent="0.2">
      <c r="A5" s="45" t="b">
        <v>0</v>
      </c>
      <c r="B5" s="45" t="b">
        <v>0</v>
      </c>
      <c r="C5" s="45" t="b">
        <v>0</v>
      </c>
      <c r="D5" s="45" t="b">
        <v>0</v>
      </c>
      <c r="E5" s="45" t="b">
        <v>1</v>
      </c>
      <c r="F5" s="45" t="b">
        <v>0</v>
      </c>
      <c r="G5" s="136" t="s">
        <v>777</v>
      </c>
      <c r="H5" s="125" t="s">
        <v>778</v>
      </c>
      <c r="I5" s="125" t="s">
        <v>779</v>
      </c>
      <c r="J5" s="125" t="s">
        <v>766</v>
      </c>
      <c r="K5" s="125" t="s">
        <v>774</v>
      </c>
      <c r="L5" s="127" t="s">
        <v>543</v>
      </c>
      <c r="M5" s="125"/>
      <c r="N5" s="125" t="s">
        <v>775</v>
      </c>
      <c r="O5" s="125"/>
      <c r="P5" s="125"/>
      <c r="Q5" s="125"/>
      <c r="R5" s="125" t="s">
        <v>129</v>
      </c>
      <c r="S5" s="125"/>
      <c r="T5" s="125"/>
      <c r="U5" s="125" t="s">
        <v>780</v>
      </c>
      <c r="V5" s="125"/>
      <c r="W5" s="125" t="s">
        <v>776</v>
      </c>
      <c r="X5" s="125" t="s">
        <v>129</v>
      </c>
      <c r="Y5" s="125" t="s">
        <v>148</v>
      </c>
      <c r="Z5" s="125" t="s">
        <v>142</v>
      </c>
      <c r="AA5" s="125"/>
      <c r="AB5" s="125"/>
      <c r="AC5" s="125"/>
      <c r="AD5" s="125" t="s">
        <v>525</v>
      </c>
      <c r="AE5" s="125" t="s">
        <v>116</v>
      </c>
      <c r="AF5" s="125"/>
      <c r="AG5" s="125"/>
      <c r="AH5" s="125"/>
      <c r="AI5" s="125"/>
      <c r="AJ5" s="125"/>
      <c r="AK5" s="125"/>
      <c r="AL5" s="125"/>
      <c r="AM5" s="125"/>
      <c r="AN5" s="125"/>
      <c r="AO5" s="125"/>
      <c r="AP5" s="125"/>
      <c r="AQ5" s="125"/>
      <c r="AR5" s="125"/>
      <c r="AS5" s="125"/>
      <c r="AT5" s="125" t="s">
        <v>612</v>
      </c>
      <c r="AU5" s="126" t="str">
        <f>IF($AT5="","",IFERROR(INDEX([1]InstructorMap!$B:$B, MATCH($AT5, [1]InstructorMap!$A:$A, 0)),""))</f>
        <v>cvine@andrews.edu</v>
      </c>
      <c r="AV5" s="126" t="str">
        <f>IF($AT5="","",IFERROR(INDEX([1]InstructorMap!$C:$C, MATCH($AT5, [1]InstructorMap!$A:$A, 0)),""))</f>
        <v>000093509</v>
      </c>
      <c r="AW5" s="125" t="s">
        <v>121</v>
      </c>
      <c r="AX5" s="143" t="s">
        <v>781</v>
      </c>
      <c r="AY5" s="125"/>
      <c r="AZ5" s="125"/>
      <c r="BA5" s="125"/>
      <c r="BB5" s="125"/>
      <c r="BC5" s="125"/>
      <c r="BD5" s="125"/>
      <c r="BE5" s="125"/>
      <c r="BF5" s="125"/>
      <c r="BG5" s="125"/>
      <c r="BH5" s="125" t="s">
        <v>766</v>
      </c>
      <c r="BI5" s="125" t="s">
        <v>124</v>
      </c>
      <c r="BJ5" s="125" t="s">
        <v>125</v>
      </c>
      <c r="BK5" s="125" t="s">
        <v>129</v>
      </c>
      <c r="BL5" s="125" t="s">
        <v>782</v>
      </c>
      <c r="BM5" s="125"/>
      <c r="BN5" s="125"/>
      <c r="BO5" s="125" t="s">
        <v>127</v>
      </c>
      <c r="BP5" s="125"/>
      <c r="BQ5" s="125"/>
      <c r="BR5" s="125"/>
      <c r="BS5" s="125"/>
      <c r="BT5" s="125" t="s">
        <v>128</v>
      </c>
      <c r="BU5" s="125" t="s">
        <v>129</v>
      </c>
      <c r="BV5" s="125" t="s">
        <v>129</v>
      </c>
      <c r="BW5" s="125" t="s">
        <v>130</v>
      </c>
      <c r="BX5" s="125"/>
      <c r="BY5" s="125" t="s">
        <v>525</v>
      </c>
      <c r="BZ5" s="125" t="s">
        <v>116</v>
      </c>
      <c r="CA5" s="125" t="s">
        <v>525</v>
      </c>
      <c r="CB5" s="125" t="s">
        <v>116</v>
      </c>
      <c r="CC5" s="125" t="s">
        <v>134</v>
      </c>
      <c r="CD5" s="125" t="s">
        <v>528</v>
      </c>
      <c r="CE5" s="125" t="s">
        <v>783</v>
      </c>
      <c r="CF5" s="125" t="s">
        <v>130</v>
      </c>
      <c r="CG5" s="125"/>
      <c r="CH5" s="125"/>
      <c r="CI5" s="125"/>
      <c r="CJ5" s="125"/>
      <c r="CK5" s="125"/>
      <c r="CL5" s="125"/>
      <c r="CM5" s="125"/>
      <c r="CN5" s="125"/>
      <c r="CO5" s="125"/>
      <c r="CP5" s="125"/>
      <c r="CQ5" s="125"/>
      <c r="CR5" s="125" t="s">
        <v>249</v>
      </c>
      <c r="CS5" s="125"/>
      <c r="CT5" s="125" t="s">
        <v>133</v>
      </c>
      <c r="CU5" s="125"/>
      <c r="CV5" s="125"/>
    </row>
    <row r="6" spans="1:100" x14ac:dyDescent="0.2">
      <c r="A6" s="26" t="b">
        <v>0</v>
      </c>
      <c r="B6" s="26" t="b">
        <v>0</v>
      </c>
      <c r="C6" s="26" t="b">
        <v>0</v>
      </c>
      <c r="D6" s="26" t="b">
        <v>0</v>
      </c>
      <c r="E6" s="26" t="b">
        <v>0</v>
      </c>
      <c r="F6" s="26" t="b">
        <v>1</v>
      </c>
      <c r="G6" s="27"/>
      <c r="H6" s="4" t="s">
        <v>784</v>
      </c>
      <c r="I6" s="4" t="s">
        <v>785</v>
      </c>
      <c r="J6" s="4" t="s">
        <v>766</v>
      </c>
      <c r="K6" s="4" t="s">
        <v>774</v>
      </c>
      <c r="L6" s="4" t="s">
        <v>137</v>
      </c>
      <c r="M6" s="4"/>
      <c r="N6" s="4" t="s">
        <v>775</v>
      </c>
      <c r="O6" s="4"/>
      <c r="P6" s="4"/>
      <c r="Q6" s="4" t="s">
        <v>786</v>
      </c>
      <c r="R6" s="4" t="s">
        <v>129</v>
      </c>
      <c r="S6" s="4"/>
      <c r="T6" s="4" t="s">
        <v>139</v>
      </c>
      <c r="U6" s="4" t="s">
        <v>140</v>
      </c>
      <c r="V6" s="4"/>
      <c r="W6" s="4" t="s">
        <v>776</v>
      </c>
      <c r="X6" s="4" t="s">
        <v>150</v>
      </c>
      <c r="Y6" s="4" t="s">
        <v>591</v>
      </c>
      <c r="Z6" s="4" t="s">
        <v>142</v>
      </c>
      <c r="AA6" s="4" t="s">
        <v>115</v>
      </c>
      <c r="AB6" s="4"/>
      <c r="AC6" s="4"/>
      <c r="AD6" s="4" t="s">
        <v>115</v>
      </c>
      <c r="AE6" s="4" t="s">
        <v>116</v>
      </c>
      <c r="AF6" s="4"/>
      <c r="AG6" s="4"/>
      <c r="AH6" s="4" t="s">
        <v>116</v>
      </c>
      <c r="AI6" s="4" t="s">
        <v>175</v>
      </c>
      <c r="AJ6" s="4" t="s">
        <v>357</v>
      </c>
      <c r="AK6" s="4"/>
      <c r="AL6" s="4"/>
      <c r="AM6" s="4"/>
      <c r="AN6" s="4"/>
      <c r="AO6" s="4" t="s">
        <v>221</v>
      </c>
      <c r="AP6" s="4"/>
      <c r="AQ6" s="4"/>
      <c r="AR6" s="4" t="s">
        <v>232</v>
      </c>
      <c r="AS6" s="4" t="s">
        <v>144</v>
      </c>
      <c r="AT6" s="143" t="s">
        <v>196</v>
      </c>
      <c r="AU6" s="5" t="str">
        <f>IF($AT6="","",IFERROR(INDEX(InstructorMap!$B:$B, MATCH($AT6, InstructorMap!$A:$A, 0)),""))</f>
        <v/>
      </c>
      <c r="AV6" s="5" t="str">
        <f>IF($AT6="","",IFERROR(INDEX(InstructorMap!$C:$C, MATCH($AT6, InstructorMap!$A:$A, 0)),""))</f>
        <v/>
      </c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 t="s">
        <v>766</v>
      </c>
      <c r="BI6" s="4" t="s">
        <v>124</v>
      </c>
      <c r="BJ6" s="4" t="s">
        <v>125</v>
      </c>
      <c r="BK6" s="4" t="s">
        <v>150</v>
      </c>
      <c r="BL6" s="4" t="s">
        <v>125</v>
      </c>
      <c r="BM6" s="4"/>
      <c r="BN6" s="4"/>
      <c r="BO6" s="4" t="s">
        <v>127</v>
      </c>
      <c r="BP6" s="4"/>
      <c r="BQ6" s="4"/>
      <c r="BR6" s="4"/>
      <c r="BS6" s="4"/>
      <c r="BT6" s="4" t="s">
        <v>128</v>
      </c>
      <c r="BU6" s="4" t="s">
        <v>129</v>
      </c>
      <c r="BV6" s="4" t="s">
        <v>145</v>
      </c>
      <c r="BW6" s="4"/>
      <c r="BX6" s="4"/>
      <c r="BY6" s="4"/>
      <c r="BZ6" s="4"/>
      <c r="CA6" s="4"/>
      <c r="CB6" s="4"/>
      <c r="CC6" s="4"/>
      <c r="CD6" s="4"/>
      <c r="CE6" s="4"/>
      <c r="CF6" s="4" t="s">
        <v>130</v>
      </c>
      <c r="CG6" s="4"/>
      <c r="CH6" s="4" t="s">
        <v>131</v>
      </c>
      <c r="CI6" s="4"/>
      <c r="CJ6" s="4"/>
      <c r="CK6" s="4"/>
      <c r="CL6" s="4"/>
      <c r="CM6" s="4"/>
      <c r="CN6" s="4"/>
      <c r="CO6" s="4"/>
      <c r="CP6" s="4"/>
      <c r="CQ6" s="4"/>
      <c r="CR6" s="4"/>
      <c r="CS6" s="4" t="s">
        <v>146</v>
      </c>
      <c r="CT6" s="4" t="s">
        <v>133</v>
      </c>
      <c r="CU6" s="4" t="s">
        <v>134</v>
      </c>
      <c r="CV6" s="4"/>
    </row>
    <row r="7" spans="1:100" x14ac:dyDescent="0.2">
      <c r="A7" s="30" t="b">
        <v>0</v>
      </c>
      <c r="B7" s="31" t="b">
        <v>0</v>
      </c>
      <c r="C7" s="30" t="b">
        <v>1</v>
      </c>
      <c r="D7" s="31" t="b">
        <v>0</v>
      </c>
      <c r="E7" s="31" t="b">
        <v>1</v>
      </c>
      <c r="F7" s="132" t="b">
        <v>0</v>
      </c>
      <c r="G7" s="124" t="s">
        <v>787</v>
      </c>
      <c r="H7" s="8" t="s">
        <v>788</v>
      </c>
      <c r="I7" s="8" t="s">
        <v>789</v>
      </c>
      <c r="J7" s="8" t="s">
        <v>766</v>
      </c>
      <c r="K7" s="8" t="s">
        <v>790</v>
      </c>
      <c r="L7" s="8" t="s">
        <v>148</v>
      </c>
      <c r="M7" s="8"/>
      <c r="N7" s="8" t="s">
        <v>791</v>
      </c>
      <c r="O7" s="8"/>
      <c r="P7" s="8"/>
      <c r="Q7" s="8"/>
      <c r="R7" s="8" t="s">
        <v>108</v>
      </c>
      <c r="S7" s="8"/>
      <c r="T7" s="8"/>
      <c r="U7" s="8" t="s">
        <v>149</v>
      </c>
      <c r="V7" s="8"/>
      <c r="W7" s="8" t="s">
        <v>792</v>
      </c>
      <c r="X7" s="8" t="s">
        <v>173</v>
      </c>
      <c r="Y7" s="8" t="s">
        <v>332</v>
      </c>
      <c r="Z7" s="8" t="s">
        <v>114</v>
      </c>
      <c r="AA7" s="8" t="s">
        <v>115</v>
      </c>
      <c r="AB7" s="8"/>
      <c r="AC7" s="8"/>
      <c r="AD7" s="8" t="s">
        <v>115</v>
      </c>
      <c r="AE7" s="8" t="s">
        <v>116</v>
      </c>
      <c r="AF7" s="8"/>
      <c r="AG7" s="8"/>
      <c r="AH7" s="8" t="s">
        <v>116</v>
      </c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 t="s">
        <v>285</v>
      </c>
      <c r="AU7" s="9" t="str">
        <f>IF($AT7="","",IFERROR(INDEX([1]InstructorMap!$B:$B, MATCH($AT7, [1]InstructorMap!$A:$A, 0)),""))</f>
        <v/>
      </c>
      <c r="AV7" s="9" t="str">
        <f>IF($AT7="","",IFERROR(INDEX([1]InstructorMap!$C:$C, MATCH($AT7, [1]InstructorMap!$A:$A, 0)),""))</f>
        <v/>
      </c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 t="s">
        <v>766</v>
      </c>
      <c r="BI7" s="8" t="s">
        <v>124</v>
      </c>
      <c r="BJ7" s="8" t="s">
        <v>125</v>
      </c>
      <c r="BK7" s="8" t="s">
        <v>173</v>
      </c>
      <c r="BL7" s="8" t="s">
        <v>126</v>
      </c>
      <c r="BM7" s="8"/>
      <c r="BN7" s="8"/>
      <c r="BO7" s="8" t="s">
        <v>127</v>
      </c>
      <c r="BP7" s="8"/>
      <c r="BQ7" s="8"/>
      <c r="BR7" s="8"/>
      <c r="BS7" s="8"/>
      <c r="BT7" s="8" t="s">
        <v>128</v>
      </c>
      <c r="BU7" s="8" t="s">
        <v>129</v>
      </c>
      <c r="BV7" s="8" t="s">
        <v>129</v>
      </c>
      <c r="BW7" s="8"/>
      <c r="BX7" s="8"/>
      <c r="BY7" s="8"/>
      <c r="BZ7" s="8"/>
      <c r="CA7" s="8"/>
      <c r="CB7" s="8"/>
      <c r="CC7" s="8"/>
      <c r="CD7" s="8"/>
      <c r="CE7" s="8"/>
      <c r="CF7" s="8" t="s">
        <v>130</v>
      </c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 t="s">
        <v>132</v>
      </c>
      <c r="CT7" s="8" t="s">
        <v>133</v>
      </c>
      <c r="CU7" s="8" t="s">
        <v>134</v>
      </c>
      <c r="CV7" s="8"/>
    </row>
    <row r="8" spans="1:100" x14ac:dyDescent="0.2">
      <c r="A8" s="45" t="b">
        <v>0</v>
      </c>
      <c r="B8" s="45" t="b">
        <v>0</v>
      </c>
      <c r="C8" s="45" t="b">
        <v>0</v>
      </c>
      <c r="D8" s="45" t="b">
        <v>0</v>
      </c>
      <c r="E8" s="45" t="b">
        <v>1</v>
      </c>
      <c r="F8" s="45" t="b">
        <v>0</v>
      </c>
      <c r="G8" s="136" t="s">
        <v>777</v>
      </c>
      <c r="H8" s="125" t="s">
        <v>793</v>
      </c>
      <c r="I8" s="125" t="s">
        <v>794</v>
      </c>
      <c r="J8" s="125" t="s">
        <v>766</v>
      </c>
      <c r="K8" s="125" t="s">
        <v>790</v>
      </c>
      <c r="L8" s="127" t="s">
        <v>543</v>
      </c>
      <c r="M8" s="125"/>
      <c r="N8" s="125" t="s">
        <v>791</v>
      </c>
      <c r="O8" s="125"/>
      <c r="P8" s="125"/>
      <c r="Q8" s="125"/>
      <c r="R8" s="125" t="s">
        <v>129</v>
      </c>
      <c r="S8" s="125"/>
      <c r="T8" s="125"/>
      <c r="U8" s="125" t="s">
        <v>780</v>
      </c>
      <c r="V8" s="125"/>
      <c r="W8" s="125" t="s">
        <v>792</v>
      </c>
      <c r="X8" s="125" t="s">
        <v>129</v>
      </c>
      <c r="Y8" s="125" t="s">
        <v>148</v>
      </c>
      <c r="Z8" s="125" t="s">
        <v>142</v>
      </c>
      <c r="AA8" s="125"/>
      <c r="AB8" s="125"/>
      <c r="AC8" s="125"/>
      <c r="AD8" s="125" t="s">
        <v>525</v>
      </c>
      <c r="AE8" s="125" t="s">
        <v>116</v>
      </c>
      <c r="AF8" s="125"/>
      <c r="AG8" s="125"/>
      <c r="AH8" s="125"/>
      <c r="AI8" s="125"/>
      <c r="AJ8" s="125"/>
      <c r="AK8" s="125"/>
      <c r="AL8" s="125"/>
      <c r="AM8" s="125"/>
      <c r="AN8" s="125"/>
      <c r="AO8" s="125"/>
      <c r="AP8" s="125"/>
      <c r="AQ8" s="125"/>
      <c r="AR8" s="125"/>
      <c r="AS8" s="125"/>
      <c r="AT8" s="125" t="s">
        <v>612</v>
      </c>
      <c r="AU8" s="126" t="str">
        <f>IF($AT8="","",IFERROR(INDEX([1]InstructorMap!$B:$B, MATCH($AT8, [1]InstructorMap!$A:$A, 0)),""))</f>
        <v>cvine@andrews.edu</v>
      </c>
      <c r="AV8" s="126" t="str">
        <f>IF($AT8="","",IFERROR(INDEX([1]InstructorMap!$C:$C, MATCH($AT8, [1]InstructorMap!$A:$A, 0)),""))</f>
        <v>000093509</v>
      </c>
      <c r="AW8" s="125" t="s">
        <v>121</v>
      </c>
      <c r="AX8" s="125" t="s">
        <v>122</v>
      </c>
      <c r="AY8" s="125"/>
      <c r="AZ8" s="125"/>
      <c r="BA8" s="125"/>
      <c r="BB8" s="125"/>
      <c r="BC8" s="125"/>
      <c r="BD8" s="125"/>
      <c r="BE8" s="125"/>
      <c r="BF8" s="125"/>
      <c r="BG8" s="125"/>
      <c r="BH8" s="125" t="s">
        <v>766</v>
      </c>
      <c r="BI8" s="125" t="s">
        <v>124</v>
      </c>
      <c r="BJ8" s="125" t="s">
        <v>125</v>
      </c>
      <c r="BK8" s="125" t="s">
        <v>129</v>
      </c>
      <c r="BL8" s="125" t="s">
        <v>782</v>
      </c>
      <c r="BM8" s="125"/>
      <c r="BN8" s="125"/>
      <c r="BO8" s="125" t="s">
        <v>127</v>
      </c>
      <c r="BP8" s="125"/>
      <c r="BQ8" s="125"/>
      <c r="BR8" s="125"/>
      <c r="BS8" s="125"/>
      <c r="BT8" s="125" t="s">
        <v>128</v>
      </c>
      <c r="BU8" s="125" t="s">
        <v>129</v>
      </c>
      <c r="BV8" s="125" t="s">
        <v>129</v>
      </c>
      <c r="BW8" s="125" t="s">
        <v>130</v>
      </c>
      <c r="BX8" s="125" t="s">
        <v>131</v>
      </c>
      <c r="BY8" s="125" t="s">
        <v>525</v>
      </c>
      <c r="BZ8" s="125" t="s">
        <v>116</v>
      </c>
      <c r="CA8" s="125" t="s">
        <v>525</v>
      </c>
      <c r="CB8" s="125" t="s">
        <v>116</v>
      </c>
      <c r="CC8" s="125" t="s">
        <v>134</v>
      </c>
      <c r="CD8" s="125" t="s">
        <v>528</v>
      </c>
      <c r="CE8" s="125" t="s">
        <v>783</v>
      </c>
      <c r="CF8" s="125" t="s">
        <v>130</v>
      </c>
      <c r="CG8" s="125"/>
      <c r="CH8" s="125"/>
      <c r="CI8" s="125"/>
      <c r="CJ8" s="125"/>
      <c r="CK8" s="125"/>
      <c r="CL8" s="125"/>
      <c r="CM8" s="125"/>
      <c r="CN8" s="125"/>
      <c r="CO8" s="125"/>
      <c r="CP8" s="125"/>
      <c r="CQ8" s="125"/>
      <c r="CR8" s="125" t="s">
        <v>249</v>
      </c>
      <c r="CS8" s="125"/>
      <c r="CT8" s="125" t="s">
        <v>133</v>
      </c>
      <c r="CU8" s="125"/>
      <c r="CV8" s="125"/>
    </row>
    <row r="9" spans="1:100" x14ac:dyDescent="0.2">
      <c r="A9" s="132" t="b">
        <v>0</v>
      </c>
      <c r="B9" s="132" t="b">
        <v>0</v>
      </c>
      <c r="C9" s="132" t="b">
        <v>1</v>
      </c>
      <c r="D9" s="132" t="b">
        <v>0</v>
      </c>
      <c r="E9" s="132" t="b">
        <v>1</v>
      </c>
      <c r="F9" s="132" t="b">
        <v>0</v>
      </c>
      <c r="G9" s="140" t="s">
        <v>787</v>
      </c>
      <c r="H9" s="8" t="s">
        <v>795</v>
      </c>
      <c r="I9" s="8" t="s">
        <v>796</v>
      </c>
      <c r="J9" s="8" t="s">
        <v>766</v>
      </c>
      <c r="K9" s="8" t="s">
        <v>391</v>
      </c>
      <c r="L9" s="8" t="s">
        <v>105</v>
      </c>
      <c r="M9" s="8"/>
      <c r="N9" s="8" t="s">
        <v>797</v>
      </c>
      <c r="O9" s="8"/>
      <c r="P9" s="8"/>
      <c r="Q9" s="8" t="s">
        <v>798</v>
      </c>
      <c r="R9" s="8" t="s">
        <v>108</v>
      </c>
      <c r="S9" s="8"/>
      <c r="T9" s="8"/>
      <c r="U9" s="8" t="s">
        <v>110</v>
      </c>
      <c r="V9" s="8"/>
      <c r="W9" s="8" t="s">
        <v>112</v>
      </c>
      <c r="X9" s="8"/>
      <c r="Y9" s="8" t="s">
        <v>591</v>
      </c>
      <c r="Z9" s="8" t="s">
        <v>114</v>
      </c>
      <c r="AA9" s="8" t="s">
        <v>115</v>
      </c>
      <c r="AB9" s="8"/>
      <c r="AC9" s="8"/>
      <c r="AD9" s="8" t="s">
        <v>115</v>
      </c>
      <c r="AE9" s="8" t="s">
        <v>116</v>
      </c>
      <c r="AF9" s="8"/>
      <c r="AG9" s="8"/>
      <c r="AH9" s="8" t="s">
        <v>116</v>
      </c>
      <c r="AI9" s="8" t="s">
        <v>277</v>
      </c>
      <c r="AJ9" s="8" t="s">
        <v>278</v>
      </c>
      <c r="AK9" s="8"/>
      <c r="AL9" s="8"/>
      <c r="AM9" s="8"/>
      <c r="AN9" s="8"/>
      <c r="AO9" s="8" t="s">
        <v>221</v>
      </c>
      <c r="AP9" s="8"/>
      <c r="AQ9" s="8"/>
      <c r="AR9" s="8"/>
      <c r="AS9" s="8"/>
      <c r="AT9" s="8" t="s">
        <v>799</v>
      </c>
      <c r="AU9" s="9" t="str">
        <f>IF($AT9="","",IFERROR(INDEX([1]InstructorMap!$B:$B, MATCH($AT9, [1]InstructorMap!$A:$A, 0)),""))</f>
        <v>rayp@andrews.edu</v>
      </c>
      <c r="AV9" s="9" t="str">
        <f>IF($AT9="","",IFERROR(INDEX([1]InstructorMap!$C:$C, MATCH($AT9, [1]InstructorMap!$A:$A, 0)),""))</f>
        <v>000029934</v>
      </c>
      <c r="AW9" s="8" t="s">
        <v>121</v>
      </c>
      <c r="AX9" s="140"/>
      <c r="AY9" s="8"/>
      <c r="AZ9" s="8"/>
      <c r="BA9" s="8"/>
      <c r="BB9" s="8"/>
      <c r="BC9" s="8"/>
      <c r="BD9" s="8"/>
      <c r="BE9" s="8"/>
      <c r="BF9" s="8"/>
      <c r="BG9" s="8"/>
      <c r="BH9" s="8" t="s">
        <v>766</v>
      </c>
      <c r="BI9" s="8" t="s">
        <v>124</v>
      </c>
      <c r="BJ9" s="8" t="s">
        <v>125</v>
      </c>
      <c r="BK9" s="8"/>
      <c r="BL9" s="8" t="s">
        <v>126</v>
      </c>
      <c r="BM9" s="8"/>
      <c r="BN9" s="8"/>
      <c r="BO9" s="8" t="s">
        <v>127</v>
      </c>
      <c r="BP9" s="8"/>
      <c r="BQ9" s="8" t="s">
        <v>800</v>
      </c>
      <c r="BR9" s="8"/>
      <c r="BS9" s="8"/>
      <c r="BT9" s="8" t="s">
        <v>128</v>
      </c>
      <c r="BU9" s="8" t="s">
        <v>129</v>
      </c>
      <c r="BV9" s="8" t="s">
        <v>129</v>
      </c>
      <c r="BW9" s="8" t="s">
        <v>130</v>
      </c>
      <c r="BX9" s="8" t="s">
        <v>131</v>
      </c>
      <c r="BY9" s="8"/>
      <c r="BZ9" s="8"/>
      <c r="CA9" s="8"/>
      <c r="CB9" s="8"/>
      <c r="CC9" s="8"/>
      <c r="CD9" s="8"/>
      <c r="CE9" s="8"/>
      <c r="CF9" s="8" t="s">
        <v>130</v>
      </c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 t="s">
        <v>132</v>
      </c>
      <c r="CT9" s="8" t="s">
        <v>133</v>
      </c>
      <c r="CU9" s="8" t="s">
        <v>134</v>
      </c>
      <c r="CV9" s="8"/>
    </row>
    <row r="10" spans="1:100" x14ac:dyDescent="0.2">
      <c r="A10" s="77" t="b">
        <v>0</v>
      </c>
      <c r="B10" s="78" t="b">
        <v>0</v>
      </c>
      <c r="C10" s="78" t="b">
        <v>1</v>
      </c>
      <c r="D10" s="78" t="b">
        <v>0</v>
      </c>
      <c r="E10" s="78" t="b">
        <v>1</v>
      </c>
      <c r="F10" s="77" t="b">
        <v>0</v>
      </c>
      <c r="G10" s="139" t="s">
        <v>787</v>
      </c>
      <c r="H10" s="8" t="s">
        <v>801</v>
      </c>
      <c r="I10" s="8" t="s">
        <v>802</v>
      </c>
      <c r="J10" s="8" t="s">
        <v>766</v>
      </c>
      <c r="K10" s="8" t="s">
        <v>391</v>
      </c>
      <c r="L10" s="8" t="s">
        <v>137</v>
      </c>
      <c r="M10" s="8"/>
      <c r="N10" s="8" t="s">
        <v>797</v>
      </c>
      <c r="O10" s="8"/>
      <c r="P10" s="8"/>
      <c r="Q10" s="8" t="s">
        <v>798</v>
      </c>
      <c r="R10" s="8" t="s">
        <v>129</v>
      </c>
      <c r="S10" s="8"/>
      <c r="T10" s="8"/>
      <c r="U10" s="8"/>
      <c r="V10" s="8"/>
      <c r="W10" s="8" t="s">
        <v>112</v>
      </c>
      <c r="X10" s="8"/>
      <c r="Y10" s="8" t="s">
        <v>591</v>
      </c>
      <c r="Z10" s="8" t="s">
        <v>142</v>
      </c>
      <c r="AA10" s="8" t="s">
        <v>115</v>
      </c>
      <c r="AB10" s="8"/>
      <c r="AC10" s="8"/>
      <c r="AD10" s="8" t="s">
        <v>115</v>
      </c>
      <c r="AE10" s="8" t="s">
        <v>116</v>
      </c>
      <c r="AF10" s="8"/>
      <c r="AG10" s="8"/>
      <c r="AH10" s="8" t="s">
        <v>116</v>
      </c>
      <c r="AI10" s="8" t="s">
        <v>277</v>
      </c>
      <c r="AJ10" s="8" t="s">
        <v>278</v>
      </c>
      <c r="AK10" s="8"/>
      <c r="AL10" s="8"/>
      <c r="AM10" s="8"/>
      <c r="AN10" s="8"/>
      <c r="AO10" s="8" t="s">
        <v>221</v>
      </c>
      <c r="AP10" s="8"/>
      <c r="AQ10" s="8"/>
      <c r="AR10" s="8"/>
      <c r="AS10" s="8" t="s">
        <v>144</v>
      </c>
      <c r="AT10" s="8" t="s">
        <v>799</v>
      </c>
      <c r="AU10" s="9" t="str">
        <f>IF($AT10="","",IFERROR(INDEX([1]InstructorMap!$B:$B, MATCH($AT10, [1]InstructorMap!$A:$A, 0)),""))</f>
        <v>rayp@andrews.edu</v>
      </c>
      <c r="AV10" s="9" t="str">
        <f>IF($AT10="","",IFERROR(INDEX([1]InstructorMap!$C:$C, MATCH($AT10, [1]InstructorMap!$A:$A, 0)),""))</f>
        <v>000029934</v>
      </c>
      <c r="AW10" s="8" t="s">
        <v>121</v>
      </c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 t="s">
        <v>766</v>
      </c>
      <c r="BI10" s="8" t="s">
        <v>124</v>
      </c>
      <c r="BJ10" s="8" t="s">
        <v>125</v>
      </c>
      <c r="BK10" s="8"/>
      <c r="BL10" s="8" t="s">
        <v>125</v>
      </c>
      <c r="BM10" s="8"/>
      <c r="BN10" s="8"/>
      <c r="BO10" s="8" t="s">
        <v>127</v>
      </c>
      <c r="BP10" s="8"/>
      <c r="BQ10" s="8" t="s">
        <v>800</v>
      </c>
      <c r="BR10" s="8"/>
      <c r="BS10" s="8"/>
      <c r="BT10" s="8" t="s">
        <v>128</v>
      </c>
      <c r="BU10" s="8" t="s">
        <v>129</v>
      </c>
      <c r="BV10" s="8" t="s">
        <v>145</v>
      </c>
      <c r="BW10" s="8" t="s">
        <v>130</v>
      </c>
      <c r="BX10" s="8" t="s">
        <v>131</v>
      </c>
      <c r="BY10" s="8"/>
      <c r="BZ10" s="8"/>
      <c r="CA10" s="8"/>
      <c r="CB10" s="8"/>
      <c r="CC10" s="8"/>
      <c r="CD10" s="8"/>
      <c r="CE10" s="8"/>
      <c r="CF10" s="8" t="s">
        <v>130</v>
      </c>
      <c r="CG10" s="8"/>
      <c r="CH10" s="8" t="s">
        <v>131</v>
      </c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 t="s">
        <v>132</v>
      </c>
      <c r="CT10" s="8" t="s">
        <v>133</v>
      </c>
      <c r="CU10" s="8" t="s">
        <v>134</v>
      </c>
      <c r="CV10" s="8"/>
    </row>
    <row r="11" spans="1:100" x14ac:dyDescent="0.2">
      <c r="A11" s="66" t="b">
        <v>0</v>
      </c>
      <c r="B11" s="67" t="b">
        <v>0</v>
      </c>
      <c r="C11" s="67" t="b">
        <v>1</v>
      </c>
      <c r="D11" s="67" t="b">
        <v>0</v>
      </c>
      <c r="E11" s="67" t="b">
        <v>0</v>
      </c>
      <c r="F11" s="66" t="b">
        <v>0</v>
      </c>
      <c r="G11" s="158" t="s">
        <v>348</v>
      </c>
      <c r="H11" s="4" t="s">
        <v>803</v>
      </c>
      <c r="I11" s="4" t="s">
        <v>804</v>
      </c>
      <c r="J11" s="4" t="s">
        <v>766</v>
      </c>
      <c r="K11" s="4" t="s">
        <v>805</v>
      </c>
      <c r="L11" s="4" t="s">
        <v>148</v>
      </c>
      <c r="M11" s="4"/>
      <c r="N11" s="4" t="s">
        <v>806</v>
      </c>
      <c r="O11" s="4"/>
      <c r="P11" s="59" t="s">
        <v>807</v>
      </c>
      <c r="Q11" s="4"/>
      <c r="R11" s="4" t="s">
        <v>108</v>
      </c>
      <c r="S11" s="4"/>
      <c r="T11" s="4" t="s">
        <v>109</v>
      </c>
      <c r="U11" s="4" t="s">
        <v>149</v>
      </c>
      <c r="V11" s="4"/>
      <c r="W11" s="4" t="s">
        <v>112</v>
      </c>
      <c r="X11" s="4" t="s">
        <v>173</v>
      </c>
      <c r="Y11" s="4" t="s">
        <v>151</v>
      </c>
      <c r="Z11" s="4" t="s">
        <v>114</v>
      </c>
      <c r="AA11" s="4" t="s">
        <v>115</v>
      </c>
      <c r="AB11" s="4"/>
      <c r="AC11" s="4"/>
      <c r="AD11" s="4" t="s">
        <v>115</v>
      </c>
      <c r="AE11" s="4" t="s">
        <v>116</v>
      </c>
      <c r="AF11" s="4"/>
      <c r="AG11" s="4"/>
      <c r="AH11" s="4" t="s">
        <v>116</v>
      </c>
      <c r="AI11" s="10" t="s">
        <v>147</v>
      </c>
      <c r="AJ11" s="10" t="s">
        <v>147</v>
      </c>
      <c r="AK11" s="4"/>
      <c r="AL11" s="4"/>
      <c r="AM11" s="4"/>
      <c r="AN11" s="4"/>
      <c r="AO11" s="4"/>
      <c r="AP11" s="4"/>
      <c r="AQ11" s="4"/>
      <c r="AR11" s="4"/>
      <c r="AS11" s="4"/>
      <c r="AT11" s="63" t="s">
        <v>612</v>
      </c>
      <c r="AU11" s="5" t="str">
        <f>IF($AT11="","",IFERROR(INDEX(InstructorMap!$B:$B, MATCH($AT11, InstructorMap!$A:$A, 0)),""))</f>
        <v>cvine@andrews.edu</v>
      </c>
      <c r="AV11" s="5" t="str">
        <f>IF($AT11="","",IFERROR(INDEX(InstructorMap!$C:$C, MATCH($AT11, InstructorMap!$A:$A, 0)),""))</f>
        <v>000093509</v>
      </c>
      <c r="AW11" s="4" t="s">
        <v>121</v>
      </c>
      <c r="AX11" s="4" t="s">
        <v>122</v>
      </c>
      <c r="AY11" s="4"/>
      <c r="AZ11" s="4"/>
      <c r="BA11" s="4"/>
      <c r="BB11" s="4"/>
      <c r="BC11" s="4"/>
      <c r="BD11" s="4"/>
      <c r="BE11" s="4"/>
      <c r="BF11" s="4"/>
      <c r="BG11" s="4"/>
      <c r="BH11" s="4" t="s">
        <v>766</v>
      </c>
      <c r="BI11" s="4" t="s">
        <v>124</v>
      </c>
      <c r="BJ11" s="4" t="s">
        <v>125</v>
      </c>
      <c r="BK11" s="4" t="s">
        <v>173</v>
      </c>
      <c r="BL11" s="4" t="s">
        <v>126</v>
      </c>
      <c r="BM11" s="4"/>
      <c r="BN11" s="4"/>
      <c r="BO11" s="4" t="s">
        <v>127</v>
      </c>
      <c r="BP11" s="4"/>
      <c r="BQ11" s="4" t="s">
        <v>808</v>
      </c>
      <c r="BR11" s="4"/>
      <c r="BS11" s="4"/>
      <c r="BT11" s="4" t="s">
        <v>128</v>
      </c>
      <c r="BU11" s="4" t="s">
        <v>129</v>
      </c>
      <c r="BV11" s="4" t="s">
        <v>129</v>
      </c>
      <c r="BW11" s="4" t="s">
        <v>130</v>
      </c>
      <c r="BX11" s="4"/>
      <c r="BY11" s="4"/>
      <c r="BZ11" s="4"/>
      <c r="CA11" s="4"/>
      <c r="CB11" s="4"/>
      <c r="CC11" s="4"/>
      <c r="CD11" s="4"/>
      <c r="CE11" s="4"/>
      <c r="CF11" s="4" t="s">
        <v>130</v>
      </c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10" t="s">
        <v>147</v>
      </c>
      <c r="CT11" s="4" t="s">
        <v>133</v>
      </c>
      <c r="CU11" s="4" t="s">
        <v>134</v>
      </c>
      <c r="CV11" s="4"/>
    </row>
    <row r="12" spans="1:100" x14ac:dyDescent="0.2">
      <c r="A12" s="131" t="b">
        <v>0</v>
      </c>
      <c r="B12" s="135" t="b">
        <v>0</v>
      </c>
      <c r="C12" s="135" t="b">
        <v>1</v>
      </c>
      <c r="D12" s="135" t="b">
        <v>0</v>
      </c>
      <c r="E12" s="135" t="b">
        <v>0</v>
      </c>
      <c r="F12" s="131" t="b">
        <v>0</v>
      </c>
      <c r="G12" s="88" t="s">
        <v>809</v>
      </c>
      <c r="H12" s="11"/>
      <c r="I12" s="11" t="s">
        <v>810</v>
      </c>
      <c r="J12" s="11" t="s">
        <v>766</v>
      </c>
      <c r="K12" s="11" t="s">
        <v>805</v>
      </c>
      <c r="L12" s="11" t="s">
        <v>282</v>
      </c>
      <c r="M12" s="11"/>
      <c r="N12" s="11" t="s">
        <v>806</v>
      </c>
      <c r="O12" s="11"/>
      <c r="P12" s="59" t="s">
        <v>807</v>
      </c>
      <c r="Q12" s="11"/>
      <c r="R12" s="11" t="s">
        <v>108</v>
      </c>
      <c r="S12" s="11" t="s">
        <v>108</v>
      </c>
      <c r="T12" s="11" t="s">
        <v>109</v>
      </c>
      <c r="U12" s="11" t="s">
        <v>149</v>
      </c>
      <c r="V12" s="11"/>
      <c r="W12" s="11"/>
      <c r="X12" s="11" t="s">
        <v>150</v>
      </c>
      <c r="Y12" s="11" t="s">
        <v>132</v>
      </c>
      <c r="Z12" s="11" t="s">
        <v>114</v>
      </c>
      <c r="AA12" s="11" t="s">
        <v>115</v>
      </c>
      <c r="AB12" s="11"/>
      <c r="AC12" s="11"/>
      <c r="AD12" s="4" t="s">
        <v>115</v>
      </c>
      <c r="AE12" s="4" t="s">
        <v>116</v>
      </c>
      <c r="AF12" s="11"/>
      <c r="AG12" s="11"/>
      <c r="AH12" s="11" t="s">
        <v>116</v>
      </c>
      <c r="AI12" s="12" t="s">
        <v>147</v>
      </c>
      <c r="AJ12" s="12" t="s">
        <v>147</v>
      </c>
      <c r="AK12" s="11"/>
      <c r="AL12" s="11"/>
      <c r="AM12" s="11"/>
      <c r="AN12" s="11"/>
      <c r="AO12" s="11"/>
      <c r="AP12" s="11"/>
      <c r="AQ12" s="11"/>
      <c r="AR12" s="11"/>
      <c r="AS12" s="11"/>
      <c r="AT12" s="11" t="s">
        <v>612</v>
      </c>
      <c r="AU12" s="13" t="str">
        <f>IF($AT12="","",IFERROR(INDEX(InstructorMap!$B:$B, MATCH($AT12, InstructorMap!$A:$A, 0)),""))</f>
        <v>cvine@andrews.edu</v>
      </c>
      <c r="AV12" s="13" t="str">
        <f>IF($AT12="","",IFERROR(INDEX(InstructorMap!$C:$C, MATCH($AT12, InstructorMap!$A:$A, 0)),""))</f>
        <v>000093509</v>
      </c>
      <c r="AW12" s="11" t="s">
        <v>121</v>
      </c>
      <c r="AX12" s="11" t="s">
        <v>348</v>
      </c>
      <c r="AY12" s="11"/>
      <c r="AZ12" s="11"/>
      <c r="BA12" s="11"/>
      <c r="BB12" s="11"/>
      <c r="BC12" s="11"/>
      <c r="BD12" s="11"/>
      <c r="BE12" s="11"/>
      <c r="BF12" s="11"/>
      <c r="BG12" s="11"/>
      <c r="BH12" s="11" t="s">
        <v>766</v>
      </c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2" t="s">
        <v>147</v>
      </c>
      <c r="CT12" s="11" t="s">
        <v>133</v>
      </c>
      <c r="CU12" s="11"/>
      <c r="CV12" s="11"/>
    </row>
    <row r="13" spans="1:100" x14ac:dyDescent="0.2">
      <c r="A13" s="77" t="b">
        <v>0</v>
      </c>
      <c r="B13" s="78" t="b">
        <v>0</v>
      </c>
      <c r="C13" s="78" t="b">
        <v>1</v>
      </c>
      <c r="D13" s="78" t="b">
        <v>0</v>
      </c>
      <c r="E13" s="78" t="b">
        <v>1</v>
      </c>
      <c r="F13" s="77" t="b">
        <v>0</v>
      </c>
      <c r="G13" s="139" t="s">
        <v>787</v>
      </c>
      <c r="H13" s="8" t="s">
        <v>811</v>
      </c>
      <c r="I13" s="8" t="s">
        <v>812</v>
      </c>
      <c r="J13" s="8" t="s">
        <v>766</v>
      </c>
      <c r="K13" s="8" t="s">
        <v>200</v>
      </c>
      <c r="L13" s="8" t="s">
        <v>148</v>
      </c>
      <c r="M13" s="8"/>
      <c r="N13" s="8" t="s">
        <v>813</v>
      </c>
      <c r="O13" s="8"/>
      <c r="P13" s="8"/>
      <c r="Q13" s="8" t="s">
        <v>814</v>
      </c>
      <c r="R13" s="8" t="s">
        <v>108</v>
      </c>
      <c r="S13" s="8"/>
      <c r="T13" s="8"/>
      <c r="U13" s="8" t="s">
        <v>149</v>
      </c>
      <c r="V13" s="8"/>
      <c r="W13" s="8" t="s">
        <v>112</v>
      </c>
      <c r="X13" s="8" t="s">
        <v>173</v>
      </c>
      <c r="Y13" s="8" t="s">
        <v>151</v>
      </c>
      <c r="Z13" s="8" t="s">
        <v>114</v>
      </c>
      <c r="AA13" s="8" t="s">
        <v>115</v>
      </c>
      <c r="AB13" s="8"/>
      <c r="AC13" s="8"/>
      <c r="AD13" s="8" t="s">
        <v>115</v>
      </c>
      <c r="AE13" s="8" t="s">
        <v>116</v>
      </c>
      <c r="AF13" s="8"/>
      <c r="AG13" s="8"/>
      <c r="AH13" s="8" t="s">
        <v>116</v>
      </c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 t="s">
        <v>285</v>
      </c>
      <c r="AU13" s="9" t="str">
        <f>IF($AT13="","",IFERROR(INDEX([1]InstructorMap!$B:$B, MATCH($AT13, [1]InstructorMap!$A:$A, 0)),""))</f>
        <v/>
      </c>
      <c r="AV13" s="9" t="str">
        <f>IF($AT13="","",IFERROR(INDEX([1]InstructorMap!$C:$C, MATCH($AT13, [1]InstructorMap!$A:$A, 0)),""))</f>
        <v/>
      </c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 t="s">
        <v>766</v>
      </c>
      <c r="BI13" s="8" t="s">
        <v>124</v>
      </c>
      <c r="BJ13" s="8" t="s">
        <v>125</v>
      </c>
      <c r="BK13" s="8" t="s">
        <v>173</v>
      </c>
      <c r="BL13" s="8" t="s">
        <v>126</v>
      </c>
      <c r="BM13" s="8" t="s">
        <v>815</v>
      </c>
      <c r="BN13" s="8"/>
      <c r="BO13" s="8" t="s">
        <v>127</v>
      </c>
      <c r="BP13" s="8"/>
      <c r="BQ13" s="8" t="s">
        <v>816</v>
      </c>
      <c r="BR13" s="8"/>
      <c r="BS13" s="8"/>
      <c r="BT13" s="8" t="s">
        <v>128</v>
      </c>
      <c r="BU13" s="8" t="s">
        <v>129</v>
      </c>
      <c r="BV13" s="8" t="s">
        <v>129</v>
      </c>
      <c r="BW13" s="8"/>
      <c r="BX13" s="8"/>
      <c r="BY13" s="8"/>
      <c r="BZ13" s="8"/>
      <c r="CA13" s="8"/>
      <c r="CB13" s="8"/>
      <c r="CC13" s="8"/>
      <c r="CD13" s="8"/>
      <c r="CE13" s="8"/>
      <c r="CF13" s="8" t="s">
        <v>130</v>
      </c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 t="s">
        <v>132</v>
      </c>
      <c r="CT13" s="8" t="s">
        <v>133</v>
      </c>
      <c r="CU13" s="8" t="s">
        <v>134</v>
      </c>
      <c r="CV13" s="8"/>
    </row>
    <row r="14" spans="1:100" x14ac:dyDescent="0.2">
      <c r="A14" s="129" t="b">
        <v>0</v>
      </c>
      <c r="B14" s="134" t="b">
        <v>0</v>
      </c>
      <c r="C14" s="134" t="b">
        <v>0</v>
      </c>
      <c r="D14" s="134" t="b">
        <v>0</v>
      </c>
      <c r="E14" s="134" t="b">
        <v>0</v>
      </c>
      <c r="F14" s="129" t="b">
        <v>1</v>
      </c>
      <c r="G14" s="89"/>
      <c r="H14" s="4" t="s">
        <v>817</v>
      </c>
      <c r="I14" s="4" t="s">
        <v>818</v>
      </c>
      <c r="J14" s="4" t="s">
        <v>766</v>
      </c>
      <c r="K14" s="4" t="s">
        <v>819</v>
      </c>
      <c r="L14" s="4" t="s">
        <v>137</v>
      </c>
      <c r="M14" s="4"/>
      <c r="N14" s="4" t="s">
        <v>820</v>
      </c>
      <c r="O14" s="4"/>
      <c r="P14" s="4" t="s">
        <v>821</v>
      </c>
      <c r="Q14" s="4" t="s">
        <v>822</v>
      </c>
      <c r="R14" s="4" t="s">
        <v>129</v>
      </c>
      <c r="S14" s="4"/>
      <c r="T14" s="4" t="s">
        <v>139</v>
      </c>
      <c r="U14" s="4" t="s">
        <v>140</v>
      </c>
      <c r="V14" s="4"/>
      <c r="W14" s="4" t="s">
        <v>112</v>
      </c>
      <c r="X14" s="4" t="s">
        <v>112</v>
      </c>
      <c r="Y14" s="4" t="s">
        <v>113</v>
      </c>
      <c r="Z14" s="4" t="s">
        <v>142</v>
      </c>
      <c r="AA14" s="4" t="s">
        <v>115</v>
      </c>
      <c r="AB14" s="4"/>
      <c r="AC14" s="4"/>
      <c r="AD14" s="4" t="s">
        <v>115</v>
      </c>
      <c r="AE14" s="4" t="s">
        <v>116</v>
      </c>
      <c r="AF14" s="4"/>
      <c r="AG14" s="4"/>
      <c r="AH14" s="4" t="s">
        <v>116</v>
      </c>
      <c r="AI14" s="4" t="s">
        <v>117</v>
      </c>
      <c r="AJ14" s="4" t="s">
        <v>118</v>
      </c>
      <c r="AK14" s="4"/>
      <c r="AL14" s="4"/>
      <c r="AM14" s="4"/>
      <c r="AN14" s="4" t="s">
        <v>177</v>
      </c>
      <c r="AO14" s="4"/>
      <c r="AP14" s="4"/>
      <c r="AQ14" s="4"/>
      <c r="AR14" s="4" t="s">
        <v>725</v>
      </c>
      <c r="AS14" s="4" t="s">
        <v>144</v>
      </c>
      <c r="AT14" s="4" t="s">
        <v>823</v>
      </c>
      <c r="AU14" s="5" t="str">
        <f>IF($AT14="","",IFERROR(INDEX(InstructorMap!$B:$B, MATCH($AT14, InstructorMap!$A:$A, 0)),""))</f>
        <v>ranko@andrews.edu</v>
      </c>
      <c r="AV14" s="5" t="str">
        <f>IF($AT14="","",IFERROR(INDEX(InstructorMap!$C:$C, MATCH($AT14, InstructorMap!$A:$A, 0)),""))</f>
        <v>000057767</v>
      </c>
      <c r="AW14" s="4" t="s">
        <v>121</v>
      </c>
      <c r="AX14" s="4" t="s">
        <v>122</v>
      </c>
      <c r="AY14" s="4"/>
      <c r="AZ14" s="4"/>
      <c r="BA14" s="4"/>
      <c r="BB14" s="4"/>
      <c r="BC14" s="4"/>
      <c r="BD14" s="4"/>
      <c r="BE14" s="4"/>
      <c r="BF14" s="4"/>
      <c r="BG14" s="4"/>
      <c r="BH14" s="4" t="s">
        <v>766</v>
      </c>
      <c r="BI14" s="4" t="s">
        <v>124</v>
      </c>
      <c r="BJ14" s="4" t="s">
        <v>125</v>
      </c>
      <c r="BK14" s="4" t="s">
        <v>173</v>
      </c>
      <c r="BL14" s="4" t="s">
        <v>125</v>
      </c>
      <c r="BM14" s="4"/>
      <c r="BN14" s="4"/>
      <c r="BO14" s="4" t="s">
        <v>127</v>
      </c>
      <c r="BP14" s="4"/>
      <c r="BQ14" s="4" t="s">
        <v>824</v>
      </c>
      <c r="BR14" s="4"/>
      <c r="BS14" s="4"/>
      <c r="BT14" s="4" t="s">
        <v>128</v>
      </c>
      <c r="BU14" s="4" t="s">
        <v>129</v>
      </c>
      <c r="BV14" s="4" t="s">
        <v>145</v>
      </c>
      <c r="BW14" s="4" t="s">
        <v>130</v>
      </c>
      <c r="BX14" s="4" t="s">
        <v>131</v>
      </c>
      <c r="BY14" s="4"/>
      <c r="BZ14" s="4"/>
      <c r="CA14" s="4"/>
      <c r="CB14" s="4"/>
      <c r="CC14" s="4"/>
      <c r="CD14" s="4"/>
      <c r="CE14" s="4"/>
      <c r="CF14" s="4" t="s">
        <v>130</v>
      </c>
      <c r="CG14" s="4"/>
      <c r="CH14" s="4" t="s">
        <v>131</v>
      </c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 t="s">
        <v>146</v>
      </c>
      <c r="CT14" s="4" t="s">
        <v>133</v>
      </c>
      <c r="CU14" s="4" t="s">
        <v>134</v>
      </c>
      <c r="CV14" s="4"/>
    </row>
    <row r="15" spans="1:100" x14ac:dyDescent="0.2">
      <c r="A15" s="66" t="b">
        <v>0</v>
      </c>
      <c r="B15" s="67" t="b">
        <v>0</v>
      </c>
      <c r="C15" s="67" t="b">
        <v>0</v>
      </c>
      <c r="D15" s="67" t="b">
        <v>0</v>
      </c>
      <c r="E15" s="67" t="b">
        <v>1</v>
      </c>
      <c r="F15" s="66" t="b">
        <v>0</v>
      </c>
      <c r="G15" s="121" t="s">
        <v>825</v>
      </c>
      <c r="H15" s="4" t="s">
        <v>826</v>
      </c>
      <c r="I15" s="4" t="s">
        <v>827</v>
      </c>
      <c r="J15" s="4" t="s">
        <v>766</v>
      </c>
      <c r="K15" s="4" t="s">
        <v>819</v>
      </c>
      <c r="L15" s="4" t="s">
        <v>105</v>
      </c>
      <c r="M15" s="4"/>
      <c r="N15" s="4" t="s">
        <v>820</v>
      </c>
      <c r="O15" s="4"/>
      <c r="P15" s="4" t="s">
        <v>821</v>
      </c>
      <c r="Q15" s="4" t="s">
        <v>822</v>
      </c>
      <c r="R15" s="4" t="s">
        <v>108</v>
      </c>
      <c r="S15" s="59" t="s">
        <v>108</v>
      </c>
      <c r="T15" s="4" t="s">
        <v>109</v>
      </c>
      <c r="U15" s="4" t="s">
        <v>110</v>
      </c>
      <c r="V15" s="4"/>
      <c r="W15" s="4" t="s">
        <v>112</v>
      </c>
      <c r="X15" s="4" t="s">
        <v>173</v>
      </c>
      <c r="Y15" s="4" t="s">
        <v>203</v>
      </c>
      <c r="Z15" s="4" t="s">
        <v>114</v>
      </c>
      <c r="AA15" s="4" t="s">
        <v>115</v>
      </c>
      <c r="AB15" s="4"/>
      <c r="AC15" s="4"/>
      <c r="AD15" s="4" t="s">
        <v>115</v>
      </c>
      <c r="AE15" s="4" t="s">
        <v>116</v>
      </c>
      <c r="AF15" s="4"/>
      <c r="AG15" s="4"/>
      <c r="AH15" s="4" t="s">
        <v>116</v>
      </c>
      <c r="AI15" s="59" t="s">
        <v>277</v>
      </c>
      <c r="AJ15" s="59" t="s">
        <v>194</v>
      </c>
      <c r="AK15" s="4"/>
      <c r="AL15" s="4"/>
      <c r="AM15" s="4"/>
      <c r="AN15" s="4" t="s">
        <v>177</v>
      </c>
      <c r="AO15" s="4"/>
      <c r="AP15" s="4"/>
      <c r="AQ15" s="4"/>
      <c r="AR15" s="4"/>
      <c r="AS15" s="4"/>
      <c r="AT15" s="4" t="s">
        <v>823</v>
      </c>
      <c r="AU15" s="5" t="str">
        <f>IF($AT15="","",IFERROR(INDEX([1]InstructorMap!$B:$B, MATCH($AT15, [1]InstructorMap!$A:$A, 0)),""))</f>
        <v>ranko@andrews.edu</v>
      </c>
      <c r="AV15" s="5" t="str">
        <f>IF($AT15="","",IFERROR(INDEX([1]InstructorMap!$C:$C, MATCH($AT15, [1]InstructorMap!$A:$A, 0)),""))</f>
        <v>000057767</v>
      </c>
      <c r="AW15" s="4" t="s">
        <v>121</v>
      </c>
      <c r="AX15" s="4" t="s">
        <v>348</v>
      </c>
      <c r="AY15" s="4"/>
      <c r="AZ15" s="4"/>
      <c r="BA15" s="4"/>
      <c r="BB15" s="4"/>
      <c r="BC15" s="4"/>
      <c r="BD15" s="4"/>
      <c r="BE15" s="4"/>
      <c r="BF15" s="4"/>
      <c r="BG15" s="4"/>
      <c r="BH15" s="4" t="s">
        <v>766</v>
      </c>
      <c r="BI15" s="4" t="s">
        <v>124</v>
      </c>
      <c r="BJ15" s="4" t="s">
        <v>125</v>
      </c>
      <c r="BK15" s="4" t="s">
        <v>173</v>
      </c>
      <c r="BL15" s="4" t="s">
        <v>126</v>
      </c>
      <c r="BM15" s="4"/>
      <c r="BN15" s="4"/>
      <c r="BO15" s="4" t="s">
        <v>127</v>
      </c>
      <c r="BP15" s="4"/>
      <c r="BQ15" s="4" t="s">
        <v>824</v>
      </c>
      <c r="BR15" s="4"/>
      <c r="BS15" s="4"/>
      <c r="BT15" s="4" t="s">
        <v>128</v>
      </c>
      <c r="BU15" s="4" t="s">
        <v>129</v>
      </c>
      <c r="BV15" s="4" t="s">
        <v>145</v>
      </c>
      <c r="BW15" s="4" t="s">
        <v>130</v>
      </c>
      <c r="BX15" s="4" t="s">
        <v>131</v>
      </c>
      <c r="BY15" s="4"/>
      <c r="BZ15" s="4"/>
      <c r="CA15" s="4"/>
      <c r="CB15" s="4"/>
      <c r="CC15" s="4"/>
      <c r="CD15" s="4"/>
      <c r="CE15" s="4"/>
      <c r="CF15" s="4" t="s">
        <v>130</v>
      </c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 t="s">
        <v>132</v>
      </c>
      <c r="CT15" s="4" t="s">
        <v>133</v>
      </c>
      <c r="CU15" s="4" t="s">
        <v>134</v>
      </c>
      <c r="CV15" s="4"/>
    </row>
    <row r="16" spans="1:100" x14ac:dyDescent="0.2">
      <c r="A16" s="35" t="b">
        <v>0</v>
      </c>
      <c r="B16" s="52" t="b">
        <v>0</v>
      </c>
      <c r="C16" s="35" t="b">
        <v>0</v>
      </c>
      <c r="D16" s="52" t="b">
        <v>0</v>
      </c>
      <c r="E16" s="52" t="b">
        <v>0</v>
      </c>
      <c r="F16" s="26" t="b">
        <v>1</v>
      </c>
      <c r="G16" s="89"/>
      <c r="H16" s="4" t="s">
        <v>828</v>
      </c>
      <c r="I16" s="4" t="s">
        <v>829</v>
      </c>
      <c r="J16" s="4" t="s">
        <v>766</v>
      </c>
      <c r="K16" s="4" t="s">
        <v>830</v>
      </c>
      <c r="L16" s="4" t="s">
        <v>137</v>
      </c>
      <c r="M16" s="4"/>
      <c r="N16" s="4" t="s">
        <v>831</v>
      </c>
      <c r="O16" s="4"/>
      <c r="P16" s="4" t="s">
        <v>832</v>
      </c>
      <c r="Q16" s="4" t="s">
        <v>833</v>
      </c>
      <c r="R16" s="4" t="s">
        <v>129</v>
      </c>
      <c r="S16" s="4"/>
      <c r="T16" s="4" t="s">
        <v>139</v>
      </c>
      <c r="U16" s="4" t="s">
        <v>140</v>
      </c>
      <c r="V16" s="4"/>
      <c r="W16" s="4" t="s">
        <v>112</v>
      </c>
      <c r="X16" s="4" t="s">
        <v>112</v>
      </c>
      <c r="Y16" s="4" t="s">
        <v>591</v>
      </c>
      <c r="Z16" s="4" t="s">
        <v>142</v>
      </c>
      <c r="AA16" s="4" t="s">
        <v>115</v>
      </c>
      <c r="AB16" s="4"/>
      <c r="AC16" s="4"/>
      <c r="AD16" s="4" t="s">
        <v>115</v>
      </c>
      <c r="AE16" s="4" t="s">
        <v>116</v>
      </c>
      <c r="AF16" s="4"/>
      <c r="AG16" s="4"/>
      <c r="AH16" s="4" t="s">
        <v>116</v>
      </c>
      <c r="AI16" s="4" t="s">
        <v>117</v>
      </c>
      <c r="AJ16" s="4" t="s">
        <v>118</v>
      </c>
      <c r="AK16" s="4"/>
      <c r="AL16" s="4"/>
      <c r="AM16" s="4" t="s">
        <v>211</v>
      </c>
      <c r="AN16" s="4"/>
      <c r="AO16" s="4"/>
      <c r="AP16" s="4"/>
      <c r="AQ16" s="4"/>
      <c r="AR16" s="4" t="s">
        <v>143</v>
      </c>
      <c r="AS16" s="4" t="s">
        <v>144</v>
      </c>
      <c r="AT16" s="4" t="s">
        <v>823</v>
      </c>
      <c r="AU16" s="5" t="str">
        <f>IF($AT16="","",IFERROR(INDEX(InstructorMap!$B:$B, MATCH($AT16, InstructorMap!$A:$A, 0)),""))</f>
        <v>ranko@andrews.edu</v>
      </c>
      <c r="AV16" s="5" t="str">
        <f>IF($AT16="","",IFERROR(INDEX(InstructorMap!$C:$C, MATCH($AT16, InstructorMap!$A:$A, 0)),""))</f>
        <v>000057767</v>
      </c>
      <c r="AW16" s="4" t="s">
        <v>121</v>
      </c>
      <c r="AX16" s="4" t="s">
        <v>122</v>
      </c>
      <c r="AY16" s="4"/>
      <c r="AZ16" s="4"/>
      <c r="BA16" s="4"/>
      <c r="BB16" s="4"/>
      <c r="BC16" s="4"/>
      <c r="BD16" s="4"/>
      <c r="BE16" s="4"/>
      <c r="BF16" s="4"/>
      <c r="BG16" s="4"/>
      <c r="BH16" s="4" t="s">
        <v>766</v>
      </c>
      <c r="BI16" s="4" t="s">
        <v>124</v>
      </c>
      <c r="BJ16" s="4" t="s">
        <v>125</v>
      </c>
      <c r="BK16" s="4" t="s">
        <v>173</v>
      </c>
      <c r="BL16" s="4" t="s">
        <v>125</v>
      </c>
      <c r="BM16" s="4"/>
      <c r="BN16" s="4"/>
      <c r="BO16" s="4" t="s">
        <v>127</v>
      </c>
      <c r="BP16" s="4"/>
      <c r="BQ16" s="4" t="s">
        <v>816</v>
      </c>
      <c r="BR16" s="4"/>
      <c r="BS16" s="4"/>
      <c r="BT16" s="4" t="s">
        <v>128</v>
      </c>
      <c r="BU16" s="4" t="s">
        <v>129</v>
      </c>
      <c r="BV16" s="4" t="s">
        <v>145</v>
      </c>
      <c r="BW16" s="4" t="s">
        <v>130</v>
      </c>
      <c r="BX16" s="4" t="s">
        <v>131</v>
      </c>
      <c r="BY16" s="4"/>
      <c r="BZ16" s="4"/>
      <c r="CA16" s="4"/>
      <c r="CB16" s="4"/>
      <c r="CC16" s="4"/>
      <c r="CD16" s="4"/>
      <c r="CE16" s="4"/>
      <c r="CF16" s="4" t="s">
        <v>130</v>
      </c>
      <c r="CG16" s="4"/>
      <c r="CH16" s="4" t="s">
        <v>131</v>
      </c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 t="s">
        <v>146</v>
      </c>
      <c r="CT16" s="4" t="s">
        <v>133</v>
      </c>
      <c r="CU16" s="4" t="s">
        <v>134</v>
      </c>
      <c r="CV16" s="4"/>
    </row>
    <row r="17" spans="1:100" x14ac:dyDescent="0.2">
      <c r="A17" s="38" t="b">
        <v>0</v>
      </c>
      <c r="B17" s="39" t="b">
        <v>0</v>
      </c>
      <c r="C17" s="39" t="b">
        <v>0</v>
      </c>
      <c r="D17" s="39" t="b">
        <v>0</v>
      </c>
      <c r="E17" s="39" t="b">
        <v>0</v>
      </c>
      <c r="F17" s="38" t="b">
        <v>1</v>
      </c>
      <c r="G17" s="36"/>
      <c r="H17" s="6" t="s">
        <v>834</v>
      </c>
      <c r="I17" s="6" t="s">
        <v>835</v>
      </c>
      <c r="J17" s="6" t="s">
        <v>766</v>
      </c>
      <c r="K17" s="6" t="s">
        <v>243</v>
      </c>
      <c r="L17" s="6" t="s">
        <v>297</v>
      </c>
      <c r="M17" s="6"/>
      <c r="N17" s="6" t="s">
        <v>245</v>
      </c>
      <c r="O17" s="6"/>
      <c r="P17" s="6"/>
      <c r="Q17" s="6"/>
      <c r="R17" s="6" t="s">
        <v>129</v>
      </c>
      <c r="S17" s="6"/>
      <c r="T17" s="6"/>
      <c r="U17" s="6"/>
      <c r="V17" s="6"/>
      <c r="W17" s="6" t="s">
        <v>495</v>
      </c>
      <c r="X17" s="6"/>
      <c r="Y17" s="6" t="s">
        <v>148</v>
      </c>
      <c r="Z17" s="6" t="s">
        <v>142</v>
      </c>
      <c r="AA17" s="6" t="s">
        <v>115</v>
      </c>
      <c r="AB17" s="6"/>
      <c r="AC17" s="6"/>
      <c r="AD17" s="6" t="s">
        <v>115</v>
      </c>
      <c r="AE17" s="6" t="s">
        <v>116</v>
      </c>
      <c r="AF17" s="6"/>
      <c r="AG17" s="6"/>
      <c r="AH17" s="6" t="s">
        <v>116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 t="s">
        <v>836</v>
      </c>
      <c r="AU17" s="7" t="str">
        <f>IF($AT17="","",IFERROR(INDEX(InstructorMap!$B:$B, MATCH($AT17, InstructorMap!$A:$A, 0)),""))</f>
        <v>choir@andrews.edu</v>
      </c>
      <c r="AV17" s="7" t="str">
        <f>IF($AT17="","",IFERROR(INDEX(InstructorMap!$C:$C, MATCH($AT17, InstructorMap!$A:$A, 0)),""))</f>
        <v>000036676</v>
      </c>
      <c r="AW17" s="6" t="s">
        <v>121</v>
      </c>
      <c r="AX17" s="6" t="s">
        <v>122</v>
      </c>
      <c r="AY17" s="6"/>
      <c r="AZ17" s="6"/>
      <c r="BA17" s="6"/>
      <c r="BB17" s="6"/>
      <c r="BC17" s="6"/>
      <c r="BD17" s="6"/>
      <c r="BE17" s="6"/>
      <c r="BF17" s="6"/>
      <c r="BG17" s="6"/>
      <c r="BH17" s="6" t="s">
        <v>766</v>
      </c>
      <c r="BI17" s="6" t="s">
        <v>124</v>
      </c>
      <c r="BJ17" s="6" t="s">
        <v>125</v>
      </c>
      <c r="BK17" s="6"/>
      <c r="BL17" s="6" t="s">
        <v>249</v>
      </c>
      <c r="BM17" s="6"/>
      <c r="BN17" s="6"/>
      <c r="BO17" s="6" t="s">
        <v>127</v>
      </c>
      <c r="BP17" s="6"/>
      <c r="BQ17" s="6"/>
      <c r="BR17" s="6"/>
      <c r="BS17" s="6"/>
      <c r="BT17" s="6" t="s">
        <v>128</v>
      </c>
      <c r="BU17" s="6" t="s">
        <v>129</v>
      </c>
      <c r="BV17" s="6" t="s">
        <v>129</v>
      </c>
      <c r="BW17" s="6" t="s">
        <v>130</v>
      </c>
      <c r="BX17" s="6"/>
      <c r="BY17" s="6"/>
      <c r="BZ17" s="6"/>
      <c r="CA17" s="6"/>
      <c r="CB17" s="6"/>
      <c r="CC17" s="6"/>
      <c r="CD17" s="6"/>
      <c r="CE17" s="6"/>
      <c r="CF17" s="6" t="s">
        <v>130</v>
      </c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 t="s">
        <v>211</v>
      </c>
      <c r="CS17" s="6" t="s">
        <v>132</v>
      </c>
      <c r="CT17" s="6" t="s">
        <v>133</v>
      </c>
      <c r="CU17" s="6" t="s">
        <v>134</v>
      </c>
      <c r="CV17" s="6"/>
    </row>
    <row r="18" spans="1:100" x14ac:dyDescent="0.2">
      <c r="A18" s="38" t="b">
        <v>0</v>
      </c>
      <c r="B18" s="39" t="b">
        <v>0</v>
      </c>
      <c r="C18" s="39" t="b">
        <v>0</v>
      </c>
      <c r="D18" s="39" t="b">
        <v>0</v>
      </c>
      <c r="E18" s="39" t="b">
        <v>0</v>
      </c>
      <c r="F18" s="38" t="b">
        <v>1</v>
      </c>
      <c r="G18" s="36"/>
      <c r="H18" s="6" t="s">
        <v>837</v>
      </c>
      <c r="I18" s="6" t="s">
        <v>838</v>
      </c>
      <c r="J18" s="6" t="s">
        <v>766</v>
      </c>
      <c r="K18" s="6" t="s">
        <v>243</v>
      </c>
      <c r="L18" s="6" t="s">
        <v>255</v>
      </c>
      <c r="M18" s="6"/>
      <c r="N18" s="6" t="s">
        <v>245</v>
      </c>
      <c r="O18" s="6"/>
      <c r="P18" s="6"/>
      <c r="Q18" s="6"/>
      <c r="R18" s="6" t="s">
        <v>129</v>
      </c>
      <c r="S18" s="6"/>
      <c r="T18" s="6"/>
      <c r="U18" s="6"/>
      <c r="V18" s="6"/>
      <c r="W18" s="6" t="s">
        <v>495</v>
      </c>
      <c r="X18" s="6"/>
      <c r="Y18" s="6" t="s">
        <v>148</v>
      </c>
      <c r="Z18" s="6" t="s">
        <v>142</v>
      </c>
      <c r="AA18" s="6" t="s">
        <v>115</v>
      </c>
      <c r="AB18" s="6"/>
      <c r="AC18" s="6"/>
      <c r="AD18" s="6" t="s">
        <v>115</v>
      </c>
      <c r="AE18" s="6" t="s">
        <v>116</v>
      </c>
      <c r="AF18" s="6"/>
      <c r="AG18" s="6"/>
      <c r="AH18" s="6" t="s">
        <v>116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 t="s">
        <v>839</v>
      </c>
      <c r="AU18" s="7" t="str">
        <f>IF($AT18="","",IFERROR(INDEX(InstructorMap!$B:$B, MATCH($AT18, InstructorMap!$A:$A, 0)),""))</f>
        <v>fcortez@andrews.edu</v>
      </c>
      <c r="AV18" s="7" t="str">
        <f>IF($AT18="","",IFERROR(INDEX(InstructorMap!$C:$C, MATCH($AT18, InstructorMap!$A:$A, 0)),""))</f>
        <v>000110700</v>
      </c>
      <c r="AW18" s="6" t="s">
        <v>121</v>
      </c>
      <c r="AX18" s="6" t="s">
        <v>122</v>
      </c>
      <c r="AY18" s="6"/>
      <c r="AZ18" s="6"/>
      <c r="BA18" s="6"/>
      <c r="BB18" s="6"/>
      <c r="BC18" s="6"/>
      <c r="BD18" s="6"/>
      <c r="BE18" s="6"/>
      <c r="BF18" s="6"/>
      <c r="BG18" s="6"/>
      <c r="BH18" s="6" t="s">
        <v>766</v>
      </c>
      <c r="BI18" s="6" t="s">
        <v>124</v>
      </c>
      <c r="BJ18" s="6" t="s">
        <v>125</v>
      </c>
      <c r="BK18" s="6"/>
      <c r="BL18" s="6" t="s">
        <v>249</v>
      </c>
      <c r="BM18" s="6"/>
      <c r="BN18" s="6"/>
      <c r="BO18" s="6" t="s">
        <v>127</v>
      </c>
      <c r="BP18" s="6"/>
      <c r="BQ18" s="6"/>
      <c r="BR18" s="6"/>
      <c r="BS18" s="6"/>
      <c r="BT18" s="6" t="s">
        <v>128</v>
      </c>
      <c r="BU18" s="6" t="s">
        <v>129</v>
      </c>
      <c r="BV18" s="6" t="s">
        <v>129</v>
      </c>
      <c r="BW18" s="6" t="s">
        <v>130</v>
      </c>
      <c r="BX18" s="6"/>
      <c r="BY18" s="6"/>
      <c r="BZ18" s="6"/>
      <c r="CA18" s="6"/>
      <c r="CB18" s="6"/>
      <c r="CC18" s="6"/>
      <c r="CD18" s="6"/>
      <c r="CE18" s="6"/>
      <c r="CF18" s="6" t="s">
        <v>130</v>
      </c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 t="s">
        <v>211</v>
      </c>
      <c r="CS18" s="6" t="s">
        <v>132</v>
      </c>
      <c r="CT18" s="6" t="s">
        <v>133</v>
      </c>
      <c r="CU18" s="6" t="s">
        <v>134</v>
      </c>
      <c r="CV18" s="6"/>
    </row>
    <row r="19" spans="1:100" x14ac:dyDescent="0.2">
      <c r="A19" s="130" t="b">
        <v>0</v>
      </c>
      <c r="B19" s="130" t="b">
        <v>0</v>
      </c>
      <c r="C19" s="130" t="b">
        <v>0</v>
      </c>
      <c r="D19" s="130" t="b">
        <v>0</v>
      </c>
      <c r="E19" s="130" t="b">
        <v>0</v>
      </c>
      <c r="F19" s="130" t="b">
        <v>1</v>
      </c>
      <c r="G19" s="138"/>
      <c r="H19" s="6" t="s">
        <v>840</v>
      </c>
      <c r="I19" s="6" t="s">
        <v>841</v>
      </c>
      <c r="J19" s="6" t="s">
        <v>766</v>
      </c>
      <c r="K19" s="6" t="s">
        <v>243</v>
      </c>
      <c r="L19" s="6" t="s">
        <v>252</v>
      </c>
      <c r="M19" s="6"/>
      <c r="N19" s="6" t="s">
        <v>245</v>
      </c>
      <c r="O19" s="6"/>
      <c r="P19" s="6"/>
      <c r="Q19" s="6"/>
      <c r="R19" s="6" t="s">
        <v>129</v>
      </c>
      <c r="S19" s="6"/>
      <c r="T19" s="6"/>
      <c r="U19" s="6"/>
      <c r="V19" s="6"/>
      <c r="W19" s="6" t="s">
        <v>495</v>
      </c>
      <c r="X19" s="6"/>
      <c r="Y19" s="6" t="s">
        <v>148</v>
      </c>
      <c r="Z19" s="6" t="s">
        <v>142</v>
      </c>
      <c r="AA19" s="6" t="s">
        <v>115</v>
      </c>
      <c r="AB19" s="6"/>
      <c r="AC19" s="6"/>
      <c r="AD19" s="6" t="s">
        <v>115</v>
      </c>
      <c r="AE19" s="6" t="s">
        <v>116</v>
      </c>
      <c r="AF19" s="6"/>
      <c r="AG19" s="6"/>
      <c r="AH19" s="6" t="s">
        <v>116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 t="s">
        <v>839</v>
      </c>
      <c r="AU19" s="7" t="str">
        <f>IF($AT19="","",IFERROR(INDEX(InstructorMap!$B:$B, MATCH($AT19, InstructorMap!$A:$A, 0)),""))</f>
        <v>fcortez@andrews.edu</v>
      </c>
      <c r="AV19" s="7" t="str">
        <f>IF($AT19="","",IFERROR(INDEX(InstructorMap!$C:$C, MATCH($AT19, InstructorMap!$A:$A, 0)),""))</f>
        <v>000110700</v>
      </c>
      <c r="AW19" s="6" t="s">
        <v>121</v>
      </c>
      <c r="AX19" s="6" t="s">
        <v>122</v>
      </c>
      <c r="AY19" s="6"/>
      <c r="AZ19" s="6"/>
      <c r="BA19" s="6"/>
      <c r="BB19" s="6"/>
      <c r="BC19" s="6"/>
      <c r="BD19" s="6"/>
      <c r="BE19" s="6"/>
      <c r="BF19" s="6"/>
      <c r="BG19" s="6"/>
      <c r="BH19" s="6" t="s">
        <v>766</v>
      </c>
      <c r="BI19" s="6" t="s">
        <v>124</v>
      </c>
      <c r="BJ19" s="6" t="s">
        <v>125</v>
      </c>
      <c r="BK19" s="6"/>
      <c r="BL19" s="6" t="s">
        <v>249</v>
      </c>
      <c r="BM19" s="6"/>
      <c r="BN19" s="6"/>
      <c r="BO19" s="6" t="s">
        <v>127</v>
      </c>
      <c r="BP19" s="6"/>
      <c r="BQ19" s="6"/>
      <c r="BR19" s="6"/>
      <c r="BS19" s="6"/>
      <c r="BT19" s="6" t="s">
        <v>128</v>
      </c>
      <c r="BU19" s="6" t="s">
        <v>129</v>
      </c>
      <c r="BV19" s="6" t="s">
        <v>129</v>
      </c>
      <c r="BW19" s="6" t="s">
        <v>130</v>
      </c>
      <c r="BX19" s="6"/>
      <c r="BY19" s="6"/>
      <c r="BZ19" s="6"/>
      <c r="CA19" s="6"/>
      <c r="CB19" s="6"/>
      <c r="CC19" s="6"/>
      <c r="CD19" s="6"/>
      <c r="CE19" s="6"/>
      <c r="CF19" s="6" t="s">
        <v>130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 t="s">
        <v>211</v>
      </c>
      <c r="CS19" s="6" t="s">
        <v>132</v>
      </c>
      <c r="CT19" s="6" t="s">
        <v>133</v>
      </c>
      <c r="CU19" s="6" t="s">
        <v>134</v>
      </c>
      <c r="CV19" s="6"/>
    </row>
    <row r="20" spans="1:100" x14ac:dyDescent="0.2">
      <c r="A20" s="130" t="b">
        <v>0</v>
      </c>
      <c r="B20" s="130" t="b">
        <v>0</v>
      </c>
      <c r="C20" s="130" t="b">
        <v>0</v>
      </c>
      <c r="D20" s="130" t="b">
        <v>0</v>
      </c>
      <c r="E20" s="130" t="b">
        <v>0</v>
      </c>
      <c r="F20" s="130" t="b">
        <v>1</v>
      </c>
      <c r="G20" s="36"/>
      <c r="H20" s="6" t="s">
        <v>842</v>
      </c>
      <c r="I20" s="6" t="s">
        <v>843</v>
      </c>
      <c r="J20" s="6" t="s">
        <v>766</v>
      </c>
      <c r="K20" s="6" t="s">
        <v>243</v>
      </c>
      <c r="L20" s="6" t="s">
        <v>244</v>
      </c>
      <c r="M20" s="6"/>
      <c r="N20" s="6" t="s">
        <v>245</v>
      </c>
      <c r="O20" s="6"/>
      <c r="P20" s="6"/>
      <c r="Q20" s="6"/>
      <c r="R20" s="6" t="s">
        <v>129</v>
      </c>
      <c r="S20" s="6"/>
      <c r="T20" s="6"/>
      <c r="U20" s="6"/>
      <c r="V20" s="6"/>
      <c r="W20" s="6" t="s">
        <v>495</v>
      </c>
      <c r="X20" s="6"/>
      <c r="Y20" s="6" t="s">
        <v>148</v>
      </c>
      <c r="Z20" s="6" t="s">
        <v>142</v>
      </c>
      <c r="AA20" s="6" t="s">
        <v>115</v>
      </c>
      <c r="AB20" s="6"/>
      <c r="AC20" s="6"/>
      <c r="AD20" s="6" t="s">
        <v>115</v>
      </c>
      <c r="AE20" s="6" t="s">
        <v>116</v>
      </c>
      <c r="AF20" s="6"/>
      <c r="AG20" s="6"/>
      <c r="AH20" s="6" t="s">
        <v>116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 t="s">
        <v>844</v>
      </c>
      <c r="AU20" s="7" t="str">
        <f>IF($AT20="","",IFERROR(INDEX(InstructorMap!$B:$B, MATCH($AT20, InstructorMap!$A:$A, 0)),""))</f>
        <v>trs@andrews.edu</v>
      </c>
      <c r="AV20" s="7" t="str">
        <f>IF($AT20="","",IFERROR(INDEX(InstructorMap!$C:$C, MATCH($AT20, InstructorMap!$A:$A, 0)),""))</f>
        <v>000033676</v>
      </c>
      <c r="AW20" s="6" t="s">
        <v>121</v>
      </c>
      <c r="AX20" s="6" t="s">
        <v>160</v>
      </c>
      <c r="AY20" s="6"/>
      <c r="AZ20" s="6"/>
      <c r="BA20" s="6"/>
      <c r="BB20" s="6"/>
      <c r="BC20" s="6"/>
      <c r="BD20" s="6"/>
      <c r="BE20" s="6"/>
      <c r="BF20" s="6"/>
      <c r="BG20" s="6"/>
      <c r="BH20" s="6" t="s">
        <v>766</v>
      </c>
      <c r="BI20" s="6" t="s">
        <v>124</v>
      </c>
      <c r="BJ20" s="6" t="s">
        <v>125</v>
      </c>
      <c r="BK20" s="6"/>
      <c r="BL20" s="6" t="s">
        <v>249</v>
      </c>
      <c r="BM20" s="6"/>
      <c r="BN20" s="6"/>
      <c r="BO20" s="6" t="s">
        <v>127</v>
      </c>
      <c r="BP20" s="6"/>
      <c r="BQ20" s="6"/>
      <c r="BR20" s="6"/>
      <c r="BS20" s="6"/>
      <c r="BT20" s="6" t="s">
        <v>128</v>
      </c>
      <c r="BU20" s="6" t="s">
        <v>129</v>
      </c>
      <c r="BV20" s="6" t="s">
        <v>129</v>
      </c>
      <c r="BW20" s="6" t="s">
        <v>130</v>
      </c>
      <c r="BX20" s="6"/>
      <c r="BY20" s="6"/>
      <c r="BZ20" s="6"/>
      <c r="CA20" s="6"/>
      <c r="CB20" s="6"/>
      <c r="CC20" s="6"/>
      <c r="CD20" s="6"/>
      <c r="CE20" s="6"/>
      <c r="CF20" s="6" t="s">
        <v>130</v>
      </c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 t="s">
        <v>211</v>
      </c>
      <c r="CS20" s="6" t="s">
        <v>132</v>
      </c>
      <c r="CT20" s="6" t="s">
        <v>133</v>
      </c>
      <c r="CU20" s="6" t="s">
        <v>134</v>
      </c>
      <c r="CV20" s="6"/>
    </row>
    <row r="21" spans="1:100" x14ac:dyDescent="0.2">
      <c r="A21" s="130" t="b">
        <v>0</v>
      </c>
      <c r="B21" s="130" t="b">
        <v>0</v>
      </c>
      <c r="C21" s="130" t="b">
        <v>0</v>
      </c>
      <c r="D21" s="130" t="b">
        <v>0</v>
      </c>
      <c r="E21" s="130" t="b">
        <v>0</v>
      </c>
      <c r="F21" s="130" t="b">
        <v>1</v>
      </c>
      <c r="G21" s="36"/>
      <c r="H21" s="6" t="s">
        <v>845</v>
      </c>
      <c r="I21" s="6" t="s">
        <v>846</v>
      </c>
      <c r="J21" s="6" t="s">
        <v>766</v>
      </c>
      <c r="K21" s="6" t="s">
        <v>243</v>
      </c>
      <c r="L21" s="6" t="s">
        <v>258</v>
      </c>
      <c r="M21" s="6"/>
      <c r="N21" s="6" t="s">
        <v>245</v>
      </c>
      <c r="O21" s="6" t="s">
        <v>847</v>
      </c>
      <c r="P21" s="6"/>
      <c r="Q21" s="6"/>
      <c r="R21" s="6" t="s">
        <v>129</v>
      </c>
      <c r="S21" s="6"/>
      <c r="T21" s="6"/>
      <c r="U21" s="6"/>
      <c r="V21" s="6"/>
      <c r="W21" s="6" t="s">
        <v>495</v>
      </c>
      <c r="X21" s="6"/>
      <c r="Y21" s="6" t="s">
        <v>148</v>
      </c>
      <c r="Z21" s="6" t="s">
        <v>142</v>
      </c>
      <c r="AA21" s="6" t="s">
        <v>115</v>
      </c>
      <c r="AB21" s="6"/>
      <c r="AC21" s="6"/>
      <c r="AD21" s="6" t="s">
        <v>115</v>
      </c>
      <c r="AE21" s="6" t="s">
        <v>116</v>
      </c>
      <c r="AF21" s="6"/>
      <c r="AG21" s="6"/>
      <c r="AH21" s="6" t="s">
        <v>116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 t="s">
        <v>823</v>
      </c>
      <c r="AU21" s="7" t="str">
        <f>IF($AT21="","",IFERROR(INDEX(InstructorMap!$B:$B, MATCH($AT21, InstructorMap!$A:$A, 0)),""))</f>
        <v>ranko@andrews.edu</v>
      </c>
      <c r="AV21" s="7" t="str">
        <f>IF($AT21="","",IFERROR(INDEX(InstructorMap!$C:$C, MATCH($AT21, InstructorMap!$A:$A, 0)),""))</f>
        <v>000057767</v>
      </c>
      <c r="AW21" s="6" t="s">
        <v>121</v>
      </c>
      <c r="AX21" s="6" t="s">
        <v>122</v>
      </c>
      <c r="AY21" s="6"/>
      <c r="AZ21" s="6"/>
      <c r="BA21" s="6"/>
      <c r="BB21" s="6"/>
      <c r="BC21" s="6"/>
      <c r="BD21" s="6"/>
      <c r="BE21" s="6"/>
      <c r="BF21" s="6"/>
      <c r="BG21" s="6"/>
      <c r="BH21" s="6" t="s">
        <v>766</v>
      </c>
      <c r="BI21" s="6" t="s">
        <v>124</v>
      </c>
      <c r="BJ21" s="6" t="s">
        <v>125</v>
      </c>
      <c r="BK21" s="6"/>
      <c r="BL21" s="6" t="s">
        <v>249</v>
      </c>
      <c r="BM21" s="6"/>
      <c r="BN21" s="6"/>
      <c r="BO21" s="6" t="s">
        <v>127</v>
      </c>
      <c r="BP21" s="6"/>
      <c r="BQ21" s="6"/>
      <c r="BR21" s="6"/>
      <c r="BS21" s="6"/>
      <c r="BT21" s="6" t="s">
        <v>128</v>
      </c>
      <c r="BU21" s="6" t="s">
        <v>129</v>
      </c>
      <c r="BV21" s="6" t="s">
        <v>129</v>
      </c>
      <c r="BW21" s="6" t="s">
        <v>130</v>
      </c>
      <c r="BX21" s="6"/>
      <c r="BY21" s="6"/>
      <c r="BZ21" s="6"/>
      <c r="CA21" s="6"/>
      <c r="CB21" s="6"/>
      <c r="CC21" s="6"/>
      <c r="CD21" s="6"/>
      <c r="CE21" s="6"/>
      <c r="CF21" s="6" t="s">
        <v>130</v>
      </c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 t="s">
        <v>211</v>
      </c>
      <c r="CS21" s="6" t="s">
        <v>132</v>
      </c>
      <c r="CT21" s="6" t="s">
        <v>133</v>
      </c>
      <c r="CU21" s="6" t="s">
        <v>134</v>
      </c>
      <c r="CV21" s="6"/>
    </row>
    <row r="22" spans="1:100" x14ac:dyDescent="0.2">
      <c r="A22" s="130" t="b">
        <v>0</v>
      </c>
      <c r="B22" s="130" t="b">
        <v>0</v>
      </c>
      <c r="C22" s="130" t="b">
        <v>0</v>
      </c>
      <c r="D22" s="130" t="b">
        <v>0</v>
      </c>
      <c r="E22" s="130" t="b">
        <v>0</v>
      </c>
      <c r="F22" s="130" t="b">
        <v>1</v>
      </c>
      <c r="G22" s="137"/>
      <c r="H22" s="6" t="s">
        <v>848</v>
      </c>
      <c r="I22" s="6" t="s">
        <v>849</v>
      </c>
      <c r="J22" s="6" t="s">
        <v>766</v>
      </c>
      <c r="K22" s="6" t="s">
        <v>243</v>
      </c>
      <c r="L22" s="6" t="s">
        <v>302</v>
      </c>
      <c r="M22" s="6"/>
      <c r="N22" s="6" t="s">
        <v>245</v>
      </c>
      <c r="O22" s="6"/>
      <c r="P22" s="6"/>
      <c r="Q22" s="6"/>
      <c r="R22" s="6" t="s">
        <v>129</v>
      </c>
      <c r="S22" s="6"/>
      <c r="T22" s="6"/>
      <c r="U22" s="6"/>
      <c r="V22" s="6"/>
      <c r="W22" s="6" t="s">
        <v>495</v>
      </c>
      <c r="X22" s="6"/>
      <c r="Y22" s="6" t="s">
        <v>148</v>
      </c>
      <c r="Z22" s="6" t="s">
        <v>142</v>
      </c>
      <c r="AA22" s="6" t="s">
        <v>115</v>
      </c>
      <c r="AB22" s="6"/>
      <c r="AC22" s="6"/>
      <c r="AD22" s="6" t="s">
        <v>115</v>
      </c>
      <c r="AE22" s="6" t="s">
        <v>116</v>
      </c>
      <c r="AF22" s="6"/>
      <c r="AG22" s="6"/>
      <c r="AH22" s="6" t="s">
        <v>116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 t="s">
        <v>612</v>
      </c>
      <c r="AU22" s="7" t="str">
        <f>IF($AT22="","",IFERROR(INDEX(InstructorMap!$B:$B, MATCH($AT22, InstructorMap!$A:$A, 0)),""))</f>
        <v>cvine@andrews.edu</v>
      </c>
      <c r="AV22" s="7" t="str">
        <f>IF($AT22="","",IFERROR(INDEX(InstructorMap!$C:$C, MATCH($AT22, InstructorMap!$A:$A, 0)),""))</f>
        <v>000093509</v>
      </c>
      <c r="AW22" s="6" t="s">
        <v>121</v>
      </c>
      <c r="AX22" s="6" t="s">
        <v>122</v>
      </c>
      <c r="AY22" s="6"/>
      <c r="AZ22" s="6"/>
      <c r="BA22" s="6"/>
      <c r="BB22" s="6"/>
      <c r="BC22" s="6"/>
      <c r="BD22" s="6"/>
      <c r="BE22" s="6"/>
      <c r="BF22" s="6"/>
      <c r="BG22" s="6"/>
      <c r="BH22" s="6" t="s">
        <v>766</v>
      </c>
      <c r="BI22" s="6" t="s">
        <v>124</v>
      </c>
      <c r="BJ22" s="6" t="s">
        <v>125</v>
      </c>
      <c r="BK22" s="6"/>
      <c r="BL22" s="6" t="s">
        <v>249</v>
      </c>
      <c r="BM22" s="6"/>
      <c r="BN22" s="6"/>
      <c r="BO22" s="6" t="s">
        <v>127</v>
      </c>
      <c r="BP22" s="6"/>
      <c r="BQ22" s="6"/>
      <c r="BR22" s="6"/>
      <c r="BS22" s="6"/>
      <c r="BT22" s="6" t="s">
        <v>128</v>
      </c>
      <c r="BU22" s="6" t="s">
        <v>129</v>
      </c>
      <c r="BV22" s="6" t="s">
        <v>129</v>
      </c>
      <c r="BW22" s="6" t="s">
        <v>130</v>
      </c>
      <c r="BX22" s="6"/>
      <c r="BY22" s="6"/>
      <c r="BZ22" s="6"/>
      <c r="CA22" s="6"/>
      <c r="CB22" s="6"/>
      <c r="CC22" s="6"/>
      <c r="CD22" s="6"/>
      <c r="CE22" s="6"/>
      <c r="CF22" s="6" t="s">
        <v>130</v>
      </c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 t="s">
        <v>211</v>
      </c>
      <c r="CS22" s="6" t="s">
        <v>132</v>
      </c>
      <c r="CT22" s="6" t="s">
        <v>133</v>
      </c>
      <c r="CU22" s="6" t="s">
        <v>134</v>
      </c>
      <c r="CV22" s="6"/>
    </row>
    <row r="23" spans="1:100" x14ac:dyDescent="0.2">
      <c r="A23" s="32" t="b">
        <v>0</v>
      </c>
      <c r="B23" s="32" t="b">
        <v>0</v>
      </c>
      <c r="C23" s="32" t="b">
        <v>1</v>
      </c>
      <c r="D23" s="32" t="b">
        <v>0</v>
      </c>
      <c r="E23" s="32" t="b">
        <v>0</v>
      </c>
      <c r="F23" s="32" t="b">
        <v>0</v>
      </c>
      <c r="G23" s="88" t="s">
        <v>765</v>
      </c>
      <c r="H23" s="11"/>
      <c r="I23" s="12" t="s">
        <v>147</v>
      </c>
      <c r="J23" s="11" t="s">
        <v>766</v>
      </c>
      <c r="K23" s="11" t="s">
        <v>621</v>
      </c>
      <c r="L23" s="11" t="s">
        <v>137</v>
      </c>
      <c r="M23" s="11"/>
      <c r="N23" s="11" t="s">
        <v>850</v>
      </c>
      <c r="O23" s="11"/>
      <c r="P23" s="11"/>
      <c r="Q23" s="11"/>
      <c r="R23" s="11" t="s">
        <v>129</v>
      </c>
      <c r="S23" s="11"/>
      <c r="T23" s="11" t="s">
        <v>139</v>
      </c>
      <c r="U23" s="11" t="s">
        <v>140</v>
      </c>
      <c r="V23" s="11"/>
      <c r="W23" s="11"/>
      <c r="X23" s="12" t="s">
        <v>147</v>
      </c>
      <c r="Y23" s="12" t="s">
        <v>147</v>
      </c>
      <c r="Z23" s="11"/>
      <c r="AA23" s="11" t="s">
        <v>115</v>
      </c>
      <c r="AB23" s="11"/>
      <c r="AC23" s="11"/>
      <c r="AD23" s="11" t="s">
        <v>115</v>
      </c>
      <c r="AE23" s="11" t="s">
        <v>116</v>
      </c>
      <c r="AF23" s="11"/>
      <c r="AG23" s="11"/>
      <c r="AH23" s="11" t="s">
        <v>116</v>
      </c>
      <c r="AI23" s="11" t="s">
        <v>357</v>
      </c>
      <c r="AJ23" s="11" t="s">
        <v>358</v>
      </c>
      <c r="AK23" s="11"/>
      <c r="AL23" s="11"/>
      <c r="AM23" s="11"/>
      <c r="AN23" s="11"/>
      <c r="AO23" s="11" t="s">
        <v>221</v>
      </c>
      <c r="AP23" s="11"/>
      <c r="AQ23" s="11"/>
      <c r="AR23" s="11" t="s">
        <v>232</v>
      </c>
      <c r="AS23" s="11" t="s">
        <v>144</v>
      </c>
      <c r="AT23" s="11" t="s">
        <v>839</v>
      </c>
      <c r="AU23" s="13" t="str">
        <f>IF($AT23="","",IFERROR(INDEX(InstructorMap!$B:$B, MATCH($AT23, InstructorMap!$A:$A, 0)),""))</f>
        <v>fcortez@andrews.edu</v>
      </c>
      <c r="AV23" s="13" t="str">
        <f>IF($AT23="","",IFERROR(INDEX(InstructorMap!$C:$C, MATCH($AT23, InstructorMap!$A:$A, 0)),""))</f>
        <v>000110700</v>
      </c>
      <c r="AW23" s="11"/>
      <c r="AX23" s="11" t="s">
        <v>122</v>
      </c>
      <c r="AY23" s="11"/>
      <c r="AZ23" s="11"/>
      <c r="BA23" s="11"/>
      <c r="BB23" s="11"/>
      <c r="BC23" s="11"/>
      <c r="BD23" s="11"/>
      <c r="BE23" s="11"/>
      <c r="BF23" s="11"/>
      <c r="BG23" s="11"/>
      <c r="BH23" s="11" t="s">
        <v>766</v>
      </c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 t="s">
        <v>146</v>
      </c>
      <c r="CT23" s="11" t="s">
        <v>133</v>
      </c>
      <c r="CU23" s="11"/>
      <c r="CV23" s="11"/>
    </row>
    <row r="24" spans="1:100" x14ac:dyDescent="0.2">
      <c r="A24" s="26" t="b">
        <v>0</v>
      </c>
      <c r="B24" s="26" t="b">
        <v>0</v>
      </c>
      <c r="C24" s="26" t="b">
        <v>1</v>
      </c>
      <c r="D24" s="26" t="b">
        <v>0</v>
      </c>
      <c r="E24" s="26" t="b">
        <v>0</v>
      </c>
      <c r="F24" s="26" t="b">
        <v>0</v>
      </c>
      <c r="G24" s="89"/>
      <c r="H24" s="4" t="s">
        <v>851</v>
      </c>
      <c r="I24" s="4" t="s">
        <v>852</v>
      </c>
      <c r="J24" s="4" t="s">
        <v>766</v>
      </c>
      <c r="K24" s="4" t="s">
        <v>267</v>
      </c>
      <c r="L24" s="4" t="s">
        <v>137</v>
      </c>
      <c r="M24" s="4"/>
      <c r="N24" s="4" t="s">
        <v>820</v>
      </c>
      <c r="O24" s="4" t="s">
        <v>853</v>
      </c>
      <c r="P24" s="4" t="s">
        <v>854</v>
      </c>
      <c r="Q24" s="4" t="s">
        <v>822</v>
      </c>
      <c r="R24" s="4" t="s">
        <v>129</v>
      </c>
      <c r="S24" s="4"/>
      <c r="T24" s="4" t="s">
        <v>139</v>
      </c>
      <c r="U24" s="4" t="s">
        <v>140</v>
      </c>
      <c r="V24" s="4"/>
      <c r="W24" s="4" t="s">
        <v>247</v>
      </c>
      <c r="X24" s="4" t="s">
        <v>247</v>
      </c>
      <c r="Y24" s="4" t="s">
        <v>217</v>
      </c>
      <c r="Z24" s="4" t="s">
        <v>142</v>
      </c>
      <c r="AA24" s="4" t="s">
        <v>115</v>
      </c>
      <c r="AB24" s="4"/>
      <c r="AC24" s="4"/>
      <c r="AD24" s="4" t="s">
        <v>115</v>
      </c>
      <c r="AE24" s="4" t="s">
        <v>116</v>
      </c>
      <c r="AF24" s="4"/>
      <c r="AG24" s="4"/>
      <c r="AH24" s="4" t="s">
        <v>116</v>
      </c>
      <c r="AI24" s="4" t="s">
        <v>117</v>
      </c>
      <c r="AJ24" s="4" t="s">
        <v>118</v>
      </c>
      <c r="AK24" s="4"/>
      <c r="AL24" s="4"/>
      <c r="AM24" s="4"/>
      <c r="AN24" s="4" t="s">
        <v>177</v>
      </c>
      <c r="AO24" s="4"/>
      <c r="AP24" s="4"/>
      <c r="AQ24" s="4"/>
      <c r="AR24" s="4" t="s">
        <v>725</v>
      </c>
      <c r="AS24" s="4" t="s">
        <v>144</v>
      </c>
      <c r="AT24" s="4" t="s">
        <v>823</v>
      </c>
      <c r="AU24" s="5" t="str">
        <f>IF($AT24="","",IFERROR(INDEX(InstructorMap!$B:$B, MATCH($AT24, InstructorMap!$A:$A, 0)),""))</f>
        <v>ranko@andrews.edu</v>
      </c>
      <c r="AV24" s="5" t="str">
        <f>IF($AT24="","",IFERROR(INDEX(InstructorMap!$C:$C, MATCH($AT24, InstructorMap!$A:$A, 0)),""))</f>
        <v>000057767</v>
      </c>
      <c r="AW24" s="4" t="s">
        <v>121</v>
      </c>
      <c r="AX24" s="4" t="s">
        <v>348</v>
      </c>
      <c r="AY24" s="4"/>
      <c r="AZ24" s="4"/>
      <c r="BA24" s="4"/>
      <c r="BB24" s="4"/>
      <c r="BC24" s="4"/>
      <c r="BD24" s="4"/>
      <c r="BE24" s="4"/>
      <c r="BF24" s="4"/>
      <c r="BG24" s="4"/>
      <c r="BH24" s="4" t="s">
        <v>766</v>
      </c>
      <c r="BI24" s="4" t="s">
        <v>124</v>
      </c>
      <c r="BJ24" s="4" t="s">
        <v>125</v>
      </c>
      <c r="BK24" s="4"/>
      <c r="BL24" s="4" t="s">
        <v>125</v>
      </c>
      <c r="BM24" s="4"/>
      <c r="BN24" s="4"/>
      <c r="BO24" s="4" t="s">
        <v>127</v>
      </c>
      <c r="BP24" s="4"/>
      <c r="BQ24" s="4"/>
      <c r="BR24" s="4"/>
      <c r="BS24" s="4"/>
      <c r="BT24" s="4" t="s">
        <v>128</v>
      </c>
      <c r="BU24" s="4" t="s">
        <v>129</v>
      </c>
      <c r="BV24" s="4" t="s">
        <v>129</v>
      </c>
      <c r="BW24" s="4" t="s">
        <v>130</v>
      </c>
      <c r="BX24" s="4" t="s">
        <v>131</v>
      </c>
      <c r="BY24" s="4"/>
      <c r="BZ24" s="4"/>
      <c r="CA24" s="4"/>
      <c r="CB24" s="4"/>
      <c r="CC24" s="4"/>
      <c r="CD24" s="4"/>
      <c r="CE24" s="4"/>
      <c r="CF24" s="4" t="s">
        <v>130</v>
      </c>
      <c r="CG24" s="4"/>
      <c r="CH24" s="4" t="s">
        <v>131</v>
      </c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 t="s">
        <v>146</v>
      </c>
      <c r="CT24" s="4" t="s">
        <v>133</v>
      </c>
      <c r="CU24" s="4" t="s">
        <v>134</v>
      </c>
      <c r="CV24" s="4"/>
    </row>
    <row r="25" spans="1:100" x14ac:dyDescent="0.2">
      <c r="A25" s="131" t="b">
        <v>0</v>
      </c>
      <c r="B25" s="135" t="b">
        <v>0</v>
      </c>
      <c r="C25" s="135" t="b">
        <v>1</v>
      </c>
      <c r="D25" s="135" t="b">
        <v>0</v>
      </c>
      <c r="E25" s="135" t="b">
        <v>0</v>
      </c>
      <c r="F25" s="131" t="b">
        <v>0</v>
      </c>
      <c r="G25" s="88" t="s">
        <v>765</v>
      </c>
      <c r="H25" s="11"/>
      <c r="I25" s="12" t="s">
        <v>147</v>
      </c>
      <c r="J25" s="11" t="s">
        <v>766</v>
      </c>
      <c r="K25" s="11" t="s">
        <v>267</v>
      </c>
      <c r="L25" s="11" t="s">
        <v>560</v>
      </c>
      <c r="M25" s="11"/>
      <c r="N25" s="11" t="s">
        <v>831</v>
      </c>
      <c r="O25" s="11"/>
      <c r="P25" s="11" t="s">
        <v>832</v>
      </c>
      <c r="Q25" s="11"/>
      <c r="R25" s="11" t="s">
        <v>129</v>
      </c>
      <c r="S25" s="11"/>
      <c r="T25" s="11" t="s">
        <v>139</v>
      </c>
      <c r="U25" s="11" t="s">
        <v>140</v>
      </c>
      <c r="V25" s="11"/>
      <c r="W25" s="11"/>
      <c r="X25" s="11" t="s">
        <v>173</v>
      </c>
      <c r="Y25" s="11" t="s">
        <v>203</v>
      </c>
      <c r="Z25" s="11"/>
      <c r="AA25" s="11" t="s">
        <v>115</v>
      </c>
      <c r="AB25" s="11"/>
      <c r="AC25" s="11"/>
      <c r="AD25" s="11" t="s">
        <v>115</v>
      </c>
      <c r="AE25" s="11" t="s">
        <v>116</v>
      </c>
      <c r="AF25" s="11"/>
      <c r="AG25" s="11"/>
      <c r="AH25" s="11" t="s">
        <v>116</v>
      </c>
      <c r="AI25" s="11" t="s">
        <v>117</v>
      </c>
      <c r="AJ25" s="11" t="s">
        <v>118</v>
      </c>
      <c r="AK25" s="11"/>
      <c r="AL25" s="11"/>
      <c r="AM25" s="11" t="s">
        <v>211</v>
      </c>
      <c r="AN25" s="11"/>
      <c r="AO25" s="11"/>
      <c r="AP25" s="11"/>
      <c r="AQ25" s="11"/>
      <c r="AR25" s="11" t="s">
        <v>143</v>
      </c>
      <c r="AS25" s="11" t="s">
        <v>144</v>
      </c>
      <c r="AT25" s="11" t="s">
        <v>823</v>
      </c>
      <c r="AU25" s="13" t="str">
        <f>IF($AT25="","",IFERROR(INDEX(InstructorMap!$B:$B, MATCH($AT25, InstructorMap!$A:$A, 0)),""))</f>
        <v>ranko@andrews.edu</v>
      </c>
      <c r="AV25" s="13" t="str">
        <f>IF($AT25="","",IFERROR(INDEX(InstructorMap!$C:$C, MATCH($AT25, InstructorMap!$A:$A, 0)),""))</f>
        <v>000057767</v>
      </c>
      <c r="AW25" s="11"/>
      <c r="AX25" s="11" t="s">
        <v>122</v>
      </c>
      <c r="AY25" s="11"/>
      <c r="AZ25" s="11"/>
      <c r="BA25" s="11"/>
      <c r="BB25" s="11"/>
      <c r="BC25" s="11"/>
      <c r="BD25" s="11"/>
      <c r="BE25" s="11"/>
      <c r="BF25" s="11"/>
      <c r="BG25" s="11"/>
      <c r="BH25" s="11" t="s">
        <v>766</v>
      </c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 t="s">
        <v>146</v>
      </c>
      <c r="CT25" s="11" t="s">
        <v>133</v>
      </c>
      <c r="CU25" s="11"/>
      <c r="CV25" s="11"/>
    </row>
    <row r="26" spans="1:100" x14ac:dyDescent="0.2">
      <c r="A26" s="38" t="b">
        <v>0</v>
      </c>
      <c r="B26" s="39" t="b">
        <v>0</v>
      </c>
      <c r="C26" s="39" t="b">
        <v>1</v>
      </c>
      <c r="D26" s="39" t="b">
        <v>0</v>
      </c>
      <c r="E26" s="39" t="b">
        <v>0</v>
      </c>
      <c r="F26" s="38" t="b">
        <v>0</v>
      </c>
      <c r="G26" s="36"/>
      <c r="H26" s="6" t="s">
        <v>855</v>
      </c>
      <c r="I26" s="6" t="s">
        <v>856</v>
      </c>
      <c r="J26" s="6" t="s">
        <v>766</v>
      </c>
      <c r="K26" s="6" t="s">
        <v>267</v>
      </c>
      <c r="L26" s="6" t="s">
        <v>105</v>
      </c>
      <c r="M26" s="6"/>
      <c r="N26" s="6" t="s">
        <v>274</v>
      </c>
      <c r="O26" s="6" t="s">
        <v>857</v>
      </c>
      <c r="P26" s="6"/>
      <c r="Q26" s="6" t="s">
        <v>798</v>
      </c>
      <c r="R26" s="6" t="s">
        <v>108</v>
      </c>
      <c r="S26" s="6"/>
      <c r="T26" s="6"/>
      <c r="U26" s="6" t="s">
        <v>110</v>
      </c>
      <c r="V26" s="6"/>
      <c r="W26" s="6" t="s">
        <v>247</v>
      </c>
      <c r="X26" s="6"/>
      <c r="Y26" s="6" t="s">
        <v>203</v>
      </c>
      <c r="Z26" s="6" t="s">
        <v>114</v>
      </c>
      <c r="AA26" s="6" t="s">
        <v>115</v>
      </c>
      <c r="AB26" s="6"/>
      <c r="AC26" s="6"/>
      <c r="AD26" s="6" t="s">
        <v>115</v>
      </c>
      <c r="AE26" s="6" t="s">
        <v>116</v>
      </c>
      <c r="AF26" s="6"/>
      <c r="AG26" s="6"/>
      <c r="AH26" s="6" t="s">
        <v>116</v>
      </c>
      <c r="AI26" s="6" t="s">
        <v>277</v>
      </c>
      <c r="AJ26" s="6" t="s">
        <v>278</v>
      </c>
      <c r="AK26" s="6"/>
      <c r="AL26" s="6"/>
      <c r="AM26" s="6"/>
      <c r="AN26" s="6"/>
      <c r="AO26" s="6" t="s">
        <v>221</v>
      </c>
      <c r="AP26" s="6"/>
      <c r="AQ26" s="6"/>
      <c r="AR26" s="6"/>
      <c r="AS26" s="6"/>
      <c r="AT26" s="6" t="s">
        <v>799</v>
      </c>
      <c r="AU26" s="7" t="str">
        <f>IF($AT26="","",IFERROR(INDEX(InstructorMap!$B:$B, MATCH($AT26, InstructorMap!$A:$A, 0)),""))</f>
        <v>rayp@andrews.edu</v>
      </c>
      <c r="AV26" s="7" t="str">
        <f>IF($AT26="","",IFERROR(INDEX(InstructorMap!$C:$C, MATCH($AT26, InstructorMap!$A:$A, 0)),""))</f>
        <v>000029934</v>
      </c>
      <c r="AW26" s="6" t="s">
        <v>121</v>
      </c>
      <c r="AX26" s="6" t="s">
        <v>160</v>
      </c>
      <c r="AY26" s="6"/>
      <c r="AZ26" s="6"/>
      <c r="BA26" s="6"/>
      <c r="BB26" s="6"/>
      <c r="BC26" s="6"/>
      <c r="BD26" s="6"/>
      <c r="BE26" s="6"/>
      <c r="BF26" s="6"/>
      <c r="BG26" s="6"/>
      <c r="BH26" s="6" t="s">
        <v>766</v>
      </c>
      <c r="BI26" s="6" t="s">
        <v>124</v>
      </c>
      <c r="BJ26" s="6" t="s">
        <v>125</v>
      </c>
      <c r="BK26" s="6"/>
      <c r="BL26" s="6" t="s">
        <v>126</v>
      </c>
      <c r="BM26" s="6"/>
      <c r="BN26" s="6"/>
      <c r="BO26" s="6" t="s">
        <v>127</v>
      </c>
      <c r="BP26" s="6"/>
      <c r="BQ26" s="6"/>
      <c r="BR26" s="6"/>
      <c r="BS26" s="6"/>
      <c r="BT26" s="6" t="s">
        <v>128</v>
      </c>
      <c r="BU26" s="6" t="s">
        <v>129</v>
      </c>
      <c r="BV26" s="6" t="s">
        <v>129</v>
      </c>
      <c r="BW26" s="6" t="s">
        <v>130</v>
      </c>
      <c r="BX26" s="6" t="s">
        <v>131</v>
      </c>
      <c r="BY26" s="6"/>
      <c r="BZ26" s="6"/>
      <c r="CA26" s="6"/>
      <c r="CB26" s="6"/>
      <c r="CC26" s="6"/>
      <c r="CD26" s="6"/>
      <c r="CE26" s="6"/>
      <c r="CF26" s="6" t="s">
        <v>130</v>
      </c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 t="s">
        <v>132</v>
      </c>
      <c r="CT26" s="6" t="s">
        <v>133</v>
      </c>
      <c r="CU26" s="6" t="s">
        <v>134</v>
      </c>
      <c r="CV26" s="6"/>
    </row>
    <row r="27" spans="1:100" x14ac:dyDescent="0.2">
      <c r="A27" s="38" t="b">
        <v>0</v>
      </c>
      <c r="B27" s="39" t="b">
        <v>0</v>
      </c>
      <c r="C27" s="39" t="b">
        <v>1</v>
      </c>
      <c r="D27" s="39" t="b">
        <v>0</v>
      </c>
      <c r="E27" s="39" t="b">
        <v>0</v>
      </c>
      <c r="F27" s="38" t="b">
        <v>0</v>
      </c>
      <c r="G27" s="36"/>
      <c r="H27" s="6" t="s">
        <v>858</v>
      </c>
      <c r="I27" s="6" t="s">
        <v>859</v>
      </c>
      <c r="J27" s="6" t="s">
        <v>766</v>
      </c>
      <c r="K27" s="6" t="s">
        <v>267</v>
      </c>
      <c r="L27" s="6" t="s">
        <v>282</v>
      </c>
      <c r="M27" s="6"/>
      <c r="N27" s="6" t="s">
        <v>274</v>
      </c>
      <c r="O27" s="6" t="s">
        <v>853</v>
      </c>
      <c r="P27" s="6"/>
      <c r="Q27" s="6" t="s">
        <v>833</v>
      </c>
      <c r="R27" s="6" t="s">
        <v>108</v>
      </c>
      <c r="S27" s="6"/>
      <c r="T27" s="6"/>
      <c r="U27" s="6" t="s">
        <v>110</v>
      </c>
      <c r="V27" s="6"/>
      <c r="W27" s="6" t="s">
        <v>247</v>
      </c>
      <c r="X27" s="6"/>
      <c r="Y27" s="6" t="s">
        <v>203</v>
      </c>
      <c r="Z27" s="6" t="s">
        <v>114</v>
      </c>
      <c r="AA27" s="6" t="s">
        <v>115</v>
      </c>
      <c r="AB27" s="6"/>
      <c r="AC27" s="6"/>
      <c r="AD27" s="6" t="s">
        <v>115</v>
      </c>
      <c r="AE27" s="6" t="s">
        <v>116</v>
      </c>
      <c r="AF27" s="6"/>
      <c r="AG27" s="6"/>
      <c r="AH27" s="6" t="s">
        <v>116</v>
      </c>
      <c r="AI27" s="6" t="s">
        <v>277</v>
      </c>
      <c r="AJ27" s="6" t="s">
        <v>194</v>
      </c>
      <c r="AK27" s="6"/>
      <c r="AL27" s="6"/>
      <c r="AM27" s="6"/>
      <c r="AN27" s="6" t="s">
        <v>177</v>
      </c>
      <c r="AO27" s="6"/>
      <c r="AP27" s="6"/>
      <c r="AQ27" s="6"/>
      <c r="AR27" s="6"/>
      <c r="AS27" s="6"/>
      <c r="AT27" s="6" t="s">
        <v>823</v>
      </c>
      <c r="AU27" s="7" t="str">
        <f>IF($AT27="","",IFERROR(INDEX(InstructorMap!$B:$B, MATCH($AT27, InstructorMap!$A:$A, 0)),""))</f>
        <v>ranko@andrews.edu</v>
      </c>
      <c r="AV27" s="7" t="str">
        <f>IF($AT27="","",IFERROR(INDEX(InstructorMap!$C:$C, MATCH($AT27, InstructorMap!$A:$A, 0)),""))</f>
        <v>000057767</v>
      </c>
      <c r="AW27" s="6" t="s">
        <v>121</v>
      </c>
      <c r="AX27" s="6" t="s">
        <v>122</v>
      </c>
      <c r="AY27" s="6"/>
      <c r="AZ27" s="6"/>
      <c r="BA27" s="6"/>
      <c r="BB27" s="6"/>
      <c r="BC27" s="6"/>
      <c r="BD27" s="6"/>
      <c r="BE27" s="6"/>
      <c r="BF27" s="6"/>
      <c r="BG27" s="6"/>
      <c r="BH27" s="6" t="s">
        <v>766</v>
      </c>
      <c r="BI27" s="6" t="s">
        <v>124</v>
      </c>
      <c r="BJ27" s="6" t="s">
        <v>125</v>
      </c>
      <c r="BK27" s="6"/>
      <c r="BL27" s="6" t="s">
        <v>126</v>
      </c>
      <c r="BM27" s="6"/>
      <c r="BN27" s="6"/>
      <c r="BO27" s="6" t="s">
        <v>127</v>
      </c>
      <c r="BP27" s="6"/>
      <c r="BQ27" s="6"/>
      <c r="BR27" s="6"/>
      <c r="BS27" s="6"/>
      <c r="BT27" s="6" t="s">
        <v>128</v>
      </c>
      <c r="BU27" s="6" t="s">
        <v>129</v>
      </c>
      <c r="BV27" s="6" t="s">
        <v>129</v>
      </c>
      <c r="BW27" s="6" t="s">
        <v>130</v>
      </c>
      <c r="BX27" s="6" t="s">
        <v>131</v>
      </c>
      <c r="BY27" s="6"/>
      <c r="BZ27" s="6"/>
      <c r="CA27" s="6"/>
      <c r="CB27" s="6"/>
      <c r="CC27" s="6"/>
      <c r="CD27" s="6"/>
      <c r="CE27" s="6"/>
      <c r="CF27" s="6" t="s">
        <v>130</v>
      </c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 t="s">
        <v>132</v>
      </c>
      <c r="CT27" s="6" t="s">
        <v>133</v>
      </c>
      <c r="CU27" s="6" t="s">
        <v>134</v>
      </c>
      <c r="CV27" s="6"/>
    </row>
    <row r="28" spans="1:100" x14ac:dyDescent="0.2">
      <c r="A28" s="130" t="b">
        <v>0</v>
      </c>
      <c r="B28" s="130" t="b">
        <v>0</v>
      </c>
      <c r="C28" s="130" t="b">
        <v>0</v>
      </c>
      <c r="D28" s="130" t="b">
        <v>0</v>
      </c>
      <c r="E28" s="130" t="b">
        <v>0</v>
      </c>
      <c r="F28" s="130" t="b">
        <v>1</v>
      </c>
      <c r="G28" s="36"/>
      <c r="H28" s="6" t="s">
        <v>860</v>
      </c>
      <c r="I28" s="6" t="s">
        <v>861</v>
      </c>
      <c r="J28" s="6" t="s">
        <v>766</v>
      </c>
      <c r="K28" s="6" t="s">
        <v>267</v>
      </c>
      <c r="L28" s="6" t="s">
        <v>234</v>
      </c>
      <c r="M28" s="6"/>
      <c r="N28" s="6" t="s">
        <v>274</v>
      </c>
      <c r="O28" s="6" t="s">
        <v>857</v>
      </c>
      <c r="P28" s="6"/>
      <c r="Q28" s="6" t="s">
        <v>798</v>
      </c>
      <c r="R28" s="6" t="s">
        <v>129</v>
      </c>
      <c r="S28" s="6"/>
      <c r="T28" s="6"/>
      <c r="U28" s="6"/>
      <c r="V28" s="6"/>
      <c r="W28" s="6" t="s">
        <v>247</v>
      </c>
      <c r="X28" s="6"/>
      <c r="Y28" s="6" t="s">
        <v>217</v>
      </c>
      <c r="Z28" s="6" t="s">
        <v>142</v>
      </c>
      <c r="AA28" s="6" t="s">
        <v>115</v>
      </c>
      <c r="AB28" s="6"/>
      <c r="AC28" s="6"/>
      <c r="AD28" s="6" t="s">
        <v>115</v>
      </c>
      <c r="AE28" s="6" t="s">
        <v>116</v>
      </c>
      <c r="AF28" s="6"/>
      <c r="AG28" s="6"/>
      <c r="AH28" s="6" t="s">
        <v>116</v>
      </c>
      <c r="AI28" s="6" t="s">
        <v>277</v>
      </c>
      <c r="AJ28" s="6" t="s">
        <v>278</v>
      </c>
      <c r="AK28" s="6"/>
      <c r="AL28" s="6"/>
      <c r="AM28" s="6"/>
      <c r="AN28" s="6"/>
      <c r="AO28" s="6" t="s">
        <v>221</v>
      </c>
      <c r="AP28" s="6"/>
      <c r="AQ28" s="6"/>
      <c r="AR28" s="6"/>
      <c r="AS28" s="6" t="s">
        <v>144</v>
      </c>
      <c r="AT28" s="6" t="s">
        <v>799</v>
      </c>
      <c r="AU28" s="7" t="str">
        <f>IF($AT28="","",IFERROR(INDEX(InstructorMap!$B:$B, MATCH($AT28, InstructorMap!$A:$A, 0)),""))</f>
        <v>rayp@andrews.edu</v>
      </c>
      <c r="AV28" s="7" t="str">
        <f>IF($AT28="","",IFERROR(INDEX(InstructorMap!$C:$C, MATCH($AT28, InstructorMap!$A:$A, 0)),""))</f>
        <v>000029934</v>
      </c>
      <c r="AW28" s="6" t="s">
        <v>121</v>
      </c>
      <c r="AX28" s="6" t="s">
        <v>160</v>
      </c>
      <c r="AY28" s="6"/>
      <c r="AZ28" s="6"/>
      <c r="BA28" s="6"/>
      <c r="BB28" s="6"/>
      <c r="BC28" s="6"/>
      <c r="BD28" s="6"/>
      <c r="BE28" s="6"/>
      <c r="BF28" s="6"/>
      <c r="BG28" s="6"/>
      <c r="BH28" s="6" t="s">
        <v>766</v>
      </c>
      <c r="BI28" s="6" t="s">
        <v>124</v>
      </c>
      <c r="BJ28" s="6" t="s">
        <v>125</v>
      </c>
      <c r="BK28" s="6"/>
      <c r="BL28" s="6" t="s">
        <v>125</v>
      </c>
      <c r="BM28" s="6"/>
      <c r="BN28" s="6"/>
      <c r="BO28" s="6" t="s">
        <v>127</v>
      </c>
      <c r="BP28" s="6"/>
      <c r="BQ28" s="6"/>
      <c r="BR28" s="6"/>
      <c r="BS28" s="6"/>
      <c r="BT28" s="6" t="s">
        <v>128</v>
      </c>
      <c r="BU28" s="6" t="s">
        <v>129</v>
      </c>
      <c r="BV28" s="6" t="s">
        <v>129</v>
      </c>
      <c r="BW28" s="6" t="s">
        <v>130</v>
      </c>
      <c r="BX28" s="6" t="s">
        <v>131</v>
      </c>
      <c r="BY28" s="6"/>
      <c r="BZ28" s="6"/>
      <c r="CA28" s="6"/>
      <c r="CB28" s="6"/>
      <c r="CC28" s="6"/>
      <c r="CD28" s="6"/>
      <c r="CE28" s="6"/>
      <c r="CF28" s="6" t="s">
        <v>130</v>
      </c>
      <c r="CG28" s="6"/>
      <c r="CH28" s="6" t="s">
        <v>131</v>
      </c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 t="s">
        <v>132</v>
      </c>
      <c r="CT28" s="6" t="s">
        <v>133</v>
      </c>
      <c r="CU28" s="6" t="s">
        <v>134</v>
      </c>
      <c r="CV28" s="6"/>
    </row>
    <row r="29" spans="1:100" x14ac:dyDescent="0.2">
      <c r="A29" s="130" t="b">
        <v>0</v>
      </c>
      <c r="B29" s="130" t="b">
        <v>0</v>
      </c>
      <c r="C29" s="130" t="b">
        <v>0</v>
      </c>
      <c r="D29" s="130" t="b">
        <v>0</v>
      </c>
      <c r="E29" s="130" t="b">
        <v>0</v>
      </c>
      <c r="F29" s="130" t="b">
        <v>1</v>
      </c>
      <c r="G29" s="36"/>
      <c r="H29" s="6" t="s">
        <v>862</v>
      </c>
      <c r="I29" s="6" t="s">
        <v>581</v>
      </c>
      <c r="J29" s="6" t="s">
        <v>766</v>
      </c>
      <c r="K29" s="6" t="s">
        <v>267</v>
      </c>
      <c r="L29" s="6" t="s">
        <v>543</v>
      </c>
      <c r="M29" s="6"/>
      <c r="N29" s="6" t="s">
        <v>274</v>
      </c>
      <c r="O29" s="6" t="s">
        <v>863</v>
      </c>
      <c r="P29" s="6"/>
      <c r="Q29" s="6" t="s">
        <v>833</v>
      </c>
      <c r="R29" s="6" t="s">
        <v>129</v>
      </c>
      <c r="S29" s="6"/>
      <c r="T29" s="6"/>
      <c r="U29" s="6"/>
      <c r="V29" s="6"/>
      <c r="W29" s="6" t="s">
        <v>247</v>
      </c>
      <c r="X29" s="6"/>
      <c r="Y29" s="6" t="s">
        <v>591</v>
      </c>
      <c r="Z29" s="6" t="s">
        <v>142</v>
      </c>
      <c r="AA29" s="6" t="s">
        <v>115</v>
      </c>
      <c r="AB29" s="6"/>
      <c r="AC29" s="6"/>
      <c r="AD29" s="6" t="s">
        <v>115</v>
      </c>
      <c r="AE29" s="6" t="s">
        <v>116</v>
      </c>
      <c r="AF29" s="6"/>
      <c r="AG29" s="6"/>
      <c r="AH29" s="6" t="s">
        <v>116</v>
      </c>
      <c r="AI29" s="6" t="s">
        <v>277</v>
      </c>
      <c r="AJ29" s="6" t="s">
        <v>194</v>
      </c>
      <c r="AK29" s="6"/>
      <c r="AL29" s="6"/>
      <c r="AM29" s="6" t="s">
        <v>211</v>
      </c>
      <c r="AN29" s="6"/>
      <c r="AO29" s="6"/>
      <c r="AP29" s="6"/>
      <c r="AQ29" s="6"/>
      <c r="AR29" s="6"/>
      <c r="AS29" s="6" t="s">
        <v>144</v>
      </c>
      <c r="AT29" s="6" t="s">
        <v>823</v>
      </c>
      <c r="AU29" s="7" t="str">
        <f>IF($AT29="","",IFERROR(INDEX(InstructorMap!$B:$B, MATCH($AT29, InstructorMap!$A:$A, 0)),""))</f>
        <v>ranko@andrews.edu</v>
      </c>
      <c r="AV29" s="7" t="str">
        <f>IF($AT29="","",IFERROR(INDEX(InstructorMap!$C:$C, MATCH($AT29, InstructorMap!$A:$A, 0)),""))</f>
        <v>000057767</v>
      </c>
      <c r="AW29" s="6" t="s">
        <v>121</v>
      </c>
      <c r="AX29" s="6" t="s">
        <v>122</v>
      </c>
      <c r="AY29" s="6"/>
      <c r="AZ29" s="6"/>
      <c r="BA29" s="6"/>
      <c r="BB29" s="6"/>
      <c r="BC29" s="6"/>
      <c r="BD29" s="6"/>
      <c r="BE29" s="6"/>
      <c r="BF29" s="6"/>
      <c r="BG29" s="6"/>
      <c r="BH29" s="6" t="s">
        <v>766</v>
      </c>
      <c r="BI29" s="6" t="s">
        <v>124</v>
      </c>
      <c r="BJ29" s="6" t="s">
        <v>125</v>
      </c>
      <c r="BK29" s="6"/>
      <c r="BL29" s="6" t="s">
        <v>125</v>
      </c>
      <c r="BM29" s="6"/>
      <c r="BN29" s="6"/>
      <c r="BO29" s="6" t="s">
        <v>127</v>
      </c>
      <c r="BP29" s="6"/>
      <c r="BQ29" s="6"/>
      <c r="BR29" s="6"/>
      <c r="BS29" s="6"/>
      <c r="BT29" s="6" t="s">
        <v>128</v>
      </c>
      <c r="BU29" s="6" t="s">
        <v>129</v>
      </c>
      <c r="BV29" s="6" t="s">
        <v>129</v>
      </c>
      <c r="BW29" s="6" t="s">
        <v>130</v>
      </c>
      <c r="BX29" s="6" t="s">
        <v>131</v>
      </c>
      <c r="BY29" s="6"/>
      <c r="BZ29" s="6"/>
      <c r="CA29" s="6"/>
      <c r="CB29" s="6"/>
      <c r="CC29" s="6"/>
      <c r="CD29" s="6"/>
      <c r="CE29" s="6"/>
      <c r="CF29" s="6" t="s">
        <v>130</v>
      </c>
      <c r="CG29" s="6"/>
      <c r="CH29" s="6" t="s">
        <v>131</v>
      </c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 t="s">
        <v>132</v>
      </c>
      <c r="CT29" s="6" t="s">
        <v>133</v>
      </c>
      <c r="CU29" s="6" t="s">
        <v>134</v>
      </c>
      <c r="CV29" s="6"/>
    </row>
    <row r="30" spans="1:100" x14ac:dyDescent="0.2">
      <c r="A30" s="130" t="b">
        <v>0</v>
      </c>
      <c r="B30" s="130" t="b">
        <v>0</v>
      </c>
      <c r="C30" s="130" t="b">
        <v>0</v>
      </c>
      <c r="D30" s="130" t="b">
        <v>0</v>
      </c>
      <c r="E30" s="130" t="b">
        <v>0</v>
      </c>
      <c r="F30" s="130" t="b">
        <v>1</v>
      </c>
      <c r="G30" s="36"/>
      <c r="H30" s="6" t="s">
        <v>864</v>
      </c>
      <c r="I30" s="6" t="s">
        <v>865</v>
      </c>
      <c r="J30" s="6" t="s">
        <v>766</v>
      </c>
      <c r="K30" s="6" t="s">
        <v>288</v>
      </c>
      <c r="L30" s="6" t="s">
        <v>255</v>
      </c>
      <c r="M30" s="6"/>
      <c r="N30" s="6" t="s">
        <v>866</v>
      </c>
      <c r="O30" s="6" t="s">
        <v>867</v>
      </c>
      <c r="P30" s="6"/>
      <c r="Q30" s="6"/>
      <c r="R30" s="6" t="s">
        <v>129</v>
      </c>
      <c r="S30" s="6"/>
      <c r="T30" s="6"/>
      <c r="U30" s="6"/>
      <c r="V30" s="6"/>
      <c r="W30" s="6" t="s">
        <v>868</v>
      </c>
      <c r="X30" s="6"/>
      <c r="Y30" s="6" t="s">
        <v>148</v>
      </c>
      <c r="Z30" s="6" t="s">
        <v>142</v>
      </c>
      <c r="AA30" s="6" t="s">
        <v>115</v>
      </c>
      <c r="AB30" s="6"/>
      <c r="AC30" s="6"/>
      <c r="AD30" s="6" t="s">
        <v>115</v>
      </c>
      <c r="AE30" s="6" t="s">
        <v>116</v>
      </c>
      <c r="AF30" s="6"/>
      <c r="AG30" s="6"/>
      <c r="AH30" s="6" t="s">
        <v>116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 t="s">
        <v>836</v>
      </c>
      <c r="AU30" s="7" t="str">
        <f>IF($AT30="","",IFERROR(INDEX(InstructorMap!$B:$B, MATCH($AT30, InstructorMap!$A:$A, 0)),""))</f>
        <v>choir@andrews.edu</v>
      </c>
      <c r="AV30" s="7" t="str">
        <f>IF($AT30="","",IFERROR(INDEX(InstructorMap!$C:$C, MATCH($AT30, InstructorMap!$A:$A, 0)),""))</f>
        <v>000036676</v>
      </c>
      <c r="AW30" s="6" t="s">
        <v>121</v>
      </c>
      <c r="AX30" s="6" t="s">
        <v>122</v>
      </c>
      <c r="AY30" s="6"/>
      <c r="AZ30" s="6"/>
      <c r="BA30" s="6"/>
      <c r="BB30" s="6"/>
      <c r="BC30" s="6"/>
      <c r="BD30" s="6"/>
      <c r="BE30" s="6"/>
      <c r="BF30" s="6"/>
      <c r="BG30" s="6"/>
      <c r="BH30" s="6" t="s">
        <v>766</v>
      </c>
      <c r="BI30" s="6" t="s">
        <v>124</v>
      </c>
      <c r="BJ30" s="6" t="s">
        <v>125</v>
      </c>
      <c r="BK30" s="6"/>
      <c r="BL30" s="6" t="s">
        <v>249</v>
      </c>
      <c r="BM30" s="6"/>
      <c r="BN30" s="6"/>
      <c r="BO30" s="6" t="s">
        <v>127</v>
      </c>
      <c r="BP30" s="6"/>
      <c r="BQ30" s="6"/>
      <c r="BR30" s="6"/>
      <c r="BS30" s="6"/>
      <c r="BT30" s="6" t="s">
        <v>128</v>
      </c>
      <c r="BU30" s="6" t="s">
        <v>129</v>
      </c>
      <c r="BV30" s="6" t="s">
        <v>129</v>
      </c>
      <c r="BW30" s="6" t="s">
        <v>130</v>
      </c>
      <c r="BX30" s="6"/>
      <c r="BY30" s="6"/>
      <c r="BZ30" s="6"/>
      <c r="CA30" s="6"/>
      <c r="CB30" s="6"/>
      <c r="CC30" s="6"/>
      <c r="CD30" s="6"/>
      <c r="CE30" s="6"/>
      <c r="CF30" s="6" t="s">
        <v>130</v>
      </c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 t="s">
        <v>132</v>
      </c>
      <c r="CT30" s="6" t="s">
        <v>133</v>
      </c>
      <c r="CU30" s="6" t="s">
        <v>134</v>
      </c>
      <c r="CV30" s="6"/>
    </row>
    <row r="31" spans="1:100" x14ac:dyDescent="0.2">
      <c r="A31" s="130" t="b">
        <v>0</v>
      </c>
      <c r="B31" s="130" t="b">
        <v>0</v>
      </c>
      <c r="C31" s="130" t="b">
        <v>0</v>
      </c>
      <c r="D31" s="130" t="b">
        <v>0</v>
      </c>
      <c r="E31" s="130" t="b">
        <v>0</v>
      </c>
      <c r="F31" s="130" t="b">
        <v>1</v>
      </c>
      <c r="G31" s="36"/>
      <c r="H31" s="6" t="s">
        <v>869</v>
      </c>
      <c r="I31" s="6" t="s">
        <v>870</v>
      </c>
      <c r="J31" s="6" t="s">
        <v>766</v>
      </c>
      <c r="K31" s="6" t="s">
        <v>288</v>
      </c>
      <c r="L31" s="6" t="s">
        <v>252</v>
      </c>
      <c r="M31" s="6"/>
      <c r="N31" s="6" t="s">
        <v>866</v>
      </c>
      <c r="O31" s="6" t="s">
        <v>866</v>
      </c>
      <c r="P31" s="6"/>
      <c r="Q31" s="6"/>
      <c r="R31" s="6" t="s">
        <v>129</v>
      </c>
      <c r="S31" s="6"/>
      <c r="T31" s="6"/>
      <c r="U31" s="6"/>
      <c r="V31" s="6"/>
      <c r="W31" s="6" t="s">
        <v>868</v>
      </c>
      <c r="X31" s="6"/>
      <c r="Y31" s="6" t="s">
        <v>148</v>
      </c>
      <c r="Z31" s="6" t="s">
        <v>142</v>
      </c>
      <c r="AA31" s="6" t="s">
        <v>115</v>
      </c>
      <c r="AB31" s="6"/>
      <c r="AC31" s="6"/>
      <c r="AD31" s="6" t="s">
        <v>115</v>
      </c>
      <c r="AE31" s="6" t="s">
        <v>116</v>
      </c>
      <c r="AF31" s="6"/>
      <c r="AG31" s="6"/>
      <c r="AH31" s="6" t="s">
        <v>116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 t="s">
        <v>839</v>
      </c>
      <c r="AU31" s="7" t="str">
        <f>IF($AT31="","",IFERROR(INDEX(InstructorMap!$B:$B, MATCH($AT31, InstructorMap!$A:$A, 0)),""))</f>
        <v>fcortez@andrews.edu</v>
      </c>
      <c r="AV31" s="7" t="str">
        <f>IF($AT31="","",IFERROR(INDEX(InstructorMap!$C:$C, MATCH($AT31, InstructorMap!$A:$A, 0)),""))</f>
        <v>000110700</v>
      </c>
      <c r="AW31" s="6" t="s">
        <v>121</v>
      </c>
      <c r="AX31" s="6" t="s">
        <v>122</v>
      </c>
      <c r="AY31" s="6"/>
      <c r="AZ31" s="6"/>
      <c r="BA31" s="6"/>
      <c r="BB31" s="6"/>
      <c r="BC31" s="6"/>
      <c r="BD31" s="6"/>
      <c r="BE31" s="6"/>
      <c r="BF31" s="6"/>
      <c r="BG31" s="6"/>
      <c r="BH31" s="6" t="s">
        <v>766</v>
      </c>
      <c r="BI31" s="6" t="s">
        <v>124</v>
      </c>
      <c r="BJ31" s="6" t="s">
        <v>125</v>
      </c>
      <c r="BK31" s="6"/>
      <c r="BL31" s="6" t="s">
        <v>249</v>
      </c>
      <c r="BM31" s="6"/>
      <c r="BN31" s="6"/>
      <c r="BO31" s="6" t="s">
        <v>127</v>
      </c>
      <c r="BP31" s="6"/>
      <c r="BQ31" s="6"/>
      <c r="BR31" s="6"/>
      <c r="BS31" s="6"/>
      <c r="BT31" s="6" t="s">
        <v>128</v>
      </c>
      <c r="BU31" s="6" t="s">
        <v>129</v>
      </c>
      <c r="BV31" s="6" t="s">
        <v>129</v>
      </c>
      <c r="BW31" s="6" t="s">
        <v>130</v>
      </c>
      <c r="BX31" s="6"/>
      <c r="BY31" s="6"/>
      <c r="BZ31" s="6"/>
      <c r="CA31" s="6"/>
      <c r="CB31" s="6"/>
      <c r="CC31" s="6"/>
      <c r="CD31" s="6"/>
      <c r="CE31" s="6"/>
      <c r="CF31" s="6" t="s">
        <v>130</v>
      </c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 t="s">
        <v>132</v>
      </c>
      <c r="CT31" s="6" t="s">
        <v>133</v>
      </c>
      <c r="CU31" s="6" t="s">
        <v>134</v>
      </c>
      <c r="CV31" s="6"/>
    </row>
    <row r="32" spans="1:100" x14ac:dyDescent="0.2">
      <c r="A32" s="130" t="b">
        <v>0</v>
      </c>
      <c r="B32" s="130" t="b">
        <v>0</v>
      </c>
      <c r="C32" s="130" t="b">
        <v>0</v>
      </c>
      <c r="D32" s="130" t="b">
        <v>0</v>
      </c>
      <c r="E32" s="130" t="b">
        <v>0</v>
      </c>
      <c r="F32" s="130" t="b">
        <v>1</v>
      </c>
      <c r="G32" s="36"/>
      <c r="H32" s="6" t="s">
        <v>871</v>
      </c>
      <c r="I32" s="6" t="s">
        <v>872</v>
      </c>
      <c r="J32" s="6" t="s">
        <v>766</v>
      </c>
      <c r="K32" s="6" t="s">
        <v>288</v>
      </c>
      <c r="L32" s="6" t="s">
        <v>244</v>
      </c>
      <c r="M32" s="6"/>
      <c r="N32" s="6" t="s">
        <v>866</v>
      </c>
      <c r="O32" s="6" t="s">
        <v>866</v>
      </c>
      <c r="P32" s="6"/>
      <c r="Q32" s="6"/>
      <c r="R32" s="6" t="s">
        <v>129</v>
      </c>
      <c r="S32" s="6"/>
      <c r="T32" s="6"/>
      <c r="U32" s="6"/>
      <c r="V32" s="6"/>
      <c r="W32" s="6" t="s">
        <v>868</v>
      </c>
      <c r="X32" s="6"/>
      <c r="Y32" s="6" t="s">
        <v>148</v>
      </c>
      <c r="Z32" s="6" t="s">
        <v>142</v>
      </c>
      <c r="AA32" s="6" t="s">
        <v>115</v>
      </c>
      <c r="AB32" s="6"/>
      <c r="AC32" s="6"/>
      <c r="AD32" s="6" t="s">
        <v>115</v>
      </c>
      <c r="AE32" s="6" t="s">
        <v>116</v>
      </c>
      <c r="AF32" s="6"/>
      <c r="AG32" s="6"/>
      <c r="AH32" s="6" t="s">
        <v>116</v>
      </c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 t="s">
        <v>844</v>
      </c>
      <c r="AU32" s="7" t="str">
        <f>IF($AT32="","",IFERROR(INDEX(InstructorMap!$B:$B, MATCH($AT32, InstructorMap!$A:$A, 0)),""))</f>
        <v>trs@andrews.edu</v>
      </c>
      <c r="AV32" s="7" t="str">
        <f>IF($AT32="","",IFERROR(INDEX(InstructorMap!$C:$C, MATCH($AT32, InstructorMap!$A:$A, 0)),""))</f>
        <v>000033676</v>
      </c>
      <c r="AW32" s="6" t="s">
        <v>121</v>
      </c>
      <c r="AX32" s="6" t="s">
        <v>160</v>
      </c>
      <c r="AY32" s="6"/>
      <c r="AZ32" s="6"/>
      <c r="BA32" s="6"/>
      <c r="BB32" s="6"/>
      <c r="BC32" s="6"/>
      <c r="BD32" s="6"/>
      <c r="BE32" s="6"/>
      <c r="BF32" s="6"/>
      <c r="BG32" s="6"/>
      <c r="BH32" s="6" t="s">
        <v>766</v>
      </c>
      <c r="BI32" s="6" t="s">
        <v>124</v>
      </c>
      <c r="BJ32" s="6" t="s">
        <v>125</v>
      </c>
      <c r="BK32" s="6"/>
      <c r="BL32" s="6" t="s">
        <v>249</v>
      </c>
      <c r="BM32" s="6"/>
      <c r="BN32" s="6"/>
      <c r="BO32" s="6" t="s">
        <v>127</v>
      </c>
      <c r="BP32" s="6"/>
      <c r="BQ32" s="6"/>
      <c r="BR32" s="6"/>
      <c r="BS32" s="6"/>
      <c r="BT32" s="6" t="s">
        <v>128</v>
      </c>
      <c r="BU32" s="6" t="s">
        <v>129</v>
      </c>
      <c r="BV32" s="6" t="s">
        <v>129</v>
      </c>
      <c r="BW32" s="6" t="s">
        <v>130</v>
      </c>
      <c r="BX32" s="6"/>
      <c r="BY32" s="6"/>
      <c r="BZ32" s="6"/>
      <c r="CA32" s="6"/>
      <c r="CB32" s="6"/>
      <c r="CC32" s="6"/>
      <c r="CD32" s="6"/>
      <c r="CE32" s="6"/>
      <c r="CF32" s="6" t="s">
        <v>130</v>
      </c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 t="s">
        <v>132</v>
      </c>
      <c r="CT32" s="6" t="s">
        <v>133</v>
      </c>
      <c r="CU32" s="6" t="s">
        <v>134</v>
      </c>
      <c r="CV32" s="6"/>
    </row>
    <row r="33" spans="1:100" s="119" customFormat="1" x14ac:dyDescent="0.2">
      <c r="A33" s="130" t="b">
        <v>0</v>
      </c>
      <c r="B33" s="130" t="b">
        <v>0</v>
      </c>
      <c r="C33" s="130" t="b">
        <v>0</v>
      </c>
      <c r="D33" s="130" t="b">
        <v>0</v>
      </c>
      <c r="E33" s="130" t="b">
        <v>0</v>
      </c>
      <c r="F33" s="130" t="b">
        <v>1</v>
      </c>
      <c r="G33" s="137"/>
      <c r="H33" s="6" t="s">
        <v>873</v>
      </c>
      <c r="I33" s="6" t="s">
        <v>874</v>
      </c>
      <c r="J33" s="6" t="s">
        <v>766</v>
      </c>
      <c r="K33" s="6" t="s">
        <v>288</v>
      </c>
      <c r="L33" s="6" t="s">
        <v>258</v>
      </c>
      <c r="M33" s="6"/>
      <c r="N33" s="6" t="s">
        <v>866</v>
      </c>
      <c r="O33" s="6" t="s">
        <v>866</v>
      </c>
      <c r="P33" s="6"/>
      <c r="Q33" s="6"/>
      <c r="R33" s="6" t="s">
        <v>129</v>
      </c>
      <c r="S33" s="6"/>
      <c r="T33" s="6"/>
      <c r="U33" s="6"/>
      <c r="V33" s="6"/>
      <c r="W33" s="6" t="s">
        <v>868</v>
      </c>
      <c r="X33" s="6"/>
      <c r="Y33" s="6" t="s">
        <v>148</v>
      </c>
      <c r="Z33" s="6" t="s">
        <v>142</v>
      </c>
      <c r="AA33" s="6" t="s">
        <v>115</v>
      </c>
      <c r="AB33" s="6"/>
      <c r="AC33" s="6"/>
      <c r="AD33" s="6" t="s">
        <v>115</v>
      </c>
      <c r="AE33" s="6" t="s">
        <v>116</v>
      </c>
      <c r="AF33" s="6"/>
      <c r="AG33" s="6"/>
      <c r="AH33" s="6" t="s">
        <v>116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 t="s">
        <v>823</v>
      </c>
      <c r="AU33" s="7" t="str">
        <f>IF($AT33="","",IFERROR(INDEX(InstructorMap!$B:$B, MATCH($AT33, InstructorMap!$A:$A, 0)),""))</f>
        <v>ranko@andrews.edu</v>
      </c>
      <c r="AV33" s="7" t="str">
        <f>IF($AT33="","",IFERROR(INDEX(InstructorMap!$C:$C, MATCH($AT33, InstructorMap!$A:$A, 0)),""))</f>
        <v>000057767</v>
      </c>
      <c r="AW33" s="6" t="s">
        <v>121</v>
      </c>
      <c r="AX33" s="6" t="s">
        <v>122</v>
      </c>
      <c r="AY33" s="6"/>
      <c r="AZ33" s="6"/>
      <c r="BA33" s="6"/>
      <c r="BB33" s="6"/>
      <c r="BC33" s="6"/>
      <c r="BD33" s="6"/>
      <c r="BE33" s="6"/>
      <c r="BF33" s="6"/>
      <c r="BG33" s="6"/>
      <c r="BH33" s="6" t="s">
        <v>766</v>
      </c>
      <c r="BI33" s="6" t="s">
        <v>124</v>
      </c>
      <c r="BJ33" s="6" t="s">
        <v>125</v>
      </c>
      <c r="BK33" s="6"/>
      <c r="BL33" s="6" t="s">
        <v>249</v>
      </c>
      <c r="BM33" s="6"/>
      <c r="BN33" s="6"/>
      <c r="BO33" s="6" t="s">
        <v>127</v>
      </c>
      <c r="BP33" s="6"/>
      <c r="BQ33" s="6"/>
      <c r="BR33" s="6"/>
      <c r="BS33" s="6"/>
      <c r="BT33" s="6" t="s">
        <v>128</v>
      </c>
      <c r="BU33" s="6" t="s">
        <v>129</v>
      </c>
      <c r="BV33" s="6" t="s">
        <v>129</v>
      </c>
      <c r="BW33" s="6" t="s">
        <v>130</v>
      </c>
      <c r="BX33" s="6"/>
      <c r="BY33" s="6"/>
      <c r="BZ33" s="6"/>
      <c r="CA33" s="6"/>
      <c r="CB33" s="6"/>
      <c r="CC33" s="6"/>
      <c r="CD33" s="6"/>
      <c r="CE33" s="6"/>
      <c r="CF33" s="6" t="s">
        <v>130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 t="s">
        <v>132</v>
      </c>
      <c r="CT33" s="6" t="s">
        <v>133</v>
      </c>
      <c r="CU33" s="6" t="s">
        <v>134</v>
      </c>
      <c r="CV33" s="6"/>
    </row>
    <row r="34" spans="1:100" s="119" customFormat="1" x14ac:dyDescent="0.2">
      <c r="A34" s="130" t="b">
        <v>0</v>
      </c>
      <c r="B34" s="130" t="b">
        <v>0</v>
      </c>
      <c r="C34" s="130" t="b">
        <v>0</v>
      </c>
      <c r="D34" s="130" t="b">
        <v>0</v>
      </c>
      <c r="E34" s="130" t="b">
        <v>0</v>
      </c>
      <c r="F34" s="130" t="b">
        <v>1</v>
      </c>
      <c r="G34" s="137"/>
      <c r="H34" s="6" t="s">
        <v>875</v>
      </c>
      <c r="I34" s="6" t="s">
        <v>876</v>
      </c>
      <c r="J34" s="6" t="s">
        <v>766</v>
      </c>
      <c r="K34" s="6" t="s">
        <v>288</v>
      </c>
      <c r="L34" s="6" t="s">
        <v>302</v>
      </c>
      <c r="M34" s="6"/>
      <c r="N34" s="6" t="s">
        <v>866</v>
      </c>
      <c r="O34" s="6" t="s">
        <v>866</v>
      </c>
      <c r="P34" s="6"/>
      <c r="Q34" s="6"/>
      <c r="R34" s="6" t="s">
        <v>129</v>
      </c>
      <c r="S34" s="6"/>
      <c r="T34" s="6"/>
      <c r="U34" s="6"/>
      <c r="V34" s="6"/>
      <c r="W34" s="6" t="s">
        <v>868</v>
      </c>
      <c r="X34" s="6"/>
      <c r="Y34" s="6" t="s">
        <v>148</v>
      </c>
      <c r="Z34" s="6" t="s">
        <v>142</v>
      </c>
      <c r="AA34" s="6" t="s">
        <v>115</v>
      </c>
      <c r="AB34" s="6"/>
      <c r="AC34" s="6"/>
      <c r="AD34" s="6" t="s">
        <v>115</v>
      </c>
      <c r="AE34" s="6" t="s">
        <v>116</v>
      </c>
      <c r="AF34" s="6"/>
      <c r="AG34" s="6"/>
      <c r="AH34" s="6" t="s">
        <v>116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 t="s">
        <v>612</v>
      </c>
      <c r="AU34" s="7" t="str">
        <f>IF($AT34="","",IFERROR(INDEX(InstructorMap!$B:$B, MATCH($AT34, InstructorMap!$A:$A, 0)),""))</f>
        <v>cvine@andrews.edu</v>
      </c>
      <c r="AV34" s="7" t="str">
        <f>IF($AT34="","",IFERROR(INDEX(InstructorMap!$C:$C, MATCH($AT34, InstructorMap!$A:$A, 0)),""))</f>
        <v>000093509</v>
      </c>
      <c r="AW34" s="6" t="s">
        <v>121</v>
      </c>
      <c r="AX34" s="6" t="s">
        <v>122</v>
      </c>
      <c r="AY34" s="6"/>
      <c r="AZ34" s="6"/>
      <c r="BA34" s="6"/>
      <c r="BB34" s="6"/>
      <c r="BC34" s="6"/>
      <c r="BD34" s="6"/>
      <c r="BE34" s="6"/>
      <c r="BF34" s="6"/>
      <c r="BG34" s="6"/>
      <c r="BH34" s="6" t="s">
        <v>766</v>
      </c>
      <c r="BI34" s="6" t="s">
        <v>124</v>
      </c>
      <c r="BJ34" s="6" t="s">
        <v>125</v>
      </c>
      <c r="BK34" s="6"/>
      <c r="BL34" s="6" t="s">
        <v>249</v>
      </c>
      <c r="BM34" s="6"/>
      <c r="BN34" s="6"/>
      <c r="BO34" s="6" t="s">
        <v>127</v>
      </c>
      <c r="BP34" s="6"/>
      <c r="BQ34" s="6"/>
      <c r="BR34" s="6"/>
      <c r="BS34" s="6"/>
      <c r="BT34" s="6" t="s">
        <v>128</v>
      </c>
      <c r="BU34" s="6" t="s">
        <v>129</v>
      </c>
      <c r="BV34" s="6" t="s">
        <v>129</v>
      </c>
      <c r="BW34" s="6" t="s">
        <v>130</v>
      </c>
      <c r="BX34" s="6"/>
      <c r="BY34" s="6"/>
      <c r="BZ34" s="6"/>
      <c r="CA34" s="6"/>
      <c r="CB34" s="6"/>
      <c r="CC34" s="6"/>
      <c r="CD34" s="6"/>
      <c r="CE34" s="6"/>
      <c r="CF34" s="6" t="s">
        <v>130</v>
      </c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 t="s">
        <v>132</v>
      </c>
      <c r="CT34" s="6" t="s">
        <v>133</v>
      </c>
      <c r="CU34" s="6" t="s">
        <v>134</v>
      </c>
      <c r="CV34" s="6"/>
    </row>
    <row r="35" spans="1:100" x14ac:dyDescent="0.2">
      <c r="A35" s="130" t="b">
        <v>0</v>
      </c>
      <c r="B35" s="130" t="b">
        <v>0</v>
      </c>
      <c r="C35" s="130" t="b">
        <v>0</v>
      </c>
      <c r="D35" s="130" t="b">
        <v>0</v>
      </c>
      <c r="E35" s="130" t="b">
        <v>0</v>
      </c>
      <c r="F35" s="130" t="b">
        <v>1</v>
      </c>
      <c r="G35" s="138"/>
      <c r="H35" s="6" t="s">
        <v>877</v>
      </c>
      <c r="I35" s="6" t="s">
        <v>878</v>
      </c>
      <c r="J35" s="6" t="s">
        <v>766</v>
      </c>
      <c r="K35" s="6" t="s">
        <v>879</v>
      </c>
      <c r="L35" s="6" t="s">
        <v>880</v>
      </c>
      <c r="M35" s="6"/>
      <c r="N35" s="6" t="s">
        <v>881</v>
      </c>
      <c r="O35" s="6"/>
      <c r="P35" s="6"/>
      <c r="Q35" s="6"/>
      <c r="R35" s="6" t="s">
        <v>129</v>
      </c>
      <c r="S35" s="6"/>
      <c r="T35" s="6"/>
      <c r="U35" s="6"/>
      <c r="V35" s="6"/>
      <c r="W35" s="6" t="s">
        <v>247</v>
      </c>
      <c r="X35" s="6"/>
      <c r="Y35" s="6" t="s">
        <v>148</v>
      </c>
      <c r="Z35" s="6" t="s">
        <v>142</v>
      </c>
      <c r="AA35" s="6" t="s">
        <v>115</v>
      </c>
      <c r="AB35" s="6"/>
      <c r="AC35" s="6"/>
      <c r="AD35" s="6" t="s">
        <v>115</v>
      </c>
      <c r="AE35" s="6" t="s">
        <v>116</v>
      </c>
      <c r="AF35" s="6"/>
      <c r="AG35" s="6"/>
      <c r="AH35" s="6" t="s">
        <v>116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 t="s">
        <v>836</v>
      </c>
      <c r="AU35" s="7" t="str">
        <f>IF($AT35="","",IFERROR(INDEX(InstructorMap!$B:$B, MATCH($AT35, InstructorMap!$A:$A, 0)),""))</f>
        <v>choir@andrews.edu</v>
      </c>
      <c r="AV35" s="7" t="str">
        <f>IF($AT35="","",IFERROR(INDEX(InstructorMap!$C:$C, MATCH($AT35, InstructorMap!$A:$A, 0)),""))</f>
        <v>000036676</v>
      </c>
      <c r="AW35" s="6" t="s">
        <v>121</v>
      </c>
      <c r="AX35" s="6" t="s">
        <v>122</v>
      </c>
      <c r="AY35" s="6"/>
      <c r="AZ35" s="6"/>
      <c r="BA35" s="6"/>
      <c r="BB35" s="6"/>
      <c r="BC35" s="6"/>
      <c r="BD35" s="6"/>
      <c r="BE35" s="6"/>
      <c r="BF35" s="6"/>
      <c r="BG35" s="6"/>
      <c r="BH35" s="6" t="s">
        <v>766</v>
      </c>
      <c r="BI35" s="6" t="s">
        <v>124</v>
      </c>
      <c r="BJ35" s="6" t="s">
        <v>125</v>
      </c>
      <c r="BK35" s="6"/>
      <c r="BL35" s="6" t="s">
        <v>249</v>
      </c>
      <c r="BM35" s="6"/>
      <c r="BN35" s="6"/>
      <c r="BO35" s="6" t="s">
        <v>127</v>
      </c>
      <c r="BP35" s="6"/>
      <c r="BQ35" s="6"/>
      <c r="BR35" s="6"/>
      <c r="BS35" s="6"/>
      <c r="BT35" s="6" t="s">
        <v>128</v>
      </c>
      <c r="BU35" s="6" t="s">
        <v>129</v>
      </c>
      <c r="BV35" s="6" t="s">
        <v>129</v>
      </c>
      <c r="BW35" s="6" t="s">
        <v>130</v>
      </c>
      <c r="BX35" s="6"/>
      <c r="BY35" s="6"/>
      <c r="BZ35" s="6"/>
      <c r="CA35" s="6"/>
      <c r="CB35" s="6"/>
      <c r="CC35" s="6"/>
      <c r="CD35" s="6"/>
      <c r="CE35" s="6"/>
      <c r="CF35" s="6" t="s">
        <v>130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 t="s">
        <v>211</v>
      </c>
      <c r="CS35" s="6" t="s">
        <v>132</v>
      </c>
      <c r="CT35" s="6" t="s">
        <v>133</v>
      </c>
      <c r="CU35" s="6" t="s">
        <v>134</v>
      </c>
      <c r="CV35" s="6"/>
    </row>
    <row r="36" spans="1:100" x14ac:dyDescent="0.2">
      <c r="A36" s="130" t="b">
        <v>0</v>
      </c>
      <c r="B36" s="130" t="b">
        <v>0</v>
      </c>
      <c r="C36" s="130" t="b">
        <v>0</v>
      </c>
      <c r="D36" s="130" t="b">
        <v>0</v>
      </c>
      <c r="E36" s="130" t="b">
        <v>0</v>
      </c>
      <c r="F36" s="130" t="b">
        <v>1</v>
      </c>
      <c r="G36" s="6"/>
      <c r="H36" s="6" t="s">
        <v>882</v>
      </c>
      <c r="I36" s="6" t="s">
        <v>883</v>
      </c>
      <c r="J36" s="6" t="s">
        <v>766</v>
      </c>
      <c r="K36" s="6" t="s">
        <v>879</v>
      </c>
      <c r="L36" s="6" t="s">
        <v>252</v>
      </c>
      <c r="M36" s="6"/>
      <c r="N36" s="6" t="s">
        <v>881</v>
      </c>
      <c r="O36" s="6"/>
      <c r="P36" s="6"/>
      <c r="Q36" s="6"/>
      <c r="R36" s="6" t="s">
        <v>129</v>
      </c>
      <c r="S36" s="6"/>
      <c r="T36" s="6"/>
      <c r="U36" s="6"/>
      <c r="V36" s="6"/>
      <c r="W36" s="6" t="s">
        <v>247</v>
      </c>
      <c r="X36" s="6"/>
      <c r="Y36" s="6" t="s">
        <v>148</v>
      </c>
      <c r="Z36" s="6" t="s">
        <v>142</v>
      </c>
      <c r="AA36" s="6" t="s">
        <v>115</v>
      </c>
      <c r="AB36" s="6"/>
      <c r="AC36" s="6"/>
      <c r="AD36" s="6" t="s">
        <v>115</v>
      </c>
      <c r="AE36" s="6" t="s">
        <v>116</v>
      </c>
      <c r="AF36" s="6"/>
      <c r="AG36" s="6"/>
      <c r="AH36" s="6" t="s">
        <v>116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 t="s">
        <v>839</v>
      </c>
      <c r="AU36" s="7" t="str">
        <f>IF($AT36="","",IFERROR(INDEX(InstructorMap!$B:$B, MATCH($AT36, InstructorMap!$A:$A, 0)),""))</f>
        <v>fcortez@andrews.edu</v>
      </c>
      <c r="AV36" s="7" t="str">
        <f>IF($AT36="","",IFERROR(INDEX(InstructorMap!$C:$C, MATCH($AT36, InstructorMap!$A:$A, 0)),""))</f>
        <v>000110700</v>
      </c>
      <c r="AW36" s="6" t="s">
        <v>121</v>
      </c>
      <c r="AX36" s="6" t="s">
        <v>122</v>
      </c>
      <c r="AY36" s="6"/>
      <c r="AZ36" s="6"/>
      <c r="BA36" s="6"/>
      <c r="BB36" s="6"/>
      <c r="BC36" s="6"/>
      <c r="BD36" s="6"/>
      <c r="BE36" s="6"/>
      <c r="BF36" s="6"/>
      <c r="BG36" s="6"/>
      <c r="BH36" s="6" t="s">
        <v>766</v>
      </c>
      <c r="BI36" s="6" t="s">
        <v>124</v>
      </c>
      <c r="BJ36" s="6" t="s">
        <v>125</v>
      </c>
      <c r="BK36" s="6"/>
      <c r="BL36" s="6" t="s">
        <v>249</v>
      </c>
      <c r="BM36" s="6"/>
      <c r="BN36" s="6"/>
      <c r="BO36" s="6" t="s">
        <v>127</v>
      </c>
      <c r="BP36" s="6"/>
      <c r="BQ36" s="6"/>
      <c r="BR36" s="6"/>
      <c r="BS36" s="6"/>
      <c r="BT36" s="6" t="s">
        <v>128</v>
      </c>
      <c r="BU36" s="6" t="s">
        <v>129</v>
      </c>
      <c r="BV36" s="6" t="s">
        <v>129</v>
      </c>
      <c r="BW36" s="6" t="s">
        <v>130</v>
      </c>
      <c r="BX36" s="6"/>
      <c r="BY36" s="6"/>
      <c r="BZ36" s="6"/>
      <c r="CA36" s="6"/>
      <c r="CB36" s="6"/>
      <c r="CC36" s="6"/>
      <c r="CD36" s="6"/>
      <c r="CE36" s="6"/>
      <c r="CF36" s="6" t="s">
        <v>130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 t="s">
        <v>211</v>
      </c>
      <c r="CS36" s="6" t="s">
        <v>132</v>
      </c>
      <c r="CT36" s="6" t="s">
        <v>133</v>
      </c>
      <c r="CU36" s="6" t="s">
        <v>134</v>
      </c>
      <c r="CV36" s="6"/>
    </row>
    <row r="37" spans="1:100" x14ac:dyDescent="0.2">
      <c r="A37" s="130" t="b">
        <v>0</v>
      </c>
      <c r="B37" s="130" t="b">
        <v>0</v>
      </c>
      <c r="C37" s="130" t="b">
        <v>0</v>
      </c>
      <c r="D37" s="130" t="b">
        <v>0</v>
      </c>
      <c r="E37" s="130" t="b">
        <v>0</v>
      </c>
      <c r="F37" s="130" t="b">
        <v>1</v>
      </c>
      <c r="G37" s="138"/>
      <c r="H37" s="6" t="s">
        <v>884</v>
      </c>
      <c r="I37" s="6" t="s">
        <v>885</v>
      </c>
      <c r="J37" s="6" t="s">
        <v>766</v>
      </c>
      <c r="K37" s="6" t="s">
        <v>879</v>
      </c>
      <c r="L37" s="6" t="s">
        <v>244</v>
      </c>
      <c r="M37" s="6"/>
      <c r="N37" s="6" t="s">
        <v>881</v>
      </c>
      <c r="O37" s="6"/>
      <c r="P37" s="6"/>
      <c r="Q37" s="6"/>
      <c r="R37" s="6" t="s">
        <v>129</v>
      </c>
      <c r="S37" s="6"/>
      <c r="T37" s="6"/>
      <c r="U37" s="6"/>
      <c r="V37" s="6"/>
      <c r="W37" s="6" t="s">
        <v>247</v>
      </c>
      <c r="X37" s="6"/>
      <c r="Y37" s="6" t="s">
        <v>148</v>
      </c>
      <c r="Z37" s="6" t="s">
        <v>142</v>
      </c>
      <c r="AA37" s="6" t="s">
        <v>115</v>
      </c>
      <c r="AB37" s="6"/>
      <c r="AC37" s="6"/>
      <c r="AD37" s="6" t="s">
        <v>115</v>
      </c>
      <c r="AE37" s="6" t="s">
        <v>116</v>
      </c>
      <c r="AF37" s="6"/>
      <c r="AG37" s="6"/>
      <c r="AH37" s="6" t="s">
        <v>116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 t="s">
        <v>844</v>
      </c>
      <c r="AU37" s="7" t="str">
        <f>IF($AT37="","",IFERROR(INDEX(InstructorMap!$B:$B, MATCH($AT37, InstructorMap!$A:$A, 0)),""))</f>
        <v>trs@andrews.edu</v>
      </c>
      <c r="AV37" s="7" t="str">
        <f>IF($AT37="","",IFERROR(INDEX(InstructorMap!$C:$C, MATCH($AT37, InstructorMap!$A:$A, 0)),""))</f>
        <v>000033676</v>
      </c>
      <c r="AW37" s="6" t="s">
        <v>121</v>
      </c>
      <c r="AX37" s="6" t="s">
        <v>160</v>
      </c>
      <c r="AY37" s="6"/>
      <c r="AZ37" s="6"/>
      <c r="BA37" s="6"/>
      <c r="BB37" s="6"/>
      <c r="BC37" s="6"/>
      <c r="BD37" s="6"/>
      <c r="BE37" s="6"/>
      <c r="BF37" s="6"/>
      <c r="BG37" s="6"/>
      <c r="BH37" s="6" t="s">
        <v>766</v>
      </c>
      <c r="BI37" s="6" t="s">
        <v>124</v>
      </c>
      <c r="BJ37" s="6" t="s">
        <v>125</v>
      </c>
      <c r="BK37" s="6"/>
      <c r="BL37" s="6" t="s">
        <v>249</v>
      </c>
      <c r="BM37" s="6"/>
      <c r="BN37" s="6"/>
      <c r="BO37" s="6" t="s">
        <v>127</v>
      </c>
      <c r="BP37" s="6"/>
      <c r="BQ37" s="6"/>
      <c r="BR37" s="6"/>
      <c r="BS37" s="6"/>
      <c r="BT37" s="6" t="s">
        <v>128</v>
      </c>
      <c r="BU37" s="6" t="s">
        <v>129</v>
      </c>
      <c r="BV37" s="6" t="s">
        <v>129</v>
      </c>
      <c r="BW37" s="6" t="s">
        <v>130</v>
      </c>
      <c r="BX37" s="6"/>
      <c r="BY37" s="6"/>
      <c r="BZ37" s="6"/>
      <c r="CA37" s="6"/>
      <c r="CB37" s="6"/>
      <c r="CC37" s="6"/>
      <c r="CD37" s="6"/>
      <c r="CE37" s="6"/>
      <c r="CF37" s="6" t="s">
        <v>130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 t="s">
        <v>211</v>
      </c>
      <c r="CS37" s="6" t="s">
        <v>132</v>
      </c>
      <c r="CT37" s="6" t="s">
        <v>133</v>
      </c>
      <c r="CU37" s="6" t="s">
        <v>134</v>
      </c>
      <c r="CV37" s="6"/>
    </row>
    <row r="38" spans="1:100" x14ac:dyDescent="0.2">
      <c r="A38" s="130" t="b">
        <v>0</v>
      </c>
      <c r="B38" s="130" t="b">
        <v>0</v>
      </c>
      <c r="C38" s="130" t="b">
        <v>0</v>
      </c>
      <c r="D38" s="130" t="b">
        <v>0</v>
      </c>
      <c r="E38" s="130" t="b">
        <v>0</v>
      </c>
      <c r="F38" s="130" t="b">
        <v>1</v>
      </c>
      <c r="G38" s="6"/>
      <c r="H38" s="6" t="s">
        <v>886</v>
      </c>
      <c r="I38" s="6" t="s">
        <v>887</v>
      </c>
      <c r="J38" s="6" t="s">
        <v>766</v>
      </c>
      <c r="K38" s="6" t="s">
        <v>879</v>
      </c>
      <c r="L38" s="6" t="s">
        <v>258</v>
      </c>
      <c r="M38" s="6"/>
      <c r="N38" s="6" t="s">
        <v>881</v>
      </c>
      <c r="O38" s="6"/>
      <c r="P38" s="6"/>
      <c r="Q38" s="6"/>
      <c r="R38" s="6" t="s">
        <v>129</v>
      </c>
      <c r="S38" s="6"/>
      <c r="T38" s="6"/>
      <c r="U38" s="6"/>
      <c r="V38" s="6"/>
      <c r="W38" s="6" t="s">
        <v>247</v>
      </c>
      <c r="X38" s="6"/>
      <c r="Y38" s="6" t="s">
        <v>148</v>
      </c>
      <c r="Z38" s="6" t="s">
        <v>142</v>
      </c>
      <c r="AA38" s="6" t="s">
        <v>115</v>
      </c>
      <c r="AB38" s="6"/>
      <c r="AC38" s="6"/>
      <c r="AD38" s="6" t="s">
        <v>115</v>
      </c>
      <c r="AE38" s="6" t="s">
        <v>116</v>
      </c>
      <c r="AF38" s="6"/>
      <c r="AG38" s="6"/>
      <c r="AH38" s="6" t="s">
        <v>116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 t="s">
        <v>823</v>
      </c>
      <c r="AU38" s="7" t="str">
        <f>IF($AT38="","",IFERROR(INDEX(InstructorMap!$B:$B, MATCH($AT38, InstructorMap!$A:$A, 0)),""))</f>
        <v>ranko@andrews.edu</v>
      </c>
      <c r="AV38" s="7" t="str">
        <f>IF($AT38="","",IFERROR(INDEX(InstructorMap!$C:$C, MATCH($AT38, InstructorMap!$A:$A, 0)),""))</f>
        <v>000057767</v>
      </c>
      <c r="AW38" s="6" t="s">
        <v>121</v>
      </c>
      <c r="AX38" s="6" t="s">
        <v>122</v>
      </c>
      <c r="AY38" s="6"/>
      <c r="AZ38" s="6"/>
      <c r="BA38" s="6"/>
      <c r="BB38" s="6"/>
      <c r="BC38" s="6"/>
      <c r="BD38" s="6"/>
      <c r="BE38" s="6"/>
      <c r="BF38" s="6"/>
      <c r="BG38" s="6"/>
      <c r="BH38" s="6" t="s">
        <v>766</v>
      </c>
      <c r="BI38" s="6" t="s">
        <v>124</v>
      </c>
      <c r="BJ38" s="6" t="s">
        <v>125</v>
      </c>
      <c r="BK38" s="6"/>
      <c r="BL38" s="6" t="s">
        <v>249</v>
      </c>
      <c r="BM38" s="6"/>
      <c r="BN38" s="6"/>
      <c r="BO38" s="6" t="s">
        <v>127</v>
      </c>
      <c r="BP38" s="6"/>
      <c r="BQ38" s="6"/>
      <c r="BR38" s="6"/>
      <c r="BS38" s="6"/>
      <c r="BT38" s="6" t="s">
        <v>128</v>
      </c>
      <c r="BU38" s="6" t="s">
        <v>129</v>
      </c>
      <c r="BV38" s="6" t="s">
        <v>129</v>
      </c>
      <c r="BW38" s="6" t="s">
        <v>130</v>
      </c>
      <c r="BX38" s="6"/>
      <c r="BY38" s="6"/>
      <c r="BZ38" s="6"/>
      <c r="CA38" s="6"/>
      <c r="CB38" s="6"/>
      <c r="CC38" s="6"/>
      <c r="CD38" s="6"/>
      <c r="CE38" s="6"/>
      <c r="CF38" s="6" t="s">
        <v>130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 t="s">
        <v>211</v>
      </c>
      <c r="CS38" s="6" t="s">
        <v>132</v>
      </c>
      <c r="CT38" s="6" t="s">
        <v>133</v>
      </c>
      <c r="CU38" s="6" t="s">
        <v>134</v>
      </c>
      <c r="CV38" s="6"/>
    </row>
    <row r="39" spans="1:100" x14ac:dyDescent="0.2">
      <c r="A39" s="130" t="b">
        <v>0</v>
      </c>
      <c r="B39" s="130" t="b">
        <v>0</v>
      </c>
      <c r="C39" s="130" t="b">
        <v>0</v>
      </c>
      <c r="D39" s="130" t="b">
        <v>0</v>
      </c>
      <c r="E39" s="130" t="b">
        <v>0</v>
      </c>
      <c r="F39" s="130" t="b">
        <v>1</v>
      </c>
      <c r="G39" s="6"/>
      <c r="H39" s="6" t="s">
        <v>888</v>
      </c>
      <c r="I39" s="6" t="s">
        <v>889</v>
      </c>
      <c r="J39" s="6" t="s">
        <v>766</v>
      </c>
      <c r="K39" s="6" t="s">
        <v>879</v>
      </c>
      <c r="L39" s="6" t="s">
        <v>302</v>
      </c>
      <c r="M39" s="6"/>
      <c r="N39" s="6" t="s">
        <v>881</v>
      </c>
      <c r="O39" s="6"/>
      <c r="P39" s="6"/>
      <c r="Q39" s="6"/>
      <c r="R39" s="6" t="s">
        <v>129</v>
      </c>
      <c r="S39" s="6"/>
      <c r="T39" s="6"/>
      <c r="U39" s="6"/>
      <c r="V39" s="6"/>
      <c r="W39" s="6" t="s">
        <v>247</v>
      </c>
      <c r="X39" s="6"/>
      <c r="Y39" s="6" t="s">
        <v>148</v>
      </c>
      <c r="Z39" s="6" t="s">
        <v>142</v>
      </c>
      <c r="AA39" s="6" t="s">
        <v>115</v>
      </c>
      <c r="AB39" s="6"/>
      <c r="AC39" s="6"/>
      <c r="AD39" s="6" t="s">
        <v>115</v>
      </c>
      <c r="AE39" s="6" t="s">
        <v>116</v>
      </c>
      <c r="AF39" s="6"/>
      <c r="AG39" s="6"/>
      <c r="AH39" s="6" t="s">
        <v>116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 t="s">
        <v>612</v>
      </c>
      <c r="AU39" s="7" t="str">
        <f>IF($AT39="","",IFERROR(INDEX(InstructorMap!$B:$B, MATCH($AT39, InstructorMap!$A:$A, 0)),""))</f>
        <v>cvine@andrews.edu</v>
      </c>
      <c r="AV39" s="7" t="str">
        <f>IF($AT39="","",IFERROR(INDEX(InstructorMap!$C:$C, MATCH($AT39, InstructorMap!$A:$A, 0)),""))</f>
        <v>000093509</v>
      </c>
      <c r="AW39" s="6" t="s">
        <v>121</v>
      </c>
      <c r="AX39" s="6" t="s">
        <v>122</v>
      </c>
      <c r="AY39" s="6"/>
      <c r="AZ39" s="6"/>
      <c r="BA39" s="6"/>
      <c r="BB39" s="6"/>
      <c r="BC39" s="6"/>
      <c r="BD39" s="6"/>
      <c r="BE39" s="6"/>
      <c r="BF39" s="6"/>
      <c r="BG39" s="6"/>
      <c r="BH39" s="6" t="s">
        <v>766</v>
      </c>
      <c r="BI39" s="6" t="s">
        <v>124</v>
      </c>
      <c r="BJ39" s="6" t="s">
        <v>125</v>
      </c>
      <c r="BK39" s="6"/>
      <c r="BL39" s="6" t="s">
        <v>249</v>
      </c>
      <c r="BM39" s="6"/>
      <c r="BN39" s="6"/>
      <c r="BO39" s="6" t="s">
        <v>127</v>
      </c>
      <c r="BP39" s="6"/>
      <c r="BQ39" s="6"/>
      <c r="BR39" s="6"/>
      <c r="BS39" s="6"/>
      <c r="BT39" s="6" t="s">
        <v>128</v>
      </c>
      <c r="BU39" s="6" t="s">
        <v>129</v>
      </c>
      <c r="BV39" s="6" t="s">
        <v>129</v>
      </c>
      <c r="BW39" s="6" t="s">
        <v>130</v>
      </c>
      <c r="BX39" s="6"/>
      <c r="BY39" s="6"/>
      <c r="BZ39" s="6"/>
      <c r="CA39" s="6"/>
      <c r="CB39" s="6"/>
      <c r="CC39" s="6"/>
      <c r="CD39" s="6"/>
      <c r="CE39" s="6"/>
      <c r="CF39" s="6" t="s">
        <v>130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 t="s">
        <v>211</v>
      </c>
      <c r="CS39" s="6" t="s">
        <v>132</v>
      </c>
      <c r="CT39" s="6" t="s">
        <v>133</v>
      </c>
      <c r="CU39" s="6" t="s">
        <v>134</v>
      </c>
      <c r="CV39" s="6"/>
    </row>
  </sheetData>
  <autoFilter ref="A1:CV32" xr:uid="{00000000-0009-0000-0000-000004000000}">
    <sortState xmlns:xlrd2="http://schemas.microsoft.com/office/spreadsheetml/2017/richdata2" ref="A2:CV39">
      <sortCondition ref="K1:K32"/>
    </sortState>
  </autoFilter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62">
        <x14:dataValidation type="list" allowBlank="1" xr:uid="{00000000-0002-0000-0400-000000000000}">
          <x14:formula1>
            <xm:f>DropDownMenu!$A$2:$A$3</xm:f>
          </x14:formula1>
          <xm:sqref>A40:A4993</xm:sqref>
        </x14:dataValidation>
        <x14:dataValidation type="list" allowBlank="1" xr:uid="{00000000-0002-0000-0400-000001000000}">
          <x14:formula1>
            <xm:f>DropDownMenu!$B$2:$B$3</xm:f>
          </x14:formula1>
          <xm:sqref>B40:B4993</xm:sqref>
        </x14:dataValidation>
        <x14:dataValidation type="list" allowBlank="1" xr:uid="{00000000-0002-0000-0400-000002000000}">
          <x14:formula1>
            <xm:f>DropDownMenu!$C$2:$C$3</xm:f>
          </x14:formula1>
          <xm:sqref>D40:D4993</xm:sqref>
        </x14:dataValidation>
        <x14:dataValidation type="list" allowBlank="1" xr:uid="{00000000-0002-0000-0400-000003000000}">
          <x14:formula1>
            <xm:f>DropDownMenu!$D$2:$D$3</xm:f>
          </x14:formula1>
          <xm:sqref>E40:E4993</xm:sqref>
        </x14:dataValidation>
        <x14:dataValidation type="list" allowBlank="1" xr:uid="{00000000-0002-0000-0400-000004000000}">
          <x14:formula1>
            <xm:f>DropDownMenu!$E$2:$E$3</xm:f>
          </x14:formula1>
          <xm:sqref>F40:F4993</xm:sqref>
        </x14:dataValidation>
        <x14:dataValidation type="list" allowBlank="1" xr:uid="{00000000-0002-0000-0400-000005000000}">
          <x14:formula1>
            <xm:f>DropDownMenu!$G$2:$G$19</xm:f>
          </x14:formula1>
          <xm:sqref>G40:G4993 G7 G2:G4 G20:G32 G10:G18</xm:sqref>
        </x14:dataValidation>
        <x14:dataValidation type="list" allowBlank="1" showInputMessage="1" showErrorMessage="1" xr:uid="{00000000-0002-0000-0400-000051000000}">
          <x14:formula1>
            <xm:f>DropDownMenu!$A$2:$A$3</xm:f>
          </x14:formula1>
          <xm:sqref>A40:A4993</xm:sqref>
        </x14:dataValidation>
        <x14:dataValidation type="list" allowBlank="1" showInputMessage="1" showErrorMessage="1" xr:uid="{00000000-0002-0000-0400-000052000000}">
          <x14:formula1>
            <xm:f>DropDownMenu!$B$2:$B$3</xm:f>
          </x14:formula1>
          <xm:sqref>B40:B4993</xm:sqref>
        </x14:dataValidation>
        <x14:dataValidation type="list" allowBlank="1" showInputMessage="1" showErrorMessage="1" xr:uid="{00000000-0002-0000-0400-000053000000}">
          <x14:formula1>
            <xm:f>DropDownMenu!$C$2:$C$3</xm:f>
          </x14:formula1>
          <xm:sqref>D40:D4993</xm:sqref>
        </x14:dataValidation>
        <x14:dataValidation type="list" allowBlank="1" showInputMessage="1" showErrorMessage="1" xr:uid="{00000000-0002-0000-0400-000054000000}">
          <x14:formula1>
            <xm:f>DropDownMenu!$D$2:$D$3</xm:f>
          </x14:formula1>
          <xm:sqref>E40:E4993</xm:sqref>
        </x14:dataValidation>
        <x14:dataValidation type="list" allowBlank="1" showInputMessage="1" showErrorMessage="1" xr:uid="{00000000-0002-0000-0400-000055000000}">
          <x14:formula1>
            <xm:f>DropDownMenu!$E$2:$E$3</xm:f>
          </x14:formula1>
          <xm:sqref>F40:F4993</xm:sqref>
        </x14:dataValidation>
        <x14:dataValidation type="list" allowBlank="1" showInputMessage="1" showErrorMessage="1" xr:uid="{00000000-0002-0000-0400-000056000000}">
          <x14:formula1>
            <xm:f>DropDownMenu!$G$2:$G$19</xm:f>
          </x14:formula1>
          <xm:sqref>G40:G4993 G7 G2:G4 G20:G32 G10:G18</xm:sqref>
        </x14:dataValidation>
        <x14:dataValidation type="list" allowBlank="1" xr:uid="{00000000-0002-0000-0400-000006000000}">
          <x14:formula1>
            <xm:f>DropDownMenu!$H$2:$H$564</xm:f>
          </x14:formula1>
          <xm:sqref>H2:H32 H40:H4993</xm:sqref>
        </x14:dataValidation>
        <x14:dataValidation type="list" allowBlank="1" xr:uid="{00000000-0002-0000-0400-000007000000}">
          <x14:formula1>
            <xm:f>DropDownMenu!$I$2:$I$352</xm:f>
          </x14:formula1>
          <xm:sqref>I2:I32 I40:I4993</xm:sqref>
        </x14:dataValidation>
        <x14:dataValidation type="list" allowBlank="1" xr:uid="{00000000-0002-0000-0400-000008000000}">
          <x14:formula1>
            <xm:f>DropDownMenu!$J$2:$J$10</xm:f>
          </x14:formula1>
          <xm:sqref>J2:J32 J40:J4993</xm:sqref>
        </x14:dataValidation>
        <x14:dataValidation type="list" allowBlank="1" xr:uid="{00000000-0002-0000-0400-000009000000}">
          <x14:formula1>
            <xm:f>DropDownMenu!$K$2:$K$101</xm:f>
          </x14:formula1>
          <xm:sqref>K2:K32 K40:K4993</xm:sqref>
        </x14:dataValidation>
        <x14:dataValidation type="list" allowBlank="1" xr:uid="{00000000-0002-0000-0400-00000A000000}">
          <x14:formula1>
            <xm:f>DropDownMenu!$L$2:$L$42</xm:f>
          </x14:formula1>
          <xm:sqref>L2:L32 L40:L4993</xm:sqref>
        </x14:dataValidation>
        <x14:dataValidation type="list" allowBlank="1" xr:uid="{00000000-0002-0000-0400-00000B000000}">
          <x14:formula1>
            <xm:f>DropDownMenu!$M$2:$M$16</xm:f>
          </x14:formula1>
          <xm:sqref>M2:M32 M40:M4993</xm:sqref>
        </x14:dataValidation>
        <x14:dataValidation type="list" allowBlank="1" xr:uid="{00000000-0002-0000-0400-00000C000000}">
          <x14:formula1>
            <xm:f>DropDownMenu!$N$2:$N$140</xm:f>
          </x14:formula1>
          <xm:sqref>N2:N32 N40:N4993</xm:sqref>
        </x14:dataValidation>
        <x14:dataValidation type="list" allowBlank="1" xr:uid="{00000000-0002-0000-0400-00000D000000}">
          <x14:formula1>
            <xm:f>DropDownMenu!$O$2:$O$65</xm:f>
          </x14:formula1>
          <xm:sqref>O2:O32 O40:O4993</xm:sqref>
        </x14:dataValidation>
        <x14:dataValidation type="list" allowBlank="1" xr:uid="{00000000-0002-0000-0400-00000E000000}">
          <x14:formula1>
            <xm:f>DropDownMenu!$P$2:$P$45</xm:f>
          </x14:formula1>
          <xm:sqref>Q2:Q32 Q40:Q4993</xm:sqref>
        </x14:dataValidation>
        <x14:dataValidation type="list" allowBlank="1" xr:uid="{00000000-0002-0000-0400-00000F000000}">
          <x14:formula1>
            <xm:f>DropDownMenu!$Q$2:$Q$5</xm:f>
          </x14:formula1>
          <xm:sqref>R2:R32 R40:R4993</xm:sqref>
        </x14:dataValidation>
        <x14:dataValidation type="list" allowBlank="1" xr:uid="{00000000-0002-0000-0400-000010000000}">
          <x14:formula1>
            <xm:f>DropDownMenu!$R$2:$R$7</xm:f>
          </x14:formula1>
          <xm:sqref>S40:S4993 S2:S32</xm:sqref>
        </x14:dataValidation>
        <x14:dataValidation type="list" allowBlank="1" xr:uid="{00000000-0002-0000-0400-000011000000}">
          <x14:formula1>
            <xm:f>DropDownMenu!$S$2:$S$11</xm:f>
          </x14:formula1>
          <xm:sqref>T2:T32 T40:T4993</xm:sqref>
        </x14:dataValidation>
        <x14:dataValidation type="list" allowBlank="1" xr:uid="{00000000-0002-0000-0400-000012000000}">
          <x14:formula1>
            <xm:f>DropDownMenu!$T$2:$T$13</xm:f>
          </x14:formula1>
          <xm:sqref>U2:U32 U40:U4993</xm:sqref>
        </x14:dataValidation>
        <x14:dataValidation type="list" allowBlank="1" xr:uid="{00000000-0002-0000-0400-000013000000}">
          <x14:formula1>
            <xm:f>DropDownMenu!$U$2:$U$5</xm:f>
          </x14:formula1>
          <xm:sqref>CR2:CR32 CR40:CR4993</xm:sqref>
        </x14:dataValidation>
        <x14:dataValidation type="list" allowBlank="1" xr:uid="{00000000-0002-0000-0400-000014000000}">
          <x14:formula1>
            <xm:f>DropDownMenu!$V$2:$V$4</xm:f>
          </x14:formula1>
          <xm:sqref>V2:V32 V40:V4993</xm:sqref>
        </x14:dataValidation>
        <x14:dataValidation type="list" allowBlank="1" xr:uid="{00000000-0002-0000-0400-000015000000}">
          <x14:formula1>
            <xm:f>DropDownMenu!$W$2:$W$6</xm:f>
          </x14:formula1>
          <xm:sqref>CU2:CU32 CU40:CU4993</xm:sqref>
        </x14:dataValidation>
        <x14:dataValidation type="list" allowBlank="1" xr:uid="{00000000-0002-0000-0400-000016000000}">
          <x14:formula1>
            <xm:f>DropDownMenu!$X$2:$X$26</xm:f>
          </x14:formula1>
          <xm:sqref>W2:W32 W40:W4993</xm:sqref>
        </x14:dataValidation>
        <x14:dataValidation type="list" allowBlank="1" xr:uid="{00000000-0002-0000-0400-000017000000}">
          <x14:formula1>
            <xm:f>DropDownMenu!$Y$2:$Y$7</xm:f>
          </x14:formula1>
          <xm:sqref>X2:X32 X40:X4993</xm:sqref>
        </x14:dataValidation>
        <x14:dataValidation type="list" allowBlank="1" xr:uid="{00000000-0002-0000-0400-000018000000}">
          <x14:formula1>
            <xm:f>DropDownMenu!$Z$2:$Z$15</xm:f>
          </x14:formula1>
          <xm:sqref>Y2:Y32 Y40:Y4993</xm:sqref>
        </x14:dataValidation>
        <x14:dataValidation type="list" allowBlank="1" xr:uid="{00000000-0002-0000-0400-000019000000}">
          <x14:formula1>
            <xm:f>DropDownMenu!$AA$2:$AA$6</xm:f>
          </x14:formula1>
          <xm:sqref>Z2:Z32 Z40:Z4993</xm:sqref>
        </x14:dataValidation>
        <x14:dataValidation type="list" allowBlank="1" xr:uid="{00000000-0002-0000-0400-00001A000000}">
          <x14:formula1>
            <xm:f>DropDownMenu!$AB$2:$AB$7</xm:f>
          </x14:formula1>
          <xm:sqref>AD2:AD3 AA2:AA32 AA40:AA4993</xm:sqref>
        </x14:dataValidation>
        <x14:dataValidation type="list" allowBlank="1" xr:uid="{00000000-0002-0000-0400-00001B000000}">
          <x14:formula1>
            <xm:f>DropDownMenu!$AC$2:$AC$49</xm:f>
          </x14:formula1>
          <xm:sqref>AD4:AD32 AD40:AD4993</xm:sqref>
        </x14:dataValidation>
        <x14:dataValidation type="list" allowBlank="1" xr:uid="{00000000-0002-0000-0400-00001C000000}">
          <x14:formula1>
            <xm:f>DropDownMenu!$AD$2:$AD$52</xm:f>
          </x14:formula1>
          <xm:sqref>AE4 AE8:AE32 AE40:AE4993</xm:sqref>
        </x14:dataValidation>
        <x14:dataValidation type="list" allowBlank="1" xr:uid="{00000000-0002-0000-0400-00001D000000}">
          <x14:formula1>
            <xm:f>DropDownMenu!$AE$2:$AE$9</xm:f>
          </x14:formula1>
          <xm:sqref>AE5:AE7 AE2:AE3 AH2:AH32 AH40:AH4993</xm:sqref>
        </x14:dataValidation>
        <x14:dataValidation type="list" allowBlank="1" xr:uid="{00000000-0002-0000-0400-00001E000000}">
          <x14:formula1>
            <xm:f>DropDownMenu!$AF$2:$AF$6</xm:f>
          </x14:formula1>
          <xm:sqref>AI2:AI32 AI40:AI4993</xm:sqref>
        </x14:dataValidation>
        <x14:dataValidation type="list" allowBlank="1" xr:uid="{00000000-0002-0000-0400-00001F000000}">
          <x14:formula1>
            <xm:f>DropDownMenu!$AG$2:$AG$11</xm:f>
          </x14:formula1>
          <xm:sqref>AJ2:AJ32 AJ40:AJ4993</xm:sqref>
        </x14:dataValidation>
        <x14:dataValidation type="list" allowBlank="1" xr:uid="{00000000-0002-0000-0400-000020000000}">
          <x14:formula1>
            <xm:f>DropDownMenu!$AH$2:$AH$2</xm:f>
          </x14:formula1>
          <xm:sqref>AK2:AK32 AK40:AK4993</xm:sqref>
        </x14:dataValidation>
        <x14:dataValidation type="list" allowBlank="1" xr:uid="{00000000-0002-0000-0400-000021000000}">
          <x14:formula1>
            <xm:f>DropDownMenu!$AI$2:$AI$2</xm:f>
          </x14:formula1>
          <xm:sqref>AL2:AL32 AL40:AL4993</xm:sqref>
        </x14:dataValidation>
        <x14:dataValidation type="list" allowBlank="1" xr:uid="{00000000-0002-0000-0400-000022000000}">
          <x14:formula1>
            <xm:f>DropDownMenu!$AJ$2:$AJ$2</xm:f>
          </x14:formula1>
          <xm:sqref>AM2:AM32 AM40:AM4993</xm:sqref>
        </x14:dataValidation>
        <x14:dataValidation type="list" allowBlank="1" xr:uid="{00000000-0002-0000-0400-000023000000}">
          <x14:formula1>
            <xm:f>DropDownMenu!$AK$2:$AK$2</xm:f>
          </x14:formula1>
          <xm:sqref>AN2:AN32 AN40:AN4993</xm:sqref>
        </x14:dataValidation>
        <x14:dataValidation type="list" allowBlank="1" xr:uid="{00000000-0002-0000-0400-000024000000}">
          <x14:formula1>
            <xm:f>DropDownMenu!$AL$2:$AL$2</xm:f>
          </x14:formula1>
          <xm:sqref>AO2:AO32 AO40:AO4993</xm:sqref>
        </x14:dataValidation>
        <x14:dataValidation type="list" allowBlank="1" xr:uid="{00000000-0002-0000-0400-000025000000}">
          <x14:formula1>
            <xm:f>DropDownMenu!$AM$2:$AM$5</xm:f>
          </x14:formula1>
          <xm:sqref>CS2:CS32 CS40:CS4993</xm:sqref>
        </x14:dataValidation>
        <x14:dataValidation type="list" allowBlank="1" xr:uid="{00000000-0002-0000-0400-000026000000}">
          <x14:formula1>
            <xm:f>DropDownMenu!$AN$2:$AN$13</xm:f>
          </x14:formula1>
          <xm:sqref>AR2:AR32 AR40:AR4993</xm:sqref>
        </x14:dataValidation>
        <x14:dataValidation type="list" allowBlank="1" xr:uid="{00000000-0002-0000-0400-000027000000}">
          <x14:formula1>
            <xm:f>DropDownMenu!$AO$2:$AO$40</xm:f>
          </x14:formula1>
          <xm:sqref>AS2:AS32 AS40:AS4993</xm:sqref>
        </x14:dataValidation>
        <x14:dataValidation type="list" allowBlank="1" xr:uid="{00000000-0002-0000-0400-000028000000}">
          <x14:formula1>
            <xm:f>DropDownMenu!$AP$2:$AP$274</xm:f>
          </x14:formula1>
          <xm:sqref>AT2:AT32 AT40:AT4993</xm:sqref>
        </x14:dataValidation>
        <x14:dataValidation type="list" allowBlank="1" xr:uid="{00000000-0002-0000-0400-000029000000}">
          <x14:formula1>
            <xm:f>DropDownMenu!$AQ$2:$AQ$9</xm:f>
          </x14:formula1>
          <xm:sqref>BB2:BB32 BB40:BB4993</xm:sqref>
        </x14:dataValidation>
        <x14:dataValidation type="list" allowBlank="1" xr:uid="{00000000-0002-0000-0400-00002A000000}">
          <x14:formula1>
            <xm:f>DropDownMenu!$AR$2:$AR$11</xm:f>
          </x14:formula1>
          <xm:sqref>BC2:BC32 BC40:BC4993</xm:sqref>
        </x14:dataValidation>
        <x14:dataValidation type="list" allowBlank="1" xr:uid="{00000000-0002-0000-0400-00002B000000}">
          <x14:formula1>
            <xm:f>DropDownMenu!$AS$2:$AS$3</xm:f>
          </x14:formula1>
          <xm:sqref>BD2:BD32 BD40:BD4993</xm:sqref>
        </x14:dataValidation>
        <x14:dataValidation type="list" allowBlank="1" xr:uid="{00000000-0002-0000-0400-00002C000000}">
          <x14:formula1>
            <xm:f>DropDownMenu!$AT$2:$AT$4</xm:f>
          </x14:formula1>
          <xm:sqref>BE2:BE32 BE40:BE4993</xm:sqref>
        </x14:dataValidation>
        <x14:dataValidation type="list" allowBlank="1" xr:uid="{00000000-0002-0000-0400-00002D000000}">
          <x14:formula1>
            <xm:f>DropDownMenu!$AU$2:$AU$2</xm:f>
          </x14:formula1>
          <xm:sqref>BG2:BG32 BG40:BG4993</xm:sqref>
        </x14:dataValidation>
        <x14:dataValidation type="list" allowBlank="1" xr:uid="{00000000-0002-0000-0400-00002E000000}">
          <x14:formula1>
            <xm:f>DropDownMenu!$AV$2:$AV$9</xm:f>
          </x14:formula1>
          <xm:sqref>BH2:BH32 BH40:BH4993</xm:sqref>
        </x14:dataValidation>
        <x14:dataValidation type="list" allowBlank="1" xr:uid="{00000000-0002-0000-0400-00002F000000}">
          <x14:formula1>
            <xm:f>DropDownMenu!$AW$2:$AW$81</xm:f>
          </x14:formula1>
          <xm:sqref>BI2:BI32 BI40:BI4993</xm:sqref>
        </x14:dataValidation>
        <x14:dataValidation type="list" allowBlank="1" xr:uid="{00000000-0002-0000-0400-000030000000}">
          <x14:formula1>
            <xm:f>DropDownMenu!$AX$2:$AX$3</xm:f>
          </x14:formula1>
          <xm:sqref>BJ2:BJ32 BJ40:BJ4993</xm:sqref>
        </x14:dataValidation>
        <x14:dataValidation type="list" allowBlank="1" xr:uid="{00000000-0002-0000-0400-000031000000}">
          <x14:formula1>
            <xm:f>DropDownMenu!$AY$2:$AY$7</xm:f>
          </x14:formula1>
          <xm:sqref>BK2:BK32 BK40:BK4993</xm:sqref>
        </x14:dataValidation>
        <x14:dataValidation type="list" allowBlank="1" xr:uid="{00000000-0002-0000-0400-000032000000}">
          <x14:formula1>
            <xm:f>DropDownMenu!$AZ$2:$AZ$9</xm:f>
          </x14:formula1>
          <xm:sqref>BL2:BL32 BL40:BL4993</xm:sqref>
        </x14:dataValidation>
        <x14:dataValidation type="list" allowBlank="1" xr:uid="{00000000-0002-0000-0400-000033000000}">
          <x14:formula1>
            <xm:f>DropDownMenu!$BA$2:$BA$9</xm:f>
          </x14:formula1>
          <xm:sqref>BM2:BM32 BM40:BM4993</xm:sqref>
        </x14:dataValidation>
        <x14:dataValidation type="list" allowBlank="1" xr:uid="{00000000-0002-0000-0400-000034000000}">
          <x14:formula1>
            <xm:f>DropDownMenu!$BB$2:$BB$3</xm:f>
          </x14:formula1>
          <xm:sqref>BN2:BN32 BN40:BN4993</xm:sqref>
        </x14:dataValidation>
        <x14:dataValidation type="list" allowBlank="1" xr:uid="{00000000-0002-0000-0400-000035000000}">
          <x14:formula1>
            <xm:f>DropDownMenu!$BC$2:$BC$2</xm:f>
          </x14:formula1>
          <xm:sqref>BO2:BO32 BO40:BO4993</xm:sqref>
        </x14:dataValidation>
        <x14:dataValidation type="list" allowBlank="1" xr:uid="{00000000-0002-0000-0400-000036000000}">
          <x14:formula1>
            <xm:f>DropDownMenu!$BD$2:$BD$29</xm:f>
          </x14:formula1>
          <xm:sqref>BQ2:BQ32 BQ40:BQ4993</xm:sqref>
        </x14:dataValidation>
        <x14:dataValidation type="list" allowBlank="1" xr:uid="{00000000-0002-0000-0400-000037000000}">
          <x14:formula1>
            <xm:f>DropDownMenu!$BE$2:$BE$2</xm:f>
          </x14:formula1>
          <xm:sqref>BT2:BT32 BT40:BT4993</xm:sqref>
        </x14:dataValidation>
        <x14:dataValidation type="list" allowBlank="1" xr:uid="{00000000-0002-0000-0400-000038000000}">
          <x14:formula1>
            <xm:f>DropDownMenu!$BF$2:$BF$33</xm:f>
          </x14:formula1>
          <xm:sqref>BU2:BU32 BU40:BU4993</xm:sqref>
        </x14:dataValidation>
        <x14:dataValidation type="list" allowBlank="1" xr:uid="{00000000-0002-0000-0400-000039000000}">
          <x14:formula1>
            <xm:f>DropDownMenu!$BG$2:$BG$2</xm:f>
          </x14:formula1>
          <xm:sqref>BV2:BV32 BV40:BV4993</xm:sqref>
        </x14:dataValidation>
        <x14:dataValidation type="list" allowBlank="1" xr:uid="{00000000-0002-0000-0400-00003A000000}">
          <x14:formula1>
            <xm:f>DropDownMenu!$BH$2:$BH$4</xm:f>
          </x14:formula1>
          <xm:sqref>AW2:AW32 AW40:AW4993</xm:sqref>
        </x14:dataValidation>
        <x14:dataValidation type="list" allowBlank="1" xr:uid="{00000000-0002-0000-0400-00003B000000}">
          <x14:formula1>
            <xm:f>DropDownMenu!$BI$2:$BI$2</xm:f>
          </x14:formula1>
          <xm:sqref>BW2:BW32 BW40:BW4993</xm:sqref>
        </x14:dataValidation>
        <x14:dataValidation type="list" allowBlank="1" xr:uid="{00000000-0002-0000-0400-00003C000000}">
          <x14:formula1>
            <xm:f>DropDownMenu!$BJ$2:$BJ$2</xm:f>
          </x14:formula1>
          <xm:sqref>BX2:BX32 BX40:BX4993</xm:sqref>
        </x14:dataValidation>
        <x14:dataValidation type="list" allowBlank="1" xr:uid="{00000000-0002-0000-0400-00003D000000}">
          <x14:formula1>
            <xm:f>DropDownMenu!$BK$2:$BK$2</xm:f>
          </x14:formula1>
          <xm:sqref>BY2:BY32 BY40:BY4993</xm:sqref>
        </x14:dataValidation>
        <x14:dataValidation type="list" allowBlank="1" xr:uid="{00000000-0002-0000-0400-00003E000000}">
          <x14:formula1>
            <xm:f>DropDownMenu!$BL$2:$BL$8</xm:f>
          </x14:formula1>
          <xm:sqref>BZ2:BZ32 BZ40:BZ4993</xm:sqref>
        </x14:dataValidation>
        <x14:dataValidation type="list" allowBlank="1" xr:uid="{00000000-0002-0000-0400-00003F000000}">
          <x14:formula1>
            <xm:f>DropDownMenu!$BM$2:$BM$8</xm:f>
          </x14:formula1>
          <xm:sqref>CA2:CA32 CA40:CA4993</xm:sqref>
        </x14:dataValidation>
        <x14:dataValidation type="list" allowBlank="1" xr:uid="{00000000-0002-0000-0400-000040000000}">
          <x14:formula1>
            <xm:f>DropDownMenu!$BN$2:$BN$8</xm:f>
          </x14:formula1>
          <xm:sqref>CB2:CB32 CB40:CB4993</xm:sqref>
        </x14:dataValidation>
        <x14:dataValidation type="list" allowBlank="1" xr:uid="{00000000-0002-0000-0400-000041000000}">
          <x14:formula1>
            <xm:f>DropDownMenu!$BO$2:$BO$6</xm:f>
          </x14:formula1>
          <xm:sqref>CC2:CC32 CC40:CC4993</xm:sqref>
        </x14:dataValidation>
        <x14:dataValidation type="list" allowBlank="1" xr:uid="{00000000-0002-0000-0400-000042000000}">
          <x14:formula1>
            <xm:f>DropDownMenu!$BP$2:$BP$2</xm:f>
          </x14:formula1>
          <xm:sqref>CD2:CD32 CD40:CD4993</xm:sqref>
        </x14:dataValidation>
        <x14:dataValidation type="list" allowBlank="1" xr:uid="{00000000-0002-0000-0400-000043000000}">
          <x14:formula1>
            <xm:f>DropDownMenu!$BQ$2:$BQ$2</xm:f>
          </x14:formula1>
          <xm:sqref>CE2:CE32 CE40:CE4993</xm:sqref>
        </x14:dataValidation>
        <x14:dataValidation type="list" allowBlank="1" xr:uid="{00000000-0002-0000-0400-000044000000}">
          <x14:formula1>
            <xm:f>DropDownMenu!$BR$2:$BR$2</xm:f>
          </x14:formula1>
          <xm:sqref>CF2:CF32 CF40:CF4993</xm:sqref>
        </x14:dataValidation>
        <x14:dataValidation type="list" allowBlank="1" xr:uid="{00000000-0002-0000-0400-000045000000}">
          <x14:formula1>
            <xm:f>DropDownMenu!$BS$2:$BS$2</xm:f>
          </x14:formula1>
          <xm:sqref>CG2:CG32 CG40:CG4993</xm:sqref>
        </x14:dataValidation>
        <x14:dataValidation type="list" allowBlank="1" xr:uid="{00000000-0002-0000-0400-000046000000}">
          <x14:formula1>
            <xm:f>DropDownMenu!$BT$2:$BT$2</xm:f>
          </x14:formula1>
          <xm:sqref>CH2:CH32 CH40:CH4993</xm:sqref>
        </x14:dataValidation>
        <x14:dataValidation type="list" allowBlank="1" xr:uid="{00000000-0002-0000-0400-000047000000}">
          <x14:formula1>
            <xm:f>DropDownMenu!$BU$2:$BU$2</xm:f>
          </x14:formula1>
          <xm:sqref>CN2:CN32 CN40:CN4993</xm:sqref>
        </x14:dataValidation>
        <x14:dataValidation type="list" allowBlank="1" xr:uid="{00000000-0002-0000-0400-000048000000}">
          <x14:formula1>
            <xm:f>DropDownMenu!$BV$2:$BV$2</xm:f>
          </x14:formula1>
          <xm:sqref>CO2:CO32 CO40:CO4993</xm:sqref>
        </x14:dataValidation>
        <x14:dataValidation type="list" allowBlank="1" xr:uid="{00000000-0002-0000-0400-000049000000}">
          <x14:formula1>
            <xm:f>DropDownMenu!$BW$2:$BW$2</xm:f>
          </x14:formula1>
          <xm:sqref>CQ2:CQ32 CQ40:CQ4993</xm:sqref>
        </x14:dataValidation>
        <x14:dataValidation type="list" allowBlank="1" xr:uid="{00000000-0002-0000-0400-00004A000000}">
          <x14:formula1>
            <xm:f>DropDownMenu!$BX$2:$BX$2</xm:f>
          </x14:formula1>
          <xm:sqref>CT2:CT32 CT40:CT4993</xm:sqref>
        </x14:dataValidation>
        <x14:dataValidation type="list" allowBlank="1" xr:uid="{00000000-0002-0000-0400-00004B000000}">
          <x14:formula1>
            <xm:f>DropDownMenu!$BY$2:$BY$77</xm:f>
          </x14:formula1>
          <xm:sqref>AU2:AU32 AU40:AU4993</xm:sqref>
        </x14:dataValidation>
        <x14:dataValidation type="list" allowBlank="1" xr:uid="{00000000-0002-0000-0400-00004C000000}">
          <x14:formula1>
            <xm:f>DropDownMenu!$BZ$2:$BZ$3</xm:f>
          </x14:formula1>
          <xm:sqref>CV2:CV32 CV40:CV4993</xm:sqref>
        </x14:dataValidation>
        <x14:dataValidation type="list" allowBlank="1" xr:uid="{00000000-0002-0000-0400-00004D000000}">
          <x14:formula1>
            <xm:f>DropDownMenu!$CA$2:$CA$77</xm:f>
          </x14:formula1>
          <xm:sqref>AV2:AV32 AV40:AV4993</xm:sqref>
        </x14:dataValidation>
        <x14:dataValidation type="list" allowBlank="1" xr:uid="{00000000-0002-0000-0400-00004E000000}">
          <x14:formula1>
            <xm:f>DropDownMenu!$CB$2:$CB$3</xm:f>
          </x14:formula1>
          <xm:sqref>AX40:AX4993 AX2:AX32</xm:sqref>
        </x14:dataValidation>
        <x14:dataValidation type="list" allowBlank="1" xr:uid="{00000000-0002-0000-0400-00004F000000}">
          <x14:formula1>
            <xm:f>DropDownMenu!$CC$2:$CC$3</xm:f>
          </x14:formula1>
          <xm:sqref>AY2:AY32 AY40:AY4993</xm:sqref>
        </x14:dataValidation>
        <x14:dataValidation type="list" allowBlank="1" xr:uid="{00000000-0002-0000-0400-000050000000}">
          <x14:formula1>
            <xm:f>DropDownMenu!$CD$2:$CD$10</xm:f>
          </x14:formula1>
          <xm:sqref>BA2:BA32 BA40:BA4993</xm:sqref>
        </x14:dataValidation>
        <x14:dataValidation type="list" allowBlank="1" showInputMessage="1" showErrorMessage="1" xr:uid="{00000000-0002-0000-0400-000057000000}">
          <x14:formula1>
            <xm:f>DropDownMenu!$H$2:$H$564</xm:f>
          </x14:formula1>
          <xm:sqref>H2:H32 H40:H4993</xm:sqref>
        </x14:dataValidation>
        <x14:dataValidation type="list" allowBlank="1" showInputMessage="1" showErrorMessage="1" xr:uid="{00000000-0002-0000-0400-000058000000}">
          <x14:formula1>
            <xm:f>DropDownMenu!$I$2:$I$352</xm:f>
          </x14:formula1>
          <xm:sqref>I2:I32 I40:I4993</xm:sqref>
        </x14:dataValidation>
        <x14:dataValidation type="list" allowBlank="1" showInputMessage="1" showErrorMessage="1" xr:uid="{00000000-0002-0000-0400-000059000000}">
          <x14:formula1>
            <xm:f>DropDownMenu!$J$2:$J$10</xm:f>
          </x14:formula1>
          <xm:sqref>J2:J32 J40:J4993</xm:sqref>
        </x14:dataValidation>
        <x14:dataValidation type="list" allowBlank="1" showInputMessage="1" showErrorMessage="1" xr:uid="{00000000-0002-0000-0400-00005A000000}">
          <x14:formula1>
            <xm:f>DropDownMenu!$K$2:$K$101</xm:f>
          </x14:formula1>
          <xm:sqref>K2:K32 K40:K4993</xm:sqref>
        </x14:dataValidation>
        <x14:dataValidation type="list" allowBlank="1" showInputMessage="1" showErrorMessage="1" xr:uid="{00000000-0002-0000-0400-00005B000000}">
          <x14:formula1>
            <xm:f>DropDownMenu!$L$2:$L$42</xm:f>
          </x14:formula1>
          <xm:sqref>L2:L32 L40:L4993</xm:sqref>
        </x14:dataValidation>
        <x14:dataValidation type="list" allowBlank="1" showInputMessage="1" showErrorMessage="1" xr:uid="{00000000-0002-0000-0400-00005C000000}">
          <x14:formula1>
            <xm:f>DropDownMenu!$M$2:$M$16</xm:f>
          </x14:formula1>
          <xm:sqref>M2:M32 M40:M4993</xm:sqref>
        </x14:dataValidation>
        <x14:dataValidation type="list" allowBlank="1" showInputMessage="1" showErrorMessage="1" xr:uid="{00000000-0002-0000-0400-00005D000000}">
          <x14:formula1>
            <xm:f>DropDownMenu!$N$2:$N$140</xm:f>
          </x14:formula1>
          <xm:sqref>N2:N32 N40:N4993</xm:sqref>
        </x14:dataValidation>
        <x14:dataValidation type="list" allowBlank="1" showInputMessage="1" showErrorMessage="1" xr:uid="{00000000-0002-0000-0400-00005E000000}">
          <x14:formula1>
            <xm:f>DropDownMenu!$O$2:$O$65</xm:f>
          </x14:formula1>
          <xm:sqref>O2:O32 O40:O4993</xm:sqref>
        </x14:dataValidation>
        <x14:dataValidation type="list" allowBlank="1" showInputMessage="1" showErrorMessage="1" xr:uid="{00000000-0002-0000-0400-00005F000000}">
          <x14:formula1>
            <xm:f>DropDownMenu!$P$2:$P$45</xm:f>
          </x14:formula1>
          <xm:sqref>Q2:Q32 Q40:Q4993</xm:sqref>
        </x14:dataValidation>
        <x14:dataValidation type="list" allowBlank="1" showInputMessage="1" showErrorMessage="1" xr:uid="{00000000-0002-0000-0400-000060000000}">
          <x14:formula1>
            <xm:f>DropDownMenu!$Q$2:$Q$5</xm:f>
          </x14:formula1>
          <xm:sqref>R2:R32 R40:R4993</xm:sqref>
        </x14:dataValidation>
        <x14:dataValidation type="list" allowBlank="1" showInputMessage="1" showErrorMessage="1" xr:uid="{00000000-0002-0000-0400-000061000000}">
          <x14:formula1>
            <xm:f>DropDownMenu!$R$2:$R$7</xm:f>
          </x14:formula1>
          <xm:sqref>S40:S4993 S2:S32</xm:sqref>
        </x14:dataValidation>
        <x14:dataValidation type="list" allowBlank="1" showInputMessage="1" showErrorMessage="1" xr:uid="{00000000-0002-0000-0400-000062000000}">
          <x14:formula1>
            <xm:f>DropDownMenu!$S$2:$S$11</xm:f>
          </x14:formula1>
          <xm:sqref>T2:T32 T40:T4993</xm:sqref>
        </x14:dataValidation>
        <x14:dataValidation type="list" allowBlank="1" showInputMessage="1" showErrorMessage="1" xr:uid="{00000000-0002-0000-0400-000063000000}">
          <x14:formula1>
            <xm:f>DropDownMenu!$T$2:$T$13</xm:f>
          </x14:formula1>
          <xm:sqref>U2:U32 U40:U4993</xm:sqref>
        </x14:dataValidation>
        <x14:dataValidation type="list" allowBlank="1" showInputMessage="1" showErrorMessage="1" xr:uid="{00000000-0002-0000-0400-000064000000}">
          <x14:formula1>
            <xm:f>DropDownMenu!$U$2:$U$5</xm:f>
          </x14:formula1>
          <xm:sqref>CR2:CR32 CR40:CR4993</xm:sqref>
        </x14:dataValidation>
        <x14:dataValidation type="list" allowBlank="1" showInputMessage="1" showErrorMessage="1" xr:uid="{00000000-0002-0000-0400-000065000000}">
          <x14:formula1>
            <xm:f>DropDownMenu!$V$2:$V$4</xm:f>
          </x14:formula1>
          <xm:sqref>V2:V32 V40:V4993</xm:sqref>
        </x14:dataValidation>
        <x14:dataValidation type="list" allowBlank="1" showInputMessage="1" showErrorMessage="1" xr:uid="{00000000-0002-0000-0400-000066000000}">
          <x14:formula1>
            <xm:f>DropDownMenu!$W$2:$W$6</xm:f>
          </x14:formula1>
          <xm:sqref>CU2:CU32 CU40:CU4993</xm:sqref>
        </x14:dataValidation>
        <x14:dataValidation type="list" allowBlank="1" showInputMessage="1" showErrorMessage="1" xr:uid="{00000000-0002-0000-0400-000067000000}">
          <x14:formula1>
            <xm:f>DropDownMenu!$X$2:$X$26</xm:f>
          </x14:formula1>
          <xm:sqref>W2:W32 W40:W4993</xm:sqref>
        </x14:dataValidation>
        <x14:dataValidation type="list" allowBlank="1" showInputMessage="1" showErrorMessage="1" xr:uid="{00000000-0002-0000-0400-000068000000}">
          <x14:formula1>
            <xm:f>DropDownMenu!$Y$2:$Y$7</xm:f>
          </x14:formula1>
          <xm:sqref>X2:X32 X40:X4993</xm:sqref>
        </x14:dataValidation>
        <x14:dataValidation type="list" allowBlank="1" showInputMessage="1" showErrorMessage="1" xr:uid="{00000000-0002-0000-0400-000069000000}">
          <x14:formula1>
            <xm:f>DropDownMenu!$Z$2:$Z$15</xm:f>
          </x14:formula1>
          <xm:sqref>Y2:Y32 Y40:Y4993</xm:sqref>
        </x14:dataValidation>
        <x14:dataValidation type="list" allowBlank="1" showInputMessage="1" showErrorMessage="1" xr:uid="{00000000-0002-0000-0400-00006A000000}">
          <x14:formula1>
            <xm:f>DropDownMenu!$AA$2:$AA$6</xm:f>
          </x14:formula1>
          <xm:sqref>Z2:Z32 Z40:Z4993</xm:sqref>
        </x14:dataValidation>
        <x14:dataValidation type="list" allowBlank="1" showInputMessage="1" showErrorMessage="1" xr:uid="{00000000-0002-0000-0400-00006B000000}">
          <x14:formula1>
            <xm:f>DropDownMenu!$AB$2:$AB$7</xm:f>
          </x14:formula1>
          <xm:sqref>AD2:AD3 AA2:AA32 AA40:AA4993</xm:sqref>
        </x14:dataValidation>
        <x14:dataValidation type="list" allowBlank="1" showInputMessage="1" showErrorMessage="1" xr:uid="{00000000-0002-0000-0400-00006C000000}">
          <x14:formula1>
            <xm:f>DropDownMenu!$AC$2:$AC$49</xm:f>
          </x14:formula1>
          <xm:sqref>AD4:AD32 AD40:AD4993</xm:sqref>
        </x14:dataValidation>
        <x14:dataValidation type="list" allowBlank="1" showInputMessage="1" showErrorMessage="1" xr:uid="{00000000-0002-0000-0400-00006D000000}">
          <x14:formula1>
            <xm:f>DropDownMenu!$AD$2:$AD$52</xm:f>
          </x14:formula1>
          <xm:sqref>AE4 AE8:AE32 AE40:AE4993</xm:sqref>
        </x14:dataValidation>
        <x14:dataValidation type="list" allowBlank="1" showInputMessage="1" showErrorMessage="1" xr:uid="{00000000-0002-0000-0400-00006E000000}">
          <x14:formula1>
            <xm:f>DropDownMenu!$AE$2:$AE$9</xm:f>
          </x14:formula1>
          <xm:sqref>AE5:AE7 AE2:AE3 AH2:AH32 AH40:AH4993</xm:sqref>
        </x14:dataValidation>
        <x14:dataValidation type="list" allowBlank="1" showInputMessage="1" showErrorMessage="1" xr:uid="{00000000-0002-0000-0400-00006F000000}">
          <x14:formula1>
            <xm:f>DropDownMenu!$AF$2:$AF$6</xm:f>
          </x14:formula1>
          <xm:sqref>AI2:AI32 AI40:AI4993</xm:sqref>
        </x14:dataValidation>
        <x14:dataValidation type="list" allowBlank="1" showInputMessage="1" showErrorMessage="1" xr:uid="{00000000-0002-0000-0400-000070000000}">
          <x14:formula1>
            <xm:f>DropDownMenu!$AG$2:$AG$11</xm:f>
          </x14:formula1>
          <xm:sqref>AJ2:AJ32 AJ40:AJ4993</xm:sqref>
        </x14:dataValidation>
        <x14:dataValidation type="list" allowBlank="1" showInputMessage="1" showErrorMessage="1" xr:uid="{00000000-0002-0000-0400-000071000000}">
          <x14:formula1>
            <xm:f>DropDownMenu!$AH$2:$AH$2</xm:f>
          </x14:formula1>
          <xm:sqref>AK2:AK32 AK40:AK4993</xm:sqref>
        </x14:dataValidation>
        <x14:dataValidation type="list" allowBlank="1" showInputMessage="1" showErrorMessage="1" xr:uid="{00000000-0002-0000-0400-000072000000}">
          <x14:formula1>
            <xm:f>DropDownMenu!$AI$2:$AI$2</xm:f>
          </x14:formula1>
          <xm:sqref>AL2:AL32 AL40:AL4993</xm:sqref>
        </x14:dataValidation>
        <x14:dataValidation type="list" allowBlank="1" showInputMessage="1" showErrorMessage="1" xr:uid="{00000000-0002-0000-0400-000073000000}">
          <x14:formula1>
            <xm:f>DropDownMenu!$AJ$2:$AJ$2</xm:f>
          </x14:formula1>
          <xm:sqref>AM2:AM32 AM40:AM4993</xm:sqref>
        </x14:dataValidation>
        <x14:dataValidation type="list" allowBlank="1" showInputMessage="1" showErrorMessage="1" xr:uid="{00000000-0002-0000-0400-000074000000}">
          <x14:formula1>
            <xm:f>DropDownMenu!$AK$2:$AK$2</xm:f>
          </x14:formula1>
          <xm:sqref>AN2:AN32 AN40:AN4993</xm:sqref>
        </x14:dataValidation>
        <x14:dataValidation type="list" allowBlank="1" showInputMessage="1" showErrorMessage="1" xr:uid="{00000000-0002-0000-0400-000075000000}">
          <x14:formula1>
            <xm:f>DropDownMenu!$AL$2:$AL$2</xm:f>
          </x14:formula1>
          <xm:sqref>AO2:AO32 AO40:AO4993</xm:sqref>
        </x14:dataValidation>
        <x14:dataValidation type="list" allowBlank="1" showInputMessage="1" showErrorMessage="1" xr:uid="{00000000-0002-0000-0400-000076000000}">
          <x14:formula1>
            <xm:f>DropDownMenu!$AM$2:$AM$5</xm:f>
          </x14:formula1>
          <xm:sqref>CS2:CS32 CS40:CS4993</xm:sqref>
        </x14:dataValidation>
        <x14:dataValidation type="list" allowBlank="1" showInputMessage="1" showErrorMessage="1" xr:uid="{00000000-0002-0000-0400-000077000000}">
          <x14:formula1>
            <xm:f>DropDownMenu!$AN$2:$AN$13</xm:f>
          </x14:formula1>
          <xm:sqref>AR2:AR32 AR40:AR4993</xm:sqref>
        </x14:dataValidation>
        <x14:dataValidation type="list" allowBlank="1" showInputMessage="1" showErrorMessage="1" xr:uid="{00000000-0002-0000-0400-000078000000}">
          <x14:formula1>
            <xm:f>DropDownMenu!$AO$2:$AO$40</xm:f>
          </x14:formula1>
          <xm:sqref>AS2:AS32 AS40:AS4993</xm:sqref>
        </x14:dataValidation>
        <x14:dataValidation type="list" allowBlank="1" showInputMessage="1" showErrorMessage="1" xr:uid="{00000000-0002-0000-0400-000079000000}">
          <x14:formula1>
            <xm:f>DropDownMenu!$AP$2:$AP$274</xm:f>
          </x14:formula1>
          <xm:sqref>AT2:AT32 AT40:AT4993</xm:sqref>
        </x14:dataValidation>
        <x14:dataValidation type="list" allowBlank="1" showInputMessage="1" showErrorMessage="1" xr:uid="{00000000-0002-0000-0400-00007A000000}">
          <x14:formula1>
            <xm:f>DropDownMenu!$AQ$2:$AQ$9</xm:f>
          </x14:formula1>
          <xm:sqref>BB2:BB32 BB40:BB4993</xm:sqref>
        </x14:dataValidation>
        <x14:dataValidation type="list" allowBlank="1" showInputMessage="1" showErrorMessage="1" xr:uid="{00000000-0002-0000-0400-00007B000000}">
          <x14:formula1>
            <xm:f>DropDownMenu!$AR$2:$AR$11</xm:f>
          </x14:formula1>
          <xm:sqref>BC2:BC32 BC40:BC4993</xm:sqref>
        </x14:dataValidation>
        <x14:dataValidation type="list" allowBlank="1" showInputMessage="1" showErrorMessage="1" xr:uid="{00000000-0002-0000-0400-00007C000000}">
          <x14:formula1>
            <xm:f>DropDownMenu!$AS$2:$AS$3</xm:f>
          </x14:formula1>
          <xm:sqref>BD2:BD32 BD40:BD4993</xm:sqref>
        </x14:dataValidation>
        <x14:dataValidation type="list" allowBlank="1" showInputMessage="1" showErrorMessage="1" xr:uid="{00000000-0002-0000-0400-00007D000000}">
          <x14:formula1>
            <xm:f>DropDownMenu!$AT$2:$AT$4</xm:f>
          </x14:formula1>
          <xm:sqref>BE2:BE32 BE40:BE4993</xm:sqref>
        </x14:dataValidation>
        <x14:dataValidation type="list" allowBlank="1" showInputMessage="1" showErrorMessage="1" xr:uid="{00000000-0002-0000-0400-00007E000000}">
          <x14:formula1>
            <xm:f>DropDownMenu!$AU$2:$AU$2</xm:f>
          </x14:formula1>
          <xm:sqref>BG2:BG32 BG40:BG4993</xm:sqref>
        </x14:dataValidation>
        <x14:dataValidation type="list" allowBlank="1" showInputMessage="1" showErrorMessage="1" xr:uid="{00000000-0002-0000-0400-00007F000000}">
          <x14:formula1>
            <xm:f>DropDownMenu!$AV$2:$AV$9</xm:f>
          </x14:formula1>
          <xm:sqref>BH2:BH32 BH40:BH4993</xm:sqref>
        </x14:dataValidation>
        <x14:dataValidation type="list" allowBlank="1" showInputMessage="1" showErrorMessage="1" xr:uid="{00000000-0002-0000-0400-000080000000}">
          <x14:formula1>
            <xm:f>DropDownMenu!$AW$2:$AW$81</xm:f>
          </x14:formula1>
          <xm:sqref>BI2:BI32 BI40:BI4993</xm:sqref>
        </x14:dataValidation>
        <x14:dataValidation type="list" allowBlank="1" showInputMessage="1" showErrorMessage="1" xr:uid="{00000000-0002-0000-0400-000081000000}">
          <x14:formula1>
            <xm:f>DropDownMenu!$AX$2:$AX$3</xm:f>
          </x14:formula1>
          <xm:sqref>BJ2:BJ32 BJ40:BJ4993</xm:sqref>
        </x14:dataValidation>
        <x14:dataValidation type="list" allowBlank="1" showInputMessage="1" showErrorMessage="1" xr:uid="{00000000-0002-0000-0400-000082000000}">
          <x14:formula1>
            <xm:f>DropDownMenu!$AY$2:$AY$7</xm:f>
          </x14:formula1>
          <xm:sqref>BK2:BK32 BK40:BK4993</xm:sqref>
        </x14:dataValidation>
        <x14:dataValidation type="list" allowBlank="1" showInputMessage="1" showErrorMessage="1" xr:uid="{00000000-0002-0000-0400-000083000000}">
          <x14:formula1>
            <xm:f>DropDownMenu!$AZ$2:$AZ$9</xm:f>
          </x14:formula1>
          <xm:sqref>BL2:BL32 BL40:BL4993</xm:sqref>
        </x14:dataValidation>
        <x14:dataValidation type="list" allowBlank="1" showInputMessage="1" showErrorMessage="1" xr:uid="{00000000-0002-0000-0400-000084000000}">
          <x14:formula1>
            <xm:f>DropDownMenu!$BA$2:$BA$9</xm:f>
          </x14:formula1>
          <xm:sqref>BM2:BM32 BM40:BM4993</xm:sqref>
        </x14:dataValidation>
        <x14:dataValidation type="list" allowBlank="1" showInputMessage="1" showErrorMessage="1" xr:uid="{00000000-0002-0000-0400-000085000000}">
          <x14:formula1>
            <xm:f>DropDownMenu!$BB$2:$BB$3</xm:f>
          </x14:formula1>
          <xm:sqref>BN2:BN32 BN40:BN4993</xm:sqref>
        </x14:dataValidation>
        <x14:dataValidation type="list" allowBlank="1" showInputMessage="1" showErrorMessage="1" xr:uid="{00000000-0002-0000-0400-000086000000}">
          <x14:formula1>
            <xm:f>DropDownMenu!$BC$2:$BC$2</xm:f>
          </x14:formula1>
          <xm:sqref>BO2:BO32 BO40:BO4993</xm:sqref>
        </x14:dataValidation>
        <x14:dataValidation type="list" allowBlank="1" showInputMessage="1" showErrorMessage="1" xr:uid="{00000000-0002-0000-0400-000087000000}">
          <x14:formula1>
            <xm:f>DropDownMenu!$BD$2:$BD$29</xm:f>
          </x14:formula1>
          <xm:sqref>BQ2:BQ32 BQ40:BQ4993</xm:sqref>
        </x14:dataValidation>
        <x14:dataValidation type="list" allowBlank="1" showInputMessage="1" showErrorMessage="1" xr:uid="{00000000-0002-0000-0400-000088000000}">
          <x14:formula1>
            <xm:f>DropDownMenu!$BE$2:$BE$2</xm:f>
          </x14:formula1>
          <xm:sqref>BT2:BT32 BT40:BT4993</xm:sqref>
        </x14:dataValidation>
        <x14:dataValidation type="list" allowBlank="1" showInputMessage="1" showErrorMessage="1" xr:uid="{00000000-0002-0000-0400-000089000000}">
          <x14:formula1>
            <xm:f>DropDownMenu!$BF$2:$BF$33</xm:f>
          </x14:formula1>
          <xm:sqref>BU2:BU32 BU40:BU4993</xm:sqref>
        </x14:dataValidation>
        <x14:dataValidation type="list" allowBlank="1" showInputMessage="1" showErrorMessage="1" xr:uid="{00000000-0002-0000-0400-00008A000000}">
          <x14:formula1>
            <xm:f>DropDownMenu!$BG$2:$BG$2</xm:f>
          </x14:formula1>
          <xm:sqref>BV2:BV32 BV40:BV4993</xm:sqref>
        </x14:dataValidation>
        <x14:dataValidation type="list" allowBlank="1" showInputMessage="1" showErrorMessage="1" xr:uid="{00000000-0002-0000-0400-00008B000000}">
          <x14:formula1>
            <xm:f>DropDownMenu!$BH$2:$BH$4</xm:f>
          </x14:formula1>
          <xm:sqref>AW2:AW32 AW40:AW4993</xm:sqref>
        </x14:dataValidation>
        <x14:dataValidation type="list" allowBlank="1" showInputMessage="1" showErrorMessage="1" xr:uid="{00000000-0002-0000-0400-00008C000000}">
          <x14:formula1>
            <xm:f>DropDownMenu!$BI$2:$BI$2</xm:f>
          </x14:formula1>
          <xm:sqref>BW2:BW32 BW40:BW4993</xm:sqref>
        </x14:dataValidation>
        <x14:dataValidation type="list" allowBlank="1" showInputMessage="1" showErrorMessage="1" xr:uid="{00000000-0002-0000-0400-00008D000000}">
          <x14:formula1>
            <xm:f>DropDownMenu!$BJ$2:$BJ$2</xm:f>
          </x14:formula1>
          <xm:sqref>BX2:BX32 BX40:BX4993</xm:sqref>
        </x14:dataValidation>
        <x14:dataValidation type="list" allowBlank="1" showInputMessage="1" showErrorMessage="1" xr:uid="{00000000-0002-0000-0400-00008E000000}">
          <x14:formula1>
            <xm:f>DropDownMenu!$BK$2:$BK$2</xm:f>
          </x14:formula1>
          <xm:sqref>BY2:BY32 BY40:BY4993</xm:sqref>
        </x14:dataValidation>
        <x14:dataValidation type="list" allowBlank="1" showInputMessage="1" showErrorMessage="1" xr:uid="{00000000-0002-0000-0400-00008F000000}">
          <x14:formula1>
            <xm:f>DropDownMenu!$BL$2:$BL$8</xm:f>
          </x14:formula1>
          <xm:sqref>BZ2:BZ32 BZ40:BZ4993</xm:sqref>
        </x14:dataValidation>
        <x14:dataValidation type="list" allowBlank="1" showInputMessage="1" showErrorMessage="1" xr:uid="{00000000-0002-0000-0400-000090000000}">
          <x14:formula1>
            <xm:f>DropDownMenu!$BM$2:$BM$8</xm:f>
          </x14:formula1>
          <xm:sqref>CA2:CA32 CA40:CA4993</xm:sqref>
        </x14:dataValidation>
        <x14:dataValidation type="list" allowBlank="1" showInputMessage="1" showErrorMessage="1" xr:uid="{00000000-0002-0000-0400-000091000000}">
          <x14:formula1>
            <xm:f>DropDownMenu!$BN$2:$BN$8</xm:f>
          </x14:formula1>
          <xm:sqref>CB2:CB32 CB40:CB4993</xm:sqref>
        </x14:dataValidation>
        <x14:dataValidation type="list" allowBlank="1" showInputMessage="1" showErrorMessage="1" xr:uid="{00000000-0002-0000-0400-000092000000}">
          <x14:formula1>
            <xm:f>DropDownMenu!$BO$2:$BO$6</xm:f>
          </x14:formula1>
          <xm:sqref>CC2:CC32 CC40:CC4993</xm:sqref>
        </x14:dataValidation>
        <x14:dataValidation type="list" allowBlank="1" showInputMessage="1" showErrorMessage="1" xr:uid="{00000000-0002-0000-0400-000093000000}">
          <x14:formula1>
            <xm:f>DropDownMenu!$BP$2:$BP$2</xm:f>
          </x14:formula1>
          <xm:sqref>CD2:CD32 CD40:CD4993</xm:sqref>
        </x14:dataValidation>
        <x14:dataValidation type="list" allowBlank="1" showInputMessage="1" showErrorMessage="1" xr:uid="{00000000-0002-0000-0400-000094000000}">
          <x14:formula1>
            <xm:f>DropDownMenu!$BQ$2:$BQ$2</xm:f>
          </x14:formula1>
          <xm:sqref>CE2:CE32 CE40:CE4993</xm:sqref>
        </x14:dataValidation>
        <x14:dataValidation type="list" allowBlank="1" showInputMessage="1" showErrorMessage="1" xr:uid="{00000000-0002-0000-0400-000095000000}">
          <x14:formula1>
            <xm:f>DropDownMenu!$BR$2:$BR$2</xm:f>
          </x14:formula1>
          <xm:sqref>CF2:CF32 CF40:CF4993</xm:sqref>
        </x14:dataValidation>
        <x14:dataValidation type="list" allowBlank="1" showInputMessage="1" showErrorMessage="1" xr:uid="{00000000-0002-0000-0400-000096000000}">
          <x14:formula1>
            <xm:f>DropDownMenu!$BS$2:$BS$2</xm:f>
          </x14:formula1>
          <xm:sqref>CG2:CG32 CG40:CG4993</xm:sqref>
        </x14:dataValidation>
        <x14:dataValidation type="list" allowBlank="1" showInputMessage="1" showErrorMessage="1" xr:uid="{00000000-0002-0000-0400-000097000000}">
          <x14:formula1>
            <xm:f>DropDownMenu!$BT$2:$BT$2</xm:f>
          </x14:formula1>
          <xm:sqref>CH2:CH32 CH40:CH4993</xm:sqref>
        </x14:dataValidation>
        <x14:dataValidation type="list" allowBlank="1" showInputMessage="1" showErrorMessage="1" xr:uid="{00000000-0002-0000-0400-000098000000}">
          <x14:formula1>
            <xm:f>DropDownMenu!$BU$2:$BU$2</xm:f>
          </x14:formula1>
          <xm:sqref>CN2:CN32 CN40:CN4993</xm:sqref>
        </x14:dataValidation>
        <x14:dataValidation type="list" allowBlank="1" showInputMessage="1" showErrorMessage="1" xr:uid="{00000000-0002-0000-0400-000099000000}">
          <x14:formula1>
            <xm:f>DropDownMenu!$BV$2:$BV$2</xm:f>
          </x14:formula1>
          <xm:sqref>CO2:CO32 CO40:CO4993</xm:sqref>
        </x14:dataValidation>
        <x14:dataValidation type="list" allowBlank="1" showInputMessage="1" showErrorMessage="1" xr:uid="{00000000-0002-0000-0400-00009A000000}">
          <x14:formula1>
            <xm:f>DropDownMenu!$BW$2:$BW$2</xm:f>
          </x14:formula1>
          <xm:sqref>CQ2:CQ32 CQ40:CQ4993</xm:sqref>
        </x14:dataValidation>
        <x14:dataValidation type="list" allowBlank="1" showInputMessage="1" showErrorMessage="1" xr:uid="{00000000-0002-0000-0400-00009B000000}">
          <x14:formula1>
            <xm:f>DropDownMenu!$BX$2:$BX$2</xm:f>
          </x14:formula1>
          <xm:sqref>CT2:CT32 CT40:CT4993</xm:sqref>
        </x14:dataValidation>
        <x14:dataValidation type="list" allowBlank="1" showInputMessage="1" showErrorMessage="1" xr:uid="{00000000-0002-0000-0400-00009C000000}">
          <x14:formula1>
            <xm:f>DropDownMenu!$BY$2:$BY$77</xm:f>
          </x14:formula1>
          <xm:sqref>AU2:AU32 AU40:AU4993</xm:sqref>
        </x14:dataValidation>
        <x14:dataValidation type="list" allowBlank="1" showInputMessage="1" showErrorMessage="1" xr:uid="{00000000-0002-0000-0400-00009D000000}">
          <x14:formula1>
            <xm:f>DropDownMenu!$BZ$2:$BZ$3</xm:f>
          </x14:formula1>
          <xm:sqref>CV2:CV32 CV40:CV4993</xm:sqref>
        </x14:dataValidation>
        <x14:dataValidation type="list" allowBlank="1" showInputMessage="1" showErrorMessage="1" xr:uid="{00000000-0002-0000-0400-00009E000000}">
          <x14:formula1>
            <xm:f>DropDownMenu!$CA$2:$CA$77</xm:f>
          </x14:formula1>
          <xm:sqref>AV2:AV32 AV40:AV4993</xm:sqref>
        </x14:dataValidation>
        <x14:dataValidation type="list" allowBlank="1" showInputMessage="1" showErrorMessage="1" xr:uid="{00000000-0002-0000-0400-00009F000000}">
          <x14:formula1>
            <xm:f>DropDownMenu!$CB$2:$CB$3</xm:f>
          </x14:formula1>
          <xm:sqref>AX40:AX4993 AX2:AX32</xm:sqref>
        </x14:dataValidation>
        <x14:dataValidation type="list" allowBlank="1" showInputMessage="1" showErrorMessage="1" xr:uid="{00000000-0002-0000-0400-0000A0000000}">
          <x14:formula1>
            <xm:f>DropDownMenu!$CC$2:$CC$3</xm:f>
          </x14:formula1>
          <xm:sqref>AY2:AY32 AY40:AY4993</xm:sqref>
        </x14:dataValidation>
        <x14:dataValidation type="list" allowBlank="1" showInputMessage="1" showErrorMessage="1" xr:uid="{00000000-0002-0000-0400-0000A1000000}">
          <x14:formula1>
            <xm:f>DropDownMenu!$CD$2:$CD$10</xm:f>
          </x14:formula1>
          <xm:sqref>BA2:BA32 BA40:BA4993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66FF"/>
    <outlinePr applyStyles="1" summaryRight="0"/>
  </sheetPr>
  <dimension ref="A1:CV69"/>
  <sheetViews>
    <sheetView workbookViewId="0">
      <pane xSplit="14" topLeftCell="O1" activePane="topRight" state="frozen"/>
      <selection pane="topRight" activeCell="G70" sqref="G70"/>
    </sheetView>
  </sheetViews>
  <sheetFormatPr baseColWidth="10" defaultColWidth="8.83203125" defaultRowHeight="15" outlineLevelCol="1" x14ac:dyDescent="0.2"/>
  <cols>
    <col min="1" max="6" width="4" customWidth="1"/>
    <col min="7" max="7" width="40" customWidth="1"/>
    <col min="8" max="8" width="9" customWidth="1"/>
    <col min="9" max="9" width="8.5" style="23" customWidth="1"/>
    <col min="10" max="10" width="6" customWidth="1"/>
    <col min="11" max="12" width="5" customWidth="1"/>
    <col min="13" max="13" width="4" customWidth="1"/>
    <col min="14" max="14" width="33" customWidth="1"/>
    <col min="15" max="15" width="32" customWidth="1"/>
    <col min="16" max="16" width="37" customWidth="1"/>
    <col min="17" max="17" width="5" customWidth="1" outlineLevel="1"/>
    <col min="18" max="18" width="4" customWidth="1" outlineLevel="1"/>
    <col min="19" max="19" width="5.83203125" customWidth="1" outlineLevel="1"/>
    <col min="20" max="20" width="7.5" customWidth="1" outlineLevel="1"/>
    <col min="21" max="22" width="7" customWidth="1" outlineLevel="1"/>
    <col min="23" max="23" width="7.5" customWidth="1"/>
    <col min="24" max="24" width="20" customWidth="1" outlineLevel="1"/>
    <col min="25" max="26" width="6" customWidth="1" outlineLevel="1"/>
    <col min="27" max="27" width="10" customWidth="1"/>
    <col min="28" max="34" width="10" customWidth="1" outlineLevel="1"/>
    <col min="35" max="35" width="6" customWidth="1"/>
    <col min="36" max="36" width="6" customWidth="1" outlineLevel="1"/>
    <col min="37" max="43" width="4" customWidth="1" outlineLevel="1"/>
    <col min="44" max="44" width="6" customWidth="1" outlineLevel="1"/>
    <col min="45" max="45" width="25" customWidth="1" outlineLevel="1"/>
    <col min="46" max="47" width="20" customWidth="1" outlineLevel="1"/>
    <col min="48" max="48" width="10" customWidth="1" outlineLevel="1"/>
    <col min="49" max="49" width="5" customWidth="1" outlineLevel="1"/>
    <col min="50" max="50" width="8.33203125" customWidth="1"/>
    <col min="51" max="51" width="8.1640625" customWidth="1" outlineLevel="1"/>
    <col min="52" max="52" width="6.83203125" customWidth="1" outlineLevel="1"/>
    <col min="53" max="53" width="20" customWidth="1" outlineLevel="1"/>
    <col min="54" max="54" width="4" customWidth="1"/>
    <col min="55" max="59" width="4" customWidth="1" outlineLevel="1"/>
    <col min="60" max="60" width="6" customWidth="1" outlineLevel="1"/>
    <col min="61" max="61" width="11" customWidth="1" outlineLevel="1"/>
    <col min="62" max="64" width="4" customWidth="1" outlineLevel="1"/>
    <col min="65" max="65" width="11" customWidth="1" outlineLevel="1"/>
    <col min="66" max="66" width="4" customWidth="1" outlineLevel="1"/>
    <col min="67" max="67" width="7" customWidth="1" outlineLevel="1"/>
    <col min="68" max="68" width="4" customWidth="1" outlineLevel="1"/>
    <col min="69" max="69" width="11" customWidth="1" outlineLevel="1"/>
    <col min="70" max="76" width="4" customWidth="1" outlineLevel="1"/>
    <col min="77" max="80" width="11" customWidth="1" outlineLevel="1"/>
    <col min="81" max="81" width="4" customWidth="1" outlineLevel="1"/>
    <col min="82" max="82" width="6" customWidth="1" outlineLevel="1"/>
    <col min="83" max="96" width="4" customWidth="1" outlineLevel="1"/>
    <col min="97" max="97" width="6" customWidth="1" outlineLevel="1"/>
    <col min="98" max="98" width="8" customWidth="1" outlineLevel="1"/>
    <col min="99" max="100" width="4" customWidth="1" outlineLevel="1"/>
  </cols>
  <sheetData>
    <row r="1" spans="1:100" ht="15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 t="s">
        <v>22</v>
      </c>
      <c r="X1" s="1" t="s">
        <v>23</v>
      </c>
      <c r="Y1" s="1" t="s">
        <v>24</v>
      </c>
      <c r="Z1" s="1" t="s">
        <v>25</v>
      </c>
      <c r="AA1" s="3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</row>
    <row r="2" spans="1:100" x14ac:dyDescent="0.2">
      <c r="A2" s="62" t="b">
        <v>0</v>
      </c>
      <c r="B2" s="62" t="b">
        <v>0</v>
      </c>
      <c r="C2" s="62" t="b">
        <v>1</v>
      </c>
      <c r="D2" s="62" t="b">
        <v>0</v>
      </c>
      <c r="E2" s="62" t="b">
        <v>0</v>
      </c>
      <c r="F2" s="62" t="b">
        <v>0</v>
      </c>
      <c r="G2" s="60" t="s">
        <v>890</v>
      </c>
      <c r="H2" s="143"/>
      <c r="I2" s="145">
        <v>4383</v>
      </c>
      <c r="J2" s="143" t="s">
        <v>891</v>
      </c>
      <c r="K2" s="4">
        <v>885</v>
      </c>
      <c r="L2" s="143" t="s">
        <v>560</v>
      </c>
      <c r="M2" s="143"/>
      <c r="N2" s="143" t="s">
        <v>892</v>
      </c>
      <c r="O2" s="143"/>
      <c r="P2" s="144" t="s">
        <v>893</v>
      </c>
      <c r="Q2" s="143"/>
      <c r="R2" s="143">
        <v>0</v>
      </c>
      <c r="S2" s="143"/>
      <c r="T2" s="143" t="s">
        <v>139</v>
      </c>
      <c r="U2" s="143" t="s">
        <v>140</v>
      </c>
      <c r="V2" s="143"/>
      <c r="W2" s="146" t="s">
        <v>247</v>
      </c>
      <c r="X2" s="143" t="s">
        <v>173</v>
      </c>
      <c r="Y2" s="143">
        <v>5</v>
      </c>
      <c r="Z2" s="143" t="s">
        <v>142</v>
      </c>
      <c r="AA2" s="4" t="s">
        <v>115</v>
      </c>
      <c r="AB2" s="4"/>
      <c r="AC2" s="4"/>
      <c r="AD2" s="4" t="s">
        <v>115</v>
      </c>
      <c r="AE2" s="4" t="s">
        <v>116</v>
      </c>
      <c r="AF2" s="4"/>
      <c r="AG2" s="4"/>
      <c r="AH2" s="4" t="s">
        <v>116</v>
      </c>
      <c r="AI2" s="147">
        <v>1030</v>
      </c>
      <c r="AJ2" s="147" t="s">
        <v>358</v>
      </c>
      <c r="AK2" s="147"/>
      <c r="AL2" s="147"/>
      <c r="AM2" s="147"/>
      <c r="AN2" s="147" t="s">
        <v>177</v>
      </c>
      <c r="AO2" s="143"/>
      <c r="AP2" s="143"/>
      <c r="AQ2" s="143"/>
      <c r="AR2" s="147" t="s">
        <v>333</v>
      </c>
      <c r="AS2" s="143" t="s">
        <v>144</v>
      </c>
      <c r="AT2" s="143" t="s">
        <v>894</v>
      </c>
      <c r="AU2" s="5" t="str">
        <f>IF($AT2="","",IFERROR(INDEX(InstructorMap!$B:$B, MATCH($AT2, InstructorMap!$A:$A, 0)),""))</f>
        <v>bates@andrews.edu</v>
      </c>
      <c r="AV2" s="5" t="str">
        <f>IF($AT2="","",IFERROR(INDEX(InstructorMap!$C:$C, MATCH($AT2, InstructorMap!$A:$A, 0)),""))</f>
        <v>000095796</v>
      </c>
      <c r="AW2" s="4" t="s">
        <v>121</v>
      </c>
      <c r="AX2" s="143" t="s">
        <v>348</v>
      </c>
      <c r="AY2" s="143"/>
      <c r="AZ2" s="143"/>
      <c r="BA2" s="143"/>
      <c r="BB2" s="143"/>
      <c r="BC2" s="143"/>
      <c r="BD2" s="143"/>
      <c r="BE2" s="143"/>
      <c r="BF2" s="143"/>
      <c r="BG2" s="143"/>
      <c r="BH2" s="143"/>
      <c r="BI2" s="143"/>
      <c r="BJ2" s="143"/>
      <c r="BK2" s="143"/>
      <c r="BL2" s="143"/>
      <c r="BM2" s="143"/>
      <c r="BN2" s="143"/>
      <c r="BO2" s="143"/>
      <c r="BP2" s="143"/>
      <c r="BQ2" s="143"/>
      <c r="BR2" s="143"/>
      <c r="BS2" s="143"/>
      <c r="BT2" s="143"/>
      <c r="BU2" s="143"/>
      <c r="BV2" s="143"/>
      <c r="BW2" s="143"/>
      <c r="BX2" s="143"/>
      <c r="BY2" s="143"/>
      <c r="BZ2" s="143"/>
      <c r="CA2" s="143"/>
      <c r="CB2" s="143"/>
      <c r="CC2" s="143"/>
      <c r="CD2" s="143"/>
      <c r="CE2" s="143"/>
      <c r="CF2" s="143"/>
      <c r="CG2" s="143"/>
      <c r="CH2" s="143"/>
      <c r="CI2" s="143"/>
      <c r="CJ2" s="143"/>
      <c r="CK2" s="143"/>
      <c r="CL2" s="143"/>
      <c r="CM2" s="143"/>
      <c r="CN2" s="143"/>
      <c r="CO2" s="143"/>
      <c r="CP2" s="143"/>
      <c r="CQ2" s="143"/>
      <c r="CR2" s="143"/>
      <c r="CS2" s="143"/>
      <c r="CT2" s="143"/>
      <c r="CU2" s="143"/>
      <c r="CV2" s="143"/>
    </row>
    <row r="3" spans="1:100" x14ac:dyDescent="0.2">
      <c r="A3" s="32" t="b">
        <v>0</v>
      </c>
      <c r="B3" s="32" t="b">
        <v>0</v>
      </c>
      <c r="C3" s="32" t="b">
        <v>0</v>
      </c>
      <c r="D3" s="32" t="b">
        <v>0</v>
      </c>
      <c r="E3" s="32" t="b">
        <v>0</v>
      </c>
      <c r="F3" s="32" t="b">
        <v>0</v>
      </c>
      <c r="G3" s="122" t="s">
        <v>765</v>
      </c>
      <c r="H3" s="11"/>
      <c r="I3" s="20" t="s">
        <v>199</v>
      </c>
      <c r="J3" s="11" t="s">
        <v>891</v>
      </c>
      <c r="K3" s="11" t="s">
        <v>895</v>
      </c>
      <c r="L3" s="11" t="s">
        <v>137</v>
      </c>
      <c r="M3" s="11"/>
      <c r="N3" s="11" t="s">
        <v>896</v>
      </c>
      <c r="O3" s="11"/>
      <c r="P3" s="11" t="s">
        <v>897</v>
      </c>
      <c r="Q3" s="11"/>
      <c r="R3" s="11" t="s">
        <v>129</v>
      </c>
      <c r="S3" s="11"/>
      <c r="T3" s="11" t="s">
        <v>139</v>
      </c>
      <c r="U3" s="11"/>
      <c r="V3" s="11"/>
      <c r="W3" s="11"/>
      <c r="X3" s="11" t="s">
        <v>112</v>
      </c>
      <c r="Y3" s="11" t="s">
        <v>113</v>
      </c>
      <c r="Z3" s="11" t="s">
        <v>142</v>
      </c>
      <c r="AA3" s="11" t="s">
        <v>115</v>
      </c>
      <c r="AB3" s="11"/>
      <c r="AC3" s="11"/>
      <c r="AD3" s="11" t="s">
        <v>115</v>
      </c>
      <c r="AE3" s="11" t="s">
        <v>116</v>
      </c>
      <c r="AF3" s="11"/>
      <c r="AG3" s="11"/>
      <c r="AH3" s="11" t="s">
        <v>116</v>
      </c>
      <c r="AI3" s="11" t="s">
        <v>175</v>
      </c>
      <c r="AJ3" s="11" t="s">
        <v>237</v>
      </c>
      <c r="AK3" s="11"/>
      <c r="AL3" s="11"/>
      <c r="AM3" s="11" t="s">
        <v>211</v>
      </c>
      <c r="AN3" s="11"/>
      <c r="AO3" s="11"/>
      <c r="AP3" s="11"/>
      <c r="AQ3" s="11"/>
      <c r="AR3" s="11" t="s">
        <v>143</v>
      </c>
      <c r="AS3" s="11" t="s">
        <v>144</v>
      </c>
      <c r="AT3" s="11" t="s">
        <v>652</v>
      </c>
      <c r="AU3" s="13" t="str">
        <f>IF($AT3="","",IFERROR(INDEX(InstructorMap!$B:$B, MATCH($AT3, InstructorMap!$A:$A, 0)),""))</f>
        <v>younker@andrews.edu</v>
      </c>
      <c r="AV3" s="13" t="str">
        <f>IF($AT3="","",IFERROR(INDEX(InstructorMap!$C:$C, MATCH($AT3, InstructorMap!$A:$A, 0)),""))</f>
        <v>000042559</v>
      </c>
      <c r="AW3" s="11" t="s">
        <v>121</v>
      </c>
      <c r="AX3" s="11" t="s">
        <v>122</v>
      </c>
      <c r="AY3" s="11"/>
      <c r="AZ3" s="11"/>
      <c r="BA3" s="11"/>
      <c r="BB3" s="11"/>
      <c r="BC3" s="11"/>
      <c r="BD3" s="11"/>
      <c r="BE3" s="11"/>
      <c r="BF3" s="11"/>
      <c r="BG3" s="11"/>
      <c r="BH3" s="11" t="s">
        <v>898</v>
      </c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 t="s">
        <v>146</v>
      </c>
      <c r="CT3" s="11" t="s">
        <v>133</v>
      </c>
      <c r="CU3" s="11"/>
      <c r="CV3" s="11"/>
    </row>
    <row r="4" spans="1:100" x14ac:dyDescent="0.2">
      <c r="A4" s="45" t="b">
        <v>0</v>
      </c>
      <c r="B4" s="45" t="b">
        <v>0</v>
      </c>
      <c r="C4" s="45" t="b">
        <v>1</v>
      </c>
      <c r="D4" s="45" t="b">
        <v>0</v>
      </c>
      <c r="E4" s="45" t="b">
        <v>0</v>
      </c>
      <c r="F4" s="45" t="b">
        <v>0</v>
      </c>
      <c r="G4" s="46" t="s">
        <v>899</v>
      </c>
      <c r="H4" s="4" t="s">
        <v>900</v>
      </c>
      <c r="I4" s="22" t="s">
        <v>901</v>
      </c>
      <c r="J4" s="4" t="s">
        <v>891</v>
      </c>
      <c r="K4" s="4" t="s">
        <v>902</v>
      </c>
      <c r="L4" s="4" t="s">
        <v>137</v>
      </c>
      <c r="M4" s="4"/>
      <c r="N4" s="4" t="s">
        <v>903</v>
      </c>
      <c r="O4" s="4" t="s">
        <v>904</v>
      </c>
      <c r="P4" s="143" t="s">
        <v>905</v>
      </c>
      <c r="Q4" s="4" t="s">
        <v>906</v>
      </c>
      <c r="R4" s="4" t="s">
        <v>129</v>
      </c>
      <c r="S4" s="4"/>
      <c r="T4" s="4" t="s">
        <v>139</v>
      </c>
      <c r="U4" s="4" t="s">
        <v>140</v>
      </c>
      <c r="V4" s="4"/>
      <c r="W4" s="4" t="s">
        <v>112</v>
      </c>
      <c r="X4" s="4"/>
      <c r="Y4" s="59" t="s">
        <v>113</v>
      </c>
      <c r="Z4" s="4" t="s">
        <v>142</v>
      </c>
      <c r="AA4" s="4" t="s">
        <v>115</v>
      </c>
      <c r="AB4" s="4"/>
      <c r="AC4" s="4"/>
      <c r="AD4" s="4" t="s">
        <v>115</v>
      </c>
      <c r="AE4" s="4" t="s">
        <v>116</v>
      </c>
      <c r="AF4" s="4"/>
      <c r="AG4" s="4"/>
      <c r="AH4" s="59" t="s">
        <v>116</v>
      </c>
      <c r="AI4" s="59" t="s">
        <v>277</v>
      </c>
      <c r="AJ4" s="59" t="s">
        <v>278</v>
      </c>
      <c r="AK4" s="4"/>
      <c r="AL4" s="4"/>
      <c r="AM4" s="59" t="s">
        <v>211</v>
      </c>
      <c r="AN4" s="4"/>
      <c r="AO4" s="4"/>
      <c r="AP4" s="4"/>
      <c r="AQ4" s="4"/>
      <c r="AR4" s="147" t="s">
        <v>333</v>
      </c>
      <c r="AS4" s="4" t="s">
        <v>144</v>
      </c>
      <c r="AT4" s="143" t="s">
        <v>894</v>
      </c>
      <c r="AU4" s="5" t="str">
        <f>IF($AT4="","",IFERROR(INDEX([1]InstructorMap!$B:$B, MATCH($AT4, [1]InstructorMap!$A:$A, 0)),""))</f>
        <v>bates@andrews.edu</v>
      </c>
      <c r="AV4" s="5" t="str">
        <f>IF($AT4="","",IFERROR(INDEX([1]InstructorMap!$C:$C, MATCH($AT4, [1]InstructorMap!$A:$A, 0)),""))</f>
        <v>000095796</v>
      </c>
      <c r="AW4" s="4" t="s">
        <v>121</v>
      </c>
      <c r="AX4" s="143" t="s">
        <v>160</v>
      </c>
      <c r="AY4" s="143" t="s">
        <v>180</v>
      </c>
      <c r="AZ4" s="143">
        <v>2100</v>
      </c>
      <c r="BA4" s="4"/>
      <c r="BB4" s="4"/>
      <c r="BC4" s="4"/>
      <c r="BD4" s="4"/>
      <c r="BE4" s="4"/>
      <c r="BF4" s="4"/>
      <c r="BG4" s="4"/>
      <c r="BH4" s="4" t="s">
        <v>898</v>
      </c>
      <c r="BI4" s="4" t="s">
        <v>124</v>
      </c>
      <c r="BJ4" s="4" t="s">
        <v>125</v>
      </c>
      <c r="BK4" s="4"/>
      <c r="BL4" s="4" t="s">
        <v>125</v>
      </c>
      <c r="BM4" s="4"/>
      <c r="BN4" s="4"/>
      <c r="BO4" s="4" t="s">
        <v>127</v>
      </c>
      <c r="BP4" s="4"/>
      <c r="BQ4" s="4"/>
      <c r="BR4" s="4"/>
      <c r="BS4" s="4"/>
      <c r="BT4" s="4" t="s">
        <v>128</v>
      </c>
      <c r="BU4" s="4" t="s">
        <v>129</v>
      </c>
      <c r="BV4" s="4" t="s">
        <v>129</v>
      </c>
      <c r="BW4" s="4"/>
      <c r="BX4" s="4"/>
      <c r="BY4" s="4"/>
      <c r="BZ4" s="4"/>
      <c r="CA4" s="4"/>
      <c r="CB4" s="4"/>
      <c r="CC4" s="4"/>
      <c r="CD4" s="4"/>
      <c r="CE4" s="4"/>
      <c r="CF4" s="4" t="s">
        <v>130</v>
      </c>
      <c r="CG4" s="4"/>
      <c r="CH4" s="4" t="s">
        <v>131</v>
      </c>
      <c r="CI4" s="4"/>
      <c r="CJ4" s="4"/>
      <c r="CK4" s="4"/>
      <c r="CL4" s="4"/>
      <c r="CM4" s="4"/>
      <c r="CN4" s="4"/>
      <c r="CO4" s="4"/>
      <c r="CP4" s="4"/>
      <c r="CQ4" s="4"/>
      <c r="CR4" s="4"/>
      <c r="CS4" s="4" t="s">
        <v>132</v>
      </c>
      <c r="CT4" s="4" t="s">
        <v>133</v>
      </c>
      <c r="CU4" s="4" t="s">
        <v>134</v>
      </c>
      <c r="CV4" s="4"/>
    </row>
    <row r="5" spans="1:100" x14ac:dyDescent="0.2">
      <c r="A5" s="132" t="b">
        <v>0</v>
      </c>
      <c r="B5" s="132" t="b">
        <v>0</v>
      </c>
      <c r="C5" s="132" t="b">
        <v>1</v>
      </c>
      <c r="D5" s="132" t="b">
        <v>0</v>
      </c>
      <c r="E5" s="132" t="b">
        <v>1</v>
      </c>
      <c r="F5" s="132" t="b">
        <v>0</v>
      </c>
      <c r="G5" s="124" t="s">
        <v>787</v>
      </c>
      <c r="H5" s="49" t="s">
        <v>907</v>
      </c>
      <c r="I5" s="151" t="s">
        <v>908</v>
      </c>
      <c r="J5" s="49" t="s">
        <v>891</v>
      </c>
      <c r="K5" s="49" t="s">
        <v>902</v>
      </c>
      <c r="L5" s="49" t="s">
        <v>105</v>
      </c>
      <c r="M5" s="49"/>
      <c r="N5" s="49" t="s">
        <v>903</v>
      </c>
      <c r="O5" s="49"/>
      <c r="P5" s="152" t="s">
        <v>905</v>
      </c>
      <c r="Q5" s="49" t="s">
        <v>906</v>
      </c>
      <c r="R5" s="49" t="s">
        <v>108</v>
      </c>
      <c r="S5" s="49"/>
      <c r="T5" s="49"/>
      <c r="U5" s="49" t="s">
        <v>110</v>
      </c>
      <c r="V5" s="49"/>
      <c r="W5" s="49" t="s">
        <v>112</v>
      </c>
      <c r="X5" s="49"/>
      <c r="Y5" s="49" t="s">
        <v>591</v>
      </c>
      <c r="Z5" s="49" t="s">
        <v>114</v>
      </c>
      <c r="AA5" s="49" t="s">
        <v>115</v>
      </c>
      <c r="AB5" s="49"/>
      <c r="AC5" s="49"/>
      <c r="AD5" s="49" t="s">
        <v>115</v>
      </c>
      <c r="AE5" s="49" t="s">
        <v>116</v>
      </c>
      <c r="AF5" s="49"/>
      <c r="AG5" s="49"/>
      <c r="AH5" s="49" t="s">
        <v>116</v>
      </c>
      <c r="AI5" s="49" t="s">
        <v>277</v>
      </c>
      <c r="AJ5" s="49" t="s">
        <v>278</v>
      </c>
      <c r="AK5" s="49"/>
      <c r="AL5" s="49"/>
      <c r="AM5" s="49" t="s">
        <v>211</v>
      </c>
      <c r="AN5" s="49"/>
      <c r="AO5" s="49"/>
      <c r="AP5" s="49"/>
      <c r="AQ5" s="49"/>
      <c r="AR5" s="49"/>
      <c r="AS5" s="49"/>
      <c r="AT5" s="49" t="s">
        <v>285</v>
      </c>
      <c r="AU5" s="50" t="str">
        <f>IF($AT5="","",IFERROR(INDEX([1]InstructorMap!$B:$B, MATCH($AT5, [1]InstructorMap!$A:$A, 0)),""))</f>
        <v/>
      </c>
      <c r="AV5" s="50" t="str">
        <f>IF($AT5="","",IFERROR(INDEX([1]InstructorMap!$C:$C, MATCH($AT5, [1]InstructorMap!$A:$A, 0)),""))</f>
        <v/>
      </c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 t="s">
        <v>898</v>
      </c>
      <c r="BI5" s="49" t="s">
        <v>124</v>
      </c>
      <c r="BJ5" s="49" t="s">
        <v>125</v>
      </c>
      <c r="BK5" s="49"/>
      <c r="BL5" s="49" t="s">
        <v>126</v>
      </c>
      <c r="BM5" s="49"/>
      <c r="BN5" s="49"/>
      <c r="BO5" s="49" t="s">
        <v>127</v>
      </c>
      <c r="BP5" s="49"/>
      <c r="BQ5" s="49"/>
      <c r="BR5" s="49"/>
      <c r="BS5" s="49"/>
      <c r="BT5" s="49" t="s">
        <v>128</v>
      </c>
      <c r="BU5" s="49" t="s">
        <v>129</v>
      </c>
      <c r="BV5" s="49" t="s">
        <v>129</v>
      </c>
      <c r="BW5" s="49"/>
      <c r="BX5" s="49"/>
      <c r="BY5" s="49"/>
      <c r="BZ5" s="49"/>
      <c r="CA5" s="49"/>
      <c r="CB5" s="49"/>
      <c r="CC5" s="49"/>
      <c r="CD5" s="49"/>
      <c r="CE5" s="49"/>
      <c r="CF5" s="49" t="s">
        <v>130</v>
      </c>
      <c r="CG5" s="49"/>
      <c r="CH5" s="49" t="s">
        <v>131</v>
      </c>
      <c r="CI5" s="49"/>
      <c r="CJ5" s="49"/>
      <c r="CK5" s="49"/>
      <c r="CL5" s="49"/>
      <c r="CM5" s="49"/>
      <c r="CN5" s="49"/>
      <c r="CO5" s="49"/>
      <c r="CP5" s="49"/>
      <c r="CQ5" s="49"/>
      <c r="CR5" s="49"/>
      <c r="CS5" s="49" t="s">
        <v>132</v>
      </c>
      <c r="CT5" s="49" t="s">
        <v>133</v>
      </c>
      <c r="CU5" s="49" t="s">
        <v>134</v>
      </c>
      <c r="CV5" s="49"/>
    </row>
    <row r="6" spans="1:100" x14ac:dyDescent="0.2">
      <c r="A6" s="32" t="b">
        <v>0</v>
      </c>
      <c r="B6" s="32" t="b">
        <v>0</v>
      </c>
      <c r="C6" s="32" t="b">
        <v>0</v>
      </c>
      <c r="D6" s="32" t="b">
        <v>0</v>
      </c>
      <c r="E6" s="32" t="b">
        <v>0</v>
      </c>
      <c r="F6" s="32" t="b">
        <v>0</v>
      </c>
      <c r="G6" s="25" t="s">
        <v>765</v>
      </c>
      <c r="H6" s="11"/>
      <c r="I6" s="20" t="s">
        <v>199</v>
      </c>
      <c r="J6" s="11" t="s">
        <v>891</v>
      </c>
      <c r="K6" s="11" t="s">
        <v>170</v>
      </c>
      <c r="L6" s="11" t="s">
        <v>255</v>
      </c>
      <c r="M6" s="11"/>
      <c r="N6" s="11" t="s">
        <v>909</v>
      </c>
      <c r="O6" s="11" t="s">
        <v>910</v>
      </c>
      <c r="P6" s="11" t="s">
        <v>911</v>
      </c>
      <c r="Q6" s="11"/>
      <c r="R6" s="11" t="s">
        <v>129</v>
      </c>
      <c r="S6" s="11"/>
      <c r="T6" s="11"/>
      <c r="U6" s="11"/>
      <c r="V6" s="11"/>
      <c r="W6" s="11"/>
      <c r="X6" s="11" t="s">
        <v>173</v>
      </c>
      <c r="Y6" s="11" t="s">
        <v>174</v>
      </c>
      <c r="Z6" s="11"/>
      <c r="AA6" s="11" t="s">
        <v>115</v>
      </c>
      <c r="AB6" s="11"/>
      <c r="AC6" s="11"/>
      <c r="AD6" s="11" t="s">
        <v>115</v>
      </c>
      <c r="AE6" s="11" t="s">
        <v>116</v>
      </c>
      <c r="AF6" s="11"/>
      <c r="AG6" s="11"/>
      <c r="AH6" s="11" t="s">
        <v>116</v>
      </c>
      <c r="AI6" s="12" t="s">
        <v>147</v>
      </c>
      <c r="AJ6" s="12" t="s">
        <v>147</v>
      </c>
      <c r="AK6" s="11"/>
      <c r="AL6" s="11"/>
      <c r="AM6" s="11" t="s">
        <v>211</v>
      </c>
      <c r="AN6" s="11"/>
      <c r="AO6" s="11"/>
      <c r="AP6" s="11"/>
      <c r="AQ6" s="11"/>
      <c r="AR6" s="11" t="s">
        <v>178</v>
      </c>
      <c r="AS6" s="11" t="s">
        <v>144</v>
      </c>
      <c r="AT6" s="11" t="s">
        <v>588</v>
      </c>
      <c r="AU6" s="13" t="str">
        <f>IF($AT6="","",IFERROR(INDEX(InstructorMap!$B:$B, MATCH($AT6, InstructorMap!$A:$A, 0)),""))</f>
        <v>gane@andrews.edu</v>
      </c>
      <c r="AV6" s="13" t="str">
        <f>IF($AT6="","",IFERROR(INDEX(InstructorMap!$C:$C, MATCH($AT6, InstructorMap!$A:$A, 0)),""))</f>
        <v>000008963</v>
      </c>
      <c r="AW6" s="11" t="s">
        <v>121</v>
      </c>
      <c r="AX6" s="11" t="s">
        <v>122</v>
      </c>
      <c r="AY6" s="11"/>
      <c r="AZ6" s="11"/>
      <c r="BA6" s="11"/>
      <c r="BB6" s="11"/>
      <c r="BC6" s="11"/>
      <c r="BD6" s="11"/>
      <c r="BE6" s="11"/>
      <c r="BF6" s="11"/>
      <c r="BG6" s="11"/>
      <c r="BH6" s="11" t="s">
        <v>898</v>
      </c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 t="s">
        <v>146</v>
      </c>
      <c r="CT6" s="11" t="s">
        <v>133</v>
      </c>
      <c r="CU6" s="11"/>
      <c r="CV6" s="11"/>
    </row>
    <row r="7" spans="1:100" x14ac:dyDescent="0.2">
      <c r="A7" s="140" t="s">
        <v>787</v>
      </c>
      <c r="B7" s="140" t="s">
        <v>787</v>
      </c>
      <c r="C7" s="140" t="s">
        <v>787</v>
      </c>
      <c r="D7" s="140" t="s">
        <v>787</v>
      </c>
      <c r="E7" s="140" t="s">
        <v>787</v>
      </c>
      <c r="F7" s="140" t="s">
        <v>787</v>
      </c>
      <c r="G7" s="139" t="s">
        <v>787</v>
      </c>
      <c r="H7" s="8" t="s">
        <v>912</v>
      </c>
      <c r="I7" s="142" t="s">
        <v>913</v>
      </c>
      <c r="J7" s="8" t="s">
        <v>891</v>
      </c>
      <c r="K7" s="8" t="s">
        <v>391</v>
      </c>
      <c r="L7" s="8" t="s">
        <v>255</v>
      </c>
      <c r="M7" s="8"/>
      <c r="N7" s="8" t="s">
        <v>914</v>
      </c>
      <c r="O7" s="8"/>
      <c r="P7" s="8"/>
      <c r="Q7" s="8" t="s">
        <v>915</v>
      </c>
      <c r="R7" s="8" t="s">
        <v>129</v>
      </c>
      <c r="S7" s="8"/>
      <c r="T7" s="8"/>
      <c r="U7" s="8"/>
      <c r="V7" s="8"/>
      <c r="W7" s="8" t="s">
        <v>112</v>
      </c>
      <c r="X7" s="8"/>
      <c r="Y7" s="8" t="s">
        <v>174</v>
      </c>
      <c r="Z7" s="8" t="s">
        <v>142</v>
      </c>
      <c r="AA7" s="8" t="s">
        <v>115</v>
      </c>
      <c r="AB7" s="8"/>
      <c r="AC7" s="8"/>
      <c r="AD7" s="8" t="s">
        <v>115</v>
      </c>
      <c r="AE7" s="8" t="s">
        <v>116</v>
      </c>
      <c r="AF7" s="8"/>
      <c r="AG7" s="8"/>
      <c r="AH7" s="8" t="s">
        <v>116</v>
      </c>
      <c r="AI7" s="8" t="s">
        <v>175</v>
      </c>
      <c r="AJ7" s="8" t="s">
        <v>237</v>
      </c>
      <c r="AK7" s="8"/>
      <c r="AL7" s="8"/>
      <c r="AM7" s="8" t="s">
        <v>211</v>
      </c>
      <c r="AN7" s="8"/>
      <c r="AO7" s="8"/>
      <c r="AP7" s="8"/>
      <c r="AQ7" s="8"/>
      <c r="AR7" s="8"/>
      <c r="AS7" s="8" t="s">
        <v>144</v>
      </c>
      <c r="AT7" s="8" t="s">
        <v>652</v>
      </c>
      <c r="AU7" s="9" t="str">
        <f>IF($AT7="","",IFERROR(INDEX([1]InstructorMap!$B:$B, MATCH($AT7, [1]InstructorMap!$A:$A, 0)),""))</f>
        <v>younker@andrews.edu</v>
      </c>
      <c r="AV7" s="9" t="str">
        <f>IF($AT7="","",IFERROR(INDEX([1]InstructorMap!$C:$C, MATCH($AT7, [1]InstructorMap!$A:$A, 0)),""))</f>
        <v>000042559</v>
      </c>
      <c r="AW7" s="8" t="s">
        <v>121</v>
      </c>
      <c r="AX7" s="8"/>
      <c r="AY7" s="8"/>
      <c r="AZ7" s="8"/>
      <c r="BA7" s="8"/>
      <c r="BB7" s="8"/>
      <c r="BC7" s="8"/>
      <c r="BD7" s="8"/>
      <c r="BE7" s="8"/>
      <c r="BF7" s="8"/>
      <c r="BG7" s="8"/>
      <c r="BH7" s="8" t="s">
        <v>898</v>
      </c>
      <c r="BI7" s="8" t="s">
        <v>124</v>
      </c>
      <c r="BJ7" s="8" t="s">
        <v>125</v>
      </c>
      <c r="BK7" s="8"/>
      <c r="BL7" s="8" t="s">
        <v>119</v>
      </c>
      <c r="BM7" s="8" t="s">
        <v>916</v>
      </c>
      <c r="BN7" s="8"/>
      <c r="BO7" s="8" t="s">
        <v>127</v>
      </c>
      <c r="BP7" s="8"/>
      <c r="BQ7" s="8" t="s">
        <v>917</v>
      </c>
      <c r="BR7" s="8"/>
      <c r="BS7" s="8"/>
      <c r="BT7" s="8" t="s">
        <v>128</v>
      </c>
      <c r="BU7" s="8" t="s">
        <v>129</v>
      </c>
      <c r="BV7" s="8" t="s">
        <v>129</v>
      </c>
      <c r="BW7" s="8" t="s">
        <v>130</v>
      </c>
      <c r="BX7" s="8" t="s">
        <v>131</v>
      </c>
      <c r="BY7" s="8"/>
      <c r="BZ7" s="8"/>
      <c r="CA7" s="8"/>
      <c r="CB7" s="8"/>
      <c r="CC7" s="8"/>
      <c r="CD7" s="8"/>
      <c r="CE7" s="8"/>
      <c r="CF7" s="8" t="s">
        <v>130</v>
      </c>
      <c r="CG7" s="8"/>
      <c r="CH7" s="8" t="s">
        <v>131</v>
      </c>
      <c r="CI7" s="8"/>
      <c r="CJ7" s="8"/>
      <c r="CK7" s="8"/>
      <c r="CL7" s="8"/>
      <c r="CM7" s="8"/>
      <c r="CN7" s="8"/>
      <c r="CO7" s="8"/>
      <c r="CP7" s="8"/>
      <c r="CQ7" s="8"/>
      <c r="CR7" s="8"/>
      <c r="CS7" s="8" t="s">
        <v>132</v>
      </c>
      <c r="CT7" s="8" t="s">
        <v>133</v>
      </c>
      <c r="CU7" s="8" t="s">
        <v>134</v>
      </c>
      <c r="CV7" s="8"/>
    </row>
    <row r="8" spans="1:100" x14ac:dyDescent="0.2">
      <c r="A8" s="140" t="s">
        <v>787</v>
      </c>
      <c r="B8" s="140" t="s">
        <v>787</v>
      </c>
      <c r="C8" s="140" t="s">
        <v>787</v>
      </c>
      <c r="D8" s="140" t="s">
        <v>787</v>
      </c>
      <c r="E8" s="140" t="s">
        <v>787</v>
      </c>
      <c r="F8" s="140" t="s">
        <v>787</v>
      </c>
      <c r="G8" s="139" t="s">
        <v>787</v>
      </c>
      <c r="H8" s="8" t="s">
        <v>918</v>
      </c>
      <c r="I8" s="142" t="s">
        <v>919</v>
      </c>
      <c r="J8" s="8" t="s">
        <v>891</v>
      </c>
      <c r="K8" s="8" t="s">
        <v>391</v>
      </c>
      <c r="L8" s="8" t="s">
        <v>252</v>
      </c>
      <c r="M8" s="8"/>
      <c r="N8" s="8" t="s">
        <v>914</v>
      </c>
      <c r="O8" s="8"/>
      <c r="P8" s="8"/>
      <c r="Q8" s="8" t="s">
        <v>915</v>
      </c>
      <c r="R8" s="8" t="s">
        <v>108</v>
      </c>
      <c r="S8" s="8"/>
      <c r="T8" s="8"/>
      <c r="U8" s="8"/>
      <c r="V8" s="8"/>
      <c r="W8" s="8" t="s">
        <v>112</v>
      </c>
      <c r="X8" s="8"/>
      <c r="Y8" s="8" t="s">
        <v>203</v>
      </c>
      <c r="Z8" s="8" t="s">
        <v>114</v>
      </c>
      <c r="AA8" s="8" t="s">
        <v>115</v>
      </c>
      <c r="AB8" s="8"/>
      <c r="AC8" s="8"/>
      <c r="AD8" s="8" t="s">
        <v>115</v>
      </c>
      <c r="AE8" s="8" t="s">
        <v>116</v>
      </c>
      <c r="AF8" s="8"/>
      <c r="AG8" s="8"/>
      <c r="AH8" s="8" t="s">
        <v>116</v>
      </c>
      <c r="AI8" s="8" t="s">
        <v>175</v>
      </c>
      <c r="AJ8" s="8" t="s">
        <v>237</v>
      </c>
      <c r="AK8" s="8"/>
      <c r="AL8" s="8"/>
      <c r="AM8" s="8" t="s">
        <v>211</v>
      </c>
      <c r="AN8" s="8"/>
      <c r="AO8" s="8"/>
      <c r="AP8" s="8"/>
      <c r="AQ8" s="8"/>
      <c r="AR8" s="8"/>
      <c r="AS8" s="8"/>
      <c r="AT8" s="8" t="s">
        <v>652</v>
      </c>
      <c r="AU8" s="9" t="str">
        <f>IF($AT8="","",IFERROR(INDEX([1]InstructorMap!$B:$B, MATCH($AT8, [1]InstructorMap!$A:$A, 0)),""))</f>
        <v>younker@andrews.edu</v>
      </c>
      <c r="AV8" s="9" t="str">
        <f>IF($AT8="","",IFERROR(INDEX([1]InstructorMap!$C:$C, MATCH($AT8, [1]InstructorMap!$A:$A, 0)),""))</f>
        <v>000042559</v>
      </c>
      <c r="AW8" s="8" t="s">
        <v>121</v>
      </c>
      <c r="AX8" s="8"/>
      <c r="AY8" s="8"/>
      <c r="AZ8" s="8"/>
      <c r="BA8" s="8"/>
      <c r="BB8" s="8"/>
      <c r="BC8" s="8"/>
      <c r="BD8" s="8"/>
      <c r="BE8" s="8"/>
      <c r="BF8" s="8"/>
      <c r="BG8" s="8"/>
      <c r="BH8" s="8" t="s">
        <v>898</v>
      </c>
      <c r="BI8" s="8" t="s">
        <v>124</v>
      </c>
      <c r="BJ8" s="8" t="s">
        <v>125</v>
      </c>
      <c r="BK8" s="8"/>
      <c r="BL8" s="8" t="s">
        <v>119</v>
      </c>
      <c r="BM8" s="8" t="s">
        <v>916</v>
      </c>
      <c r="BN8" s="8"/>
      <c r="BO8" s="8" t="s">
        <v>127</v>
      </c>
      <c r="BP8" s="8"/>
      <c r="BQ8" s="8" t="s">
        <v>917</v>
      </c>
      <c r="BR8" s="8"/>
      <c r="BS8" s="8"/>
      <c r="BT8" s="8" t="s">
        <v>128</v>
      </c>
      <c r="BU8" s="8" t="s">
        <v>129</v>
      </c>
      <c r="BV8" s="8" t="s">
        <v>129</v>
      </c>
      <c r="BW8" s="8" t="s">
        <v>130</v>
      </c>
      <c r="BX8" s="8" t="s">
        <v>131</v>
      </c>
      <c r="BY8" s="8"/>
      <c r="BZ8" s="8"/>
      <c r="CA8" s="8"/>
      <c r="CB8" s="8"/>
      <c r="CC8" s="8"/>
      <c r="CD8" s="8"/>
      <c r="CE8" s="8"/>
      <c r="CF8" s="8" t="s">
        <v>130</v>
      </c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 t="s">
        <v>132</v>
      </c>
      <c r="CT8" s="8" t="s">
        <v>133</v>
      </c>
      <c r="CU8" s="8" t="s">
        <v>134</v>
      </c>
      <c r="CV8" s="8"/>
    </row>
    <row r="9" spans="1:100" x14ac:dyDescent="0.2">
      <c r="A9" s="132" t="b">
        <v>0</v>
      </c>
      <c r="B9" s="132" t="b">
        <v>0</v>
      </c>
      <c r="C9" s="132" t="b">
        <v>1</v>
      </c>
      <c r="D9" s="132" t="b">
        <v>0</v>
      </c>
      <c r="E9" s="132" t="b">
        <v>1</v>
      </c>
      <c r="F9" s="132" t="b">
        <v>0</v>
      </c>
      <c r="G9" s="139" t="s">
        <v>787</v>
      </c>
      <c r="H9" s="8" t="s">
        <v>920</v>
      </c>
      <c r="I9" s="142" t="s">
        <v>921</v>
      </c>
      <c r="J9" s="8" t="s">
        <v>891</v>
      </c>
      <c r="K9" s="8" t="s">
        <v>922</v>
      </c>
      <c r="L9" s="8" t="s">
        <v>137</v>
      </c>
      <c r="M9" s="8"/>
      <c r="N9" s="8" t="s">
        <v>923</v>
      </c>
      <c r="O9" s="8"/>
      <c r="P9" s="8"/>
      <c r="Q9" s="8" t="s">
        <v>798</v>
      </c>
      <c r="R9" s="8" t="s">
        <v>129</v>
      </c>
      <c r="S9" s="8"/>
      <c r="T9" s="8"/>
      <c r="U9" s="8"/>
      <c r="V9" s="8"/>
      <c r="W9" s="8" t="s">
        <v>112</v>
      </c>
      <c r="X9" s="8"/>
      <c r="Y9" s="8" t="s">
        <v>113</v>
      </c>
      <c r="Z9" s="8" t="s">
        <v>142</v>
      </c>
      <c r="AA9" s="8" t="s">
        <v>115</v>
      </c>
      <c r="AB9" s="8"/>
      <c r="AC9" s="8"/>
      <c r="AD9" s="8" t="s">
        <v>115</v>
      </c>
      <c r="AE9" s="8" t="s">
        <v>116</v>
      </c>
      <c r="AF9" s="8"/>
      <c r="AG9" s="8"/>
      <c r="AH9" s="8" t="s">
        <v>116</v>
      </c>
      <c r="AI9" s="8" t="s">
        <v>277</v>
      </c>
      <c r="AJ9" s="8" t="s">
        <v>278</v>
      </c>
      <c r="AK9" s="8"/>
      <c r="AL9" s="8"/>
      <c r="AM9" s="8"/>
      <c r="AN9" s="8"/>
      <c r="AO9" s="8" t="s">
        <v>221</v>
      </c>
      <c r="AP9" s="8"/>
      <c r="AQ9" s="8"/>
      <c r="AR9" s="8"/>
      <c r="AS9" s="8" t="s">
        <v>144</v>
      </c>
      <c r="AT9" s="8" t="s">
        <v>799</v>
      </c>
      <c r="AU9" s="9" t="str">
        <f>IF($AT9="","",IFERROR(INDEX([1]InstructorMap!$B:$B, MATCH($AT9, [1]InstructorMap!$A:$A, 0)),""))</f>
        <v>rayp@andrews.edu</v>
      </c>
      <c r="AV9" s="9" t="str">
        <f>IF($AT9="","",IFERROR(INDEX([1]InstructorMap!$C:$C, MATCH($AT9, [1]InstructorMap!$A:$A, 0)),""))</f>
        <v>000029934</v>
      </c>
      <c r="AW9" s="8" t="s">
        <v>121</v>
      </c>
      <c r="AX9" s="8"/>
      <c r="AY9" s="8"/>
      <c r="AZ9" s="8"/>
      <c r="BA9" s="8"/>
      <c r="BB9" s="8"/>
      <c r="BC9" s="8"/>
      <c r="BD9" s="8"/>
      <c r="BE9" s="8"/>
      <c r="BF9" s="8"/>
      <c r="BG9" s="8"/>
      <c r="BH9" s="8" t="s">
        <v>898</v>
      </c>
      <c r="BI9" s="8" t="s">
        <v>124</v>
      </c>
      <c r="BJ9" s="8" t="s">
        <v>125</v>
      </c>
      <c r="BK9" s="8"/>
      <c r="BL9" s="8" t="s">
        <v>125</v>
      </c>
      <c r="BM9" s="8"/>
      <c r="BN9" s="8"/>
      <c r="BO9" s="8" t="s">
        <v>127</v>
      </c>
      <c r="BP9" s="8"/>
      <c r="BQ9" s="8"/>
      <c r="BR9" s="8"/>
      <c r="BS9" s="8"/>
      <c r="BT9" s="8" t="s">
        <v>128</v>
      </c>
      <c r="BU9" s="8" t="s">
        <v>129</v>
      </c>
      <c r="BV9" s="8" t="s">
        <v>129</v>
      </c>
      <c r="BW9" s="8" t="s">
        <v>130</v>
      </c>
      <c r="BX9" s="8" t="s">
        <v>131</v>
      </c>
      <c r="BY9" s="8"/>
      <c r="BZ9" s="8"/>
      <c r="CA9" s="8"/>
      <c r="CB9" s="8"/>
      <c r="CC9" s="8"/>
      <c r="CD9" s="8"/>
      <c r="CE9" s="8"/>
      <c r="CF9" s="8" t="s">
        <v>130</v>
      </c>
      <c r="CG9" s="8"/>
      <c r="CH9" s="8" t="s">
        <v>131</v>
      </c>
      <c r="CI9" s="8"/>
      <c r="CJ9" s="8"/>
      <c r="CK9" s="8"/>
      <c r="CL9" s="8"/>
      <c r="CM9" s="8"/>
      <c r="CN9" s="8"/>
      <c r="CO9" s="8"/>
      <c r="CP9" s="8"/>
      <c r="CQ9" s="8"/>
      <c r="CR9" s="8"/>
      <c r="CS9" s="8" t="s">
        <v>132</v>
      </c>
      <c r="CT9" s="8" t="s">
        <v>133</v>
      </c>
      <c r="CU9" s="8" t="s">
        <v>134</v>
      </c>
      <c r="CV9" s="8"/>
    </row>
    <row r="10" spans="1:100" x14ac:dyDescent="0.2">
      <c r="A10" s="132" t="b">
        <v>0</v>
      </c>
      <c r="B10" s="132" t="b">
        <v>0</v>
      </c>
      <c r="C10" s="132" t="b">
        <v>1</v>
      </c>
      <c r="D10" s="132" t="b">
        <v>0</v>
      </c>
      <c r="E10" s="132" t="b">
        <v>1</v>
      </c>
      <c r="F10" s="132" t="b">
        <v>0</v>
      </c>
      <c r="G10" s="140" t="s">
        <v>787</v>
      </c>
      <c r="H10" s="8" t="s">
        <v>924</v>
      </c>
      <c r="I10" s="142" t="s">
        <v>925</v>
      </c>
      <c r="J10" s="8" t="s">
        <v>891</v>
      </c>
      <c r="K10" s="8" t="s">
        <v>642</v>
      </c>
      <c r="L10" s="8" t="s">
        <v>105</v>
      </c>
      <c r="M10" s="8"/>
      <c r="N10" s="8" t="s">
        <v>926</v>
      </c>
      <c r="O10" s="8"/>
      <c r="P10" s="8"/>
      <c r="Q10" s="8"/>
      <c r="R10" s="8" t="s">
        <v>108</v>
      </c>
      <c r="S10" s="8"/>
      <c r="T10" s="8"/>
      <c r="U10" s="8" t="s">
        <v>110</v>
      </c>
      <c r="V10" s="8"/>
      <c r="W10" s="8" t="s">
        <v>173</v>
      </c>
      <c r="X10" s="8"/>
      <c r="Y10" s="8" t="s">
        <v>113</v>
      </c>
      <c r="Z10" s="8" t="s">
        <v>114</v>
      </c>
      <c r="AA10" s="8" t="s">
        <v>115</v>
      </c>
      <c r="AB10" s="8"/>
      <c r="AC10" s="8"/>
      <c r="AD10" s="8" t="s">
        <v>115</v>
      </c>
      <c r="AE10" s="8" t="s">
        <v>116</v>
      </c>
      <c r="AF10" s="8"/>
      <c r="AG10" s="8"/>
      <c r="AH10" s="8" t="s">
        <v>116</v>
      </c>
      <c r="AI10" s="8" t="s">
        <v>534</v>
      </c>
      <c r="AJ10" s="8" t="s">
        <v>927</v>
      </c>
      <c r="AK10" s="8"/>
      <c r="AL10" s="8"/>
      <c r="AM10" s="8"/>
      <c r="AN10" s="8"/>
      <c r="AO10" s="8" t="s">
        <v>221</v>
      </c>
      <c r="AP10" s="8"/>
      <c r="AQ10" s="8"/>
      <c r="AR10" s="8"/>
      <c r="AS10" s="8"/>
      <c r="AT10" s="8" t="s">
        <v>652</v>
      </c>
      <c r="AU10" s="9" t="str">
        <f>IF($AT10="","",IFERROR(INDEX([1]InstructorMap!$B:$B, MATCH($AT10, [1]InstructorMap!$A:$A, 0)),""))</f>
        <v>younker@andrews.edu</v>
      </c>
      <c r="AV10" s="9" t="str">
        <f>IF($AT10="","",IFERROR(INDEX([1]InstructorMap!$C:$C, MATCH($AT10, [1]InstructorMap!$A:$A, 0)),""))</f>
        <v>000042559</v>
      </c>
      <c r="AW10" s="8" t="s">
        <v>121</v>
      </c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 t="s">
        <v>898</v>
      </c>
      <c r="BI10" s="8" t="s">
        <v>124</v>
      </c>
      <c r="BJ10" s="8" t="s">
        <v>125</v>
      </c>
      <c r="BK10" s="8"/>
      <c r="BL10" s="8" t="s">
        <v>126</v>
      </c>
      <c r="BM10" s="8"/>
      <c r="BN10" s="8"/>
      <c r="BO10" s="8" t="s">
        <v>127</v>
      </c>
      <c r="BP10" s="8"/>
      <c r="BQ10" s="8"/>
      <c r="BR10" s="8"/>
      <c r="BS10" s="8"/>
      <c r="BT10" s="8" t="s">
        <v>128</v>
      </c>
      <c r="BU10" s="8" t="s">
        <v>129</v>
      </c>
      <c r="BV10" s="8" t="s">
        <v>129</v>
      </c>
      <c r="BW10" s="8" t="s">
        <v>130</v>
      </c>
      <c r="BX10" s="8"/>
      <c r="BY10" s="8"/>
      <c r="BZ10" s="8"/>
      <c r="CA10" s="8"/>
      <c r="CB10" s="8"/>
      <c r="CC10" s="8"/>
      <c r="CD10" s="8"/>
      <c r="CE10" s="8"/>
      <c r="CF10" s="8" t="s">
        <v>130</v>
      </c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 t="s">
        <v>132</v>
      </c>
      <c r="CT10" s="8" t="s">
        <v>133</v>
      </c>
      <c r="CU10" s="8" t="s">
        <v>134</v>
      </c>
      <c r="CV10" s="8"/>
    </row>
    <row r="11" spans="1:100" x14ac:dyDescent="0.2">
      <c r="A11" s="132" t="b">
        <v>0</v>
      </c>
      <c r="B11" s="132" t="b">
        <v>0</v>
      </c>
      <c r="C11" s="132" t="b">
        <v>1</v>
      </c>
      <c r="D11" s="132" t="b">
        <v>0</v>
      </c>
      <c r="E11" s="132" t="b">
        <v>1</v>
      </c>
      <c r="F11" s="132" t="b">
        <v>0</v>
      </c>
      <c r="G11" s="139" t="s">
        <v>787</v>
      </c>
      <c r="H11" s="8" t="s">
        <v>928</v>
      </c>
      <c r="I11" s="142" t="s">
        <v>929</v>
      </c>
      <c r="J11" s="8" t="s">
        <v>891</v>
      </c>
      <c r="K11" s="8" t="s">
        <v>930</v>
      </c>
      <c r="L11" s="8" t="s">
        <v>137</v>
      </c>
      <c r="M11" s="8"/>
      <c r="N11" s="8" t="s">
        <v>931</v>
      </c>
      <c r="O11" s="8"/>
      <c r="P11" s="8"/>
      <c r="Q11" s="8" t="s">
        <v>798</v>
      </c>
      <c r="R11" s="8" t="s">
        <v>129</v>
      </c>
      <c r="S11" s="8"/>
      <c r="T11" s="8"/>
      <c r="U11" s="8"/>
      <c r="V11" s="8"/>
      <c r="W11" s="8" t="s">
        <v>173</v>
      </c>
      <c r="X11" s="8"/>
      <c r="Y11" s="8" t="s">
        <v>113</v>
      </c>
      <c r="Z11" s="8" t="s">
        <v>142</v>
      </c>
      <c r="AA11" s="8" t="s">
        <v>115</v>
      </c>
      <c r="AB11" s="8"/>
      <c r="AC11" s="8"/>
      <c r="AD11" s="8" t="s">
        <v>115</v>
      </c>
      <c r="AE11" s="8" t="s">
        <v>116</v>
      </c>
      <c r="AF11" s="8"/>
      <c r="AG11" s="8"/>
      <c r="AH11" s="8" t="s">
        <v>116</v>
      </c>
      <c r="AI11" s="8" t="s">
        <v>277</v>
      </c>
      <c r="AJ11" s="8" t="s">
        <v>278</v>
      </c>
      <c r="AK11" s="8"/>
      <c r="AL11" s="8"/>
      <c r="AM11" s="8"/>
      <c r="AN11" s="8"/>
      <c r="AO11" s="8" t="s">
        <v>221</v>
      </c>
      <c r="AP11" s="8"/>
      <c r="AQ11" s="8"/>
      <c r="AR11" s="8"/>
      <c r="AS11" s="8" t="s">
        <v>144</v>
      </c>
      <c r="AT11" s="8" t="s">
        <v>799</v>
      </c>
      <c r="AU11" s="9" t="str">
        <f>IF($AT11="","",IFERROR(INDEX([1]InstructorMap!$B:$B, MATCH($AT11, [1]InstructorMap!$A:$A, 0)),""))</f>
        <v>rayp@andrews.edu</v>
      </c>
      <c r="AV11" s="9" t="str">
        <f>IF($AT11="","",IFERROR(INDEX([1]InstructorMap!$C:$C, MATCH($AT11, [1]InstructorMap!$A:$A, 0)),""))</f>
        <v>000029934</v>
      </c>
      <c r="AW11" s="8" t="s">
        <v>121</v>
      </c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 t="s">
        <v>898</v>
      </c>
      <c r="BI11" s="8" t="s">
        <v>124</v>
      </c>
      <c r="BJ11" s="8" t="s">
        <v>125</v>
      </c>
      <c r="BK11" s="8"/>
      <c r="BL11" s="8" t="s">
        <v>125</v>
      </c>
      <c r="BM11" s="8"/>
      <c r="BN11" s="8"/>
      <c r="BO11" s="8" t="s">
        <v>127</v>
      </c>
      <c r="BP11" s="8"/>
      <c r="BQ11" s="8"/>
      <c r="BR11" s="8"/>
      <c r="BS11" s="8"/>
      <c r="BT11" s="8" t="s">
        <v>128</v>
      </c>
      <c r="BU11" s="8" t="s">
        <v>129</v>
      </c>
      <c r="BV11" s="8" t="s">
        <v>129</v>
      </c>
      <c r="BW11" s="8" t="s">
        <v>130</v>
      </c>
      <c r="BX11" s="8" t="s">
        <v>131</v>
      </c>
      <c r="BY11" s="8"/>
      <c r="BZ11" s="8"/>
      <c r="CA11" s="8"/>
      <c r="CB11" s="8"/>
      <c r="CC11" s="8"/>
      <c r="CD11" s="8"/>
      <c r="CE11" s="8"/>
      <c r="CF11" s="8" t="s">
        <v>130</v>
      </c>
      <c r="CG11" s="8"/>
      <c r="CH11" s="8" t="s">
        <v>131</v>
      </c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 t="s">
        <v>132</v>
      </c>
      <c r="CT11" s="8" t="s">
        <v>133</v>
      </c>
      <c r="CU11" s="8" t="s">
        <v>134</v>
      </c>
      <c r="CV11" s="8"/>
    </row>
    <row r="12" spans="1:100" x14ac:dyDescent="0.2">
      <c r="A12" s="130" t="b">
        <v>0</v>
      </c>
      <c r="B12" s="130" t="b">
        <v>0</v>
      </c>
      <c r="C12" s="130" t="b">
        <v>0</v>
      </c>
      <c r="D12" s="130" t="b">
        <v>0</v>
      </c>
      <c r="E12" s="130" t="b">
        <v>0</v>
      </c>
      <c r="F12" s="130" t="b">
        <v>1</v>
      </c>
      <c r="G12" s="137"/>
      <c r="H12" s="6" t="s">
        <v>932</v>
      </c>
      <c r="I12" s="21" t="s">
        <v>933</v>
      </c>
      <c r="J12" s="6" t="s">
        <v>891</v>
      </c>
      <c r="K12" s="6" t="s">
        <v>267</v>
      </c>
      <c r="L12" s="6" t="s">
        <v>560</v>
      </c>
      <c r="M12" s="6"/>
      <c r="N12" s="6" t="s">
        <v>934</v>
      </c>
      <c r="O12" s="6" t="s">
        <v>935</v>
      </c>
      <c r="P12" s="6"/>
      <c r="Q12" s="6" t="s">
        <v>915</v>
      </c>
      <c r="R12" s="6" t="s">
        <v>129</v>
      </c>
      <c r="S12" s="6"/>
      <c r="T12" s="6"/>
      <c r="U12" s="6"/>
      <c r="V12" s="6"/>
      <c r="W12" s="6" t="s">
        <v>247</v>
      </c>
      <c r="X12" s="6"/>
      <c r="Y12" s="6" t="s">
        <v>148</v>
      </c>
      <c r="Z12" s="6" t="s">
        <v>142</v>
      </c>
      <c r="AA12" s="6" t="s">
        <v>115</v>
      </c>
      <c r="AB12" s="6"/>
      <c r="AC12" s="6"/>
      <c r="AD12" s="6" t="s">
        <v>115</v>
      </c>
      <c r="AE12" s="6" t="s">
        <v>116</v>
      </c>
      <c r="AF12" s="6"/>
      <c r="AG12" s="6"/>
      <c r="AH12" s="6" t="s">
        <v>116</v>
      </c>
      <c r="AI12" s="6" t="s">
        <v>175</v>
      </c>
      <c r="AJ12" s="6" t="s">
        <v>237</v>
      </c>
      <c r="AK12" s="6"/>
      <c r="AL12" s="6"/>
      <c r="AM12" s="6" t="s">
        <v>211</v>
      </c>
      <c r="AN12" s="6"/>
      <c r="AO12" s="6"/>
      <c r="AP12" s="6"/>
      <c r="AQ12" s="6"/>
      <c r="AR12" s="6"/>
      <c r="AS12" s="6" t="s">
        <v>144</v>
      </c>
      <c r="AT12" s="6" t="s">
        <v>652</v>
      </c>
      <c r="AU12" s="7" t="str">
        <f>IF($AT12="","",IFERROR(INDEX(InstructorMap!$B:$B, MATCH($AT12, InstructorMap!$A:$A, 0)),""))</f>
        <v>younker@andrews.edu</v>
      </c>
      <c r="AV12" s="7" t="str">
        <f>IF($AT12="","",IFERROR(INDEX(InstructorMap!$C:$C, MATCH($AT12, InstructorMap!$A:$A, 0)),""))</f>
        <v>000042559</v>
      </c>
      <c r="AW12" s="6" t="s">
        <v>121</v>
      </c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 t="s">
        <v>898</v>
      </c>
      <c r="BI12" s="6" t="s">
        <v>124</v>
      </c>
      <c r="BJ12" s="6" t="s">
        <v>125</v>
      </c>
      <c r="BK12" s="6"/>
      <c r="BL12" s="6" t="s">
        <v>125</v>
      </c>
      <c r="BM12" s="6"/>
      <c r="BN12" s="6"/>
      <c r="BO12" s="6" t="s">
        <v>127</v>
      </c>
      <c r="BP12" s="6"/>
      <c r="BQ12" s="6"/>
      <c r="BR12" s="6"/>
      <c r="BS12" s="6"/>
      <c r="BT12" s="6" t="s">
        <v>128</v>
      </c>
      <c r="BU12" s="6" t="s">
        <v>129</v>
      </c>
      <c r="BV12" s="6" t="s">
        <v>129</v>
      </c>
      <c r="BW12" s="6" t="s">
        <v>130</v>
      </c>
      <c r="BX12" s="6" t="s">
        <v>131</v>
      </c>
      <c r="BY12" s="6"/>
      <c r="BZ12" s="6"/>
      <c r="CA12" s="6"/>
      <c r="CB12" s="6"/>
      <c r="CC12" s="6"/>
      <c r="CD12" s="6"/>
      <c r="CE12" s="6"/>
      <c r="CF12" s="6" t="s">
        <v>130</v>
      </c>
      <c r="CG12" s="6"/>
      <c r="CH12" s="6" t="s">
        <v>131</v>
      </c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 t="s">
        <v>132</v>
      </c>
      <c r="CT12" s="6" t="s">
        <v>133</v>
      </c>
      <c r="CU12" s="6" t="s">
        <v>134</v>
      </c>
      <c r="CV12" s="6"/>
    </row>
    <row r="13" spans="1:100" x14ac:dyDescent="0.2">
      <c r="A13" s="130" t="b">
        <v>0</v>
      </c>
      <c r="B13" s="130" t="b">
        <v>0</v>
      </c>
      <c r="C13" s="130" t="b">
        <v>0</v>
      </c>
      <c r="D13" s="130" t="b">
        <v>0</v>
      </c>
      <c r="E13" s="130" t="b">
        <v>0</v>
      </c>
      <c r="F13" s="130" t="b">
        <v>1</v>
      </c>
      <c r="G13" s="137"/>
      <c r="H13" s="6" t="s">
        <v>936</v>
      </c>
      <c r="I13" s="21" t="s">
        <v>937</v>
      </c>
      <c r="J13" s="6" t="s">
        <v>891</v>
      </c>
      <c r="K13" s="6" t="s">
        <v>267</v>
      </c>
      <c r="L13" s="6" t="s">
        <v>538</v>
      </c>
      <c r="M13" s="6"/>
      <c r="N13" s="6" t="s">
        <v>934</v>
      </c>
      <c r="O13" s="6" t="s">
        <v>892</v>
      </c>
      <c r="P13" s="6"/>
      <c r="Q13" s="6" t="s">
        <v>906</v>
      </c>
      <c r="R13" s="6" t="s">
        <v>129</v>
      </c>
      <c r="S13" s="6"/>
      <c r="T13" s="6"/>
      <c r="U13" s="6"/>
      <c r="V13" s="6"/>
      <c r="W13" s="6" t="s">
        <v>247</v>
      </c>
      <c r="X13" s="6"/>
      <c r="Y13" s="6" t="s">
        <v>203</v>
      </c>
      <c r="Z13" s="6" t="s">
        <v>142</v>
      </c>
      <c r="AA13" s="6" t="s">
        <v>115</v>
      </c>
      <c r="AB13" s="6"/>
      <c r="AC13" s="6"/>
      <c r="AD13" s="6" t="s">
        <v>115</v>
      </c>
      <c r="AE13" s="6" t="s">
        <v>116</v>
      </c>
      <c r="AF13" s="6"/>
      <c r="AG13" s="6"/>
      <c r="AH13" s="6" t="s">
        <v>116</v>
      </c>
      <c r="AI13" s="6" t="s">
        <v>277</v>
      </c>
      <c r="AJ13" s="6" t="s">
        <v>194</v>
      </c>
      <c r="AK13" s="6"/>
      <c r="AL13" s="6"/>
      <c r="AM13" s="6" t="s">
        <v>211</v>
      </c>
      <c r="AN13" s="6"/>
      <c r="AO13" s="6"/>
      <c r="AP13" s="6"/>
      <c r="AQ13" s="6"/>
      <c r="AR13" s="6"/>
      <c r="AS13" s="6" t="s">
        <v>144</v>
      </c>
      <c r="AT13" s="6" t="s">
        <v>894</v>
      </c>
      <c r="AU13" s="7" t="str">
        <f>IF($AT13="","",IFERROR(INDEX(InstructorMap!$B:$B, MATCH($AT13, InstructorMap!$A:$A, 0)),""))</f>
        <v>bates@andrews.edu</v>
      </c>
      <c r="AV13" s="7" t="str">
        <f>IF($AT13="","",IFERROR(INDEX(InstructorMap!$C:$C, MATCH($AT13, InstructorMap!$A:$A, 0)),""))</f>
        <v>000095796</v>
      </c>
      <c r="AW13" s="6" t="s">
        <v>121</v>
      </c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 t="s">
        <v>898</v>
      </c>
      <c r="BI13" s="6" t="s">
        <v>124</v>
      </c>
      <c r="BJ13" s="6" t="s">
        <v>125</v>
      </c>
      <c r="BK13" s="6"/>
      <c r="BL13" s="6" t="s">
        <v>125</v>
      </c>
      <c r="BM13" s="6"/>
      <c r="BN13" s="6"/>
      <c r="BO13" s="6" t="s">
        <v>127</v>
      </c>
      <c r="BP13" s="6"/>
      <c r="BQ13" s="6"/>
      <c r="BR13" s="6"/>
      <c r="BS13" s="6"/>
      <c r="BT13" s="6" t="s">
        <v>128</v>
      </c>
      <c r="BU13" s="6" t="s">
        <v>129</v>
      </c>
      <c r="BV13" s="6" t="s">
        <v>129</v>
      </c>
      <c r="BW13" s="6"/>
      <c r="BX13" s="6"/>
      <c r="BY13" s="6"/>
      <c r="BZ13" s="6"/>
      <c r="CA13" s="6"/>
      <c r="CB13" s="6"/>
      <c r="CC13" s="6"/>
      <c r="CD13" s="6"/>
      <c r="CE13" s="6"/>
      <c r="CF13" s="6" t="s">
        <v>130</v>
      </c>
      <c r="CG13" s="6"/>
      <c r="CH13" s="6" t="s">
        <v>131</v>
      </c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 t="s">
        <v>132</v>
      </c>
      <c r="CT13" s="6" t="s">
        <v>133</v>
      </c>
      <c r="CU13" s="6" t="s">
        <v>134</v>
      </c>
      <c r="CV13" s="6"/>
    </row>
    <row r="14" spans="1:100" x14ac:dyDescent="0.2">
      <c r="A14" s="130" t="b">
        <v>0</v>
      </c>
      <c r="B14" s="130" t="b">
        <v>0</v>
      </c>
      <c r="C14" s="130" t="b">
        <v>0</v>
      </c>
      <c r="D14" s="130" t="b">
        <v>0</v>
      </c>
      <c r="E14" s="130" t="b">
        <v>0</v>
      </c>
      <c r="F14" s="130" t="b">
        <v>1</v>
      </c>
      <c r="G14" s="137"/>
      <c r="H14" s="6" t="s">
        <v>938</v>
      </c>
      <c r="I14" s="21" t="s">
        <v>939</v>
      </c>
      <c r="J14" s="6" t="s">
        <v>891</v>
      </c>
      <c r="K14" s="6" t="s">
        <v>267</v>
      </c>
      <c r="L14" s="6" t="s">
        <v>105</v>
      </c>
      <c r="M14" s="6"/>
      <c r="N14" s="6" t="s">
        <v>934</v>
      </c>
      <c r="O14" s="6" t="s">
        <v>935</v>
      </c>
      <c r="P14" s="6"/>
      <c r="Q14" s="6" t="s">
        <v>915</v>
      </c>
      <c r="R14" s="6" t="s">
        <v>108</v>
      </c>
      <c r="S14" s="6"/>
      <c r="T14" s="6"/>
      <c r="U14" s="6" t="s">
        <v>110</v>
      </c>
      <c r="V14" s="6"/>
      <c r="W14" s="6" t="s">
        <v>247</v>
      </c>
      <c r="X14" s="6"/>
      <c r="Y14" s="6" t="s">
        <v>203</v>
      </c>
      <c r="Z14" s="6" t="s">
        <v>114</v>
      </c>
      <c r="AA14" s="6" t="s">
        <v>115</v>
      </c>
      <c r="AB14" s="6"/>
      <c r="AC14" s="6"/>
      <c r="AD14" s="6" t="s">
        <v>115</v>
      </c>
      <c r="AE14" s="6" t="s">
        <v>116</v>
      </c>
      <c r="AF14" s="6"/>
      <c r="AG14" s="6"/>
      <c r="AH14" s="6" t="s">
        <v>116</v>
      </c>
      <c r="AI14" s="6" t="s">
        <v>175</v>
      </c>
      <c r="AJ14" s="6" t="s">
        <v>237</v>
      </c>
      <c r="AK14" s="6"/>
      <c r="AL14" s="6"/>
      <c r="AM14" s="6" t="s">
        <v>211</v>
      </c>
      <c r="AN14" s="6"/>
      <c r="AO14" s="6"/>
      <c r="AP14" s="6"/>
      <c r="AQ14" s="6"/>
      <c r="AR14" s="6"/>
      <c r="AS14" s="6"/>
      <c r="AT14" s="6" t="s">
        <v>652</v>
      </c>
      <c r="AU14" s="7" t="str">
        <f>IF($AT14="","",IFERROR(INDEX(InstructorMap!$B:$B, MATCH($AT14, InstructorMap!$A:$A, 0)),""))</f>
        <v>younker@andrews.edu</v>
      </c>
      <c r="AV14" s="7" t="str">
        <f>IF($AT14="","",IFERROR(INDEX(InstructorMap!$C:$C, MATCH($AT14, InstructorMap!$A:$A, 0)),""))</f>
        <v>000042559</v>
      </c>
      <c r="AW14" s="6" t="s">
        <v>121</v>
      </c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 t="s">
        <v>898</v>
      </c>
      <c r="BI14" s="6" t="s">
        <v>124</v>
      </c>
      <c r="BJ14" s="6" t="s">
        <v>125</v>
      </c>
      <c r="BK14" s="6"/>
      <c r="BL14" s="6" t="s">
        <v>126</v>
      </c>
      <c r="BM14" s="6"/>
      <c r="BN14" s="6"/>
      <c r="BO14" s="6" t="s">
        <v>127</v>
      </c>
      <c r="BP14" s="6"/>
      <c r="BQ14" s="6"/>
      <c r="BR14" s="6"/>
      <c r="BS14" s="6"/>
      <c r="BT14" s="6" t="s">
        <v>128</v>
      </c>
      <c r="BU14" s="6" t="s">
        <v>129</v>
      </c>
      <c r="BV14" s="6" t="s">
        <v>129</v>
      </c>
      <c r="BW14" s="6" t="s">
        <v>130</v>
      </c>
      <c r="BX14" s="6" t="s">
        <v>131</v>
      </c>
      <c r="BY14" s="6"/>
      <c r="BZ14" s="6"/>
      <c r="CA14" s="6"/>
      <c r="CB14" s="6"/>
      <c r="CC14" s="6"/>
      <c r="CD14" s="6"/>
      <c r="CE14" s="6"/>
      <c r="CF14" s="6" t="s">
        <v>130</v>
      </c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 t="s">
        <v>132</v>
      </c>
      <c r="CT14" s="6" t="s">
        <v>133</v>
      </c>
      <c r="CU14" s="6" t="s">
        <v>134</v>
      </c>
      <c r="CV14" s="6"/>
    </row>
    <row r="15" spans="1:100" x14ac:dyDescent="0.2">
      <c r="A15" s="130" t="b">
        <v>0</v>
      </c>
      <c r="B15" s="130" t="b">
        <v>0</v>
      </c>
      <c r="C15" s="130" t="b">
        <v>0</v>
      </c>
      <c r="D15" s="130" t="b">
        <v>0</v>
      </c>
      <c r="E15" s="130" t="b">
        <v>0</v>
      </c>
      <c r="F15" s="130" t="b">
        <v>1</v>
      </c>
      <c r="G15" s="36"/>
      <c r="H15" s="6" t="s">
        <v>940</v>
      </c>
      <c r="I15" s="21" t="s">
        <v>941</v>
      </c>
      <c r="J15" s="6" t="s">
        <v>891</v>
      </c>
      <c r="K15" s="6" t="s">
        <v>288</v>
      </c>
      <c r="L15" s="6" t="s">
        <v>255</v>
      </c>
      <c r="M15" s="6"/>
      <c r="N15" s="6" t="s">
        <v>942</v>
      </c>
      <c r="O15" s="6" t="s">
        <v>943</v>
      </c>
      <c r="P15" s="6"/>
      <c r="Q15" s="6"/>
      <c r="R15" s="6" t="s">
        <v>129</v>
      </c>
      <c r="S15" s="6"/>
      <c r="T15" s="6"/>
      <c r="U15" s="6"/>
      <c r="V15" s="6"/>
      <c r="W15" s="6" t="s">
        <v>290</v>
      </c>
      <c r="X15" s="6"/>
      <c r="Y15" s="6" t="s">
        <v>151</v>
      </c>
      <c r="Z15" s="6" t="s">
        <v>142</v>
      </c>
      <c r="AA15" s="6" t="s">
        <v>115</v>
      </c>
      <c r="AB15" s="6"/>
      <c r="AC15" s="6"/>
      <c r="AD15" s="6" t="s">
        <v>115</v>
      </c>
      <c r="AE15" s="6" t="s">
        <v>116</v>
      </c>
      <c r="AF15" s="6"/>
      <c r="AG15" s="6"/>
      <c r="AH15" s="6" t="s">
        <v>116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 t="s">
        <v>799</v>
      </c>
      <c r="AU15" s="7" t="str">
        <f>IF($AT15="","",IFERROR(INDEX(InstructorMap!$B:$B, MATCH($AT15, InstructorMap!$A:$A, 0)),""))</f>
        <v>rayp@andrews.edu</v>
      </c>
      <c r="AV15" s="7" t="str">
        <f>IF($AT15="","",IFERROR(INDEX(InstructorMap!$C:$C, MATCH($AT15, InstructorMap!$A:$A, 0)),""))</f>
        <v>000029934</v>
      </c>
      <c r="AW15" s="6" t="s">
        <v>121</v>
      </c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 t="s">
        <v>898</v>
      </c>
      <c r="BI15" s="6" t="s">
        <v>124</v>
      </c>
      <c r="BJ15" s="6" t="s">
        <v>125</v>
      </c>
      <c r="BK15" s="6"/>
      <c r="BL15" s="6" t="s">
        <v>249</v>
      </c>
      <c r="BM15" s="6"/>
      <c r="BN15" s="6"/>
      <c r="BO15" s="6" t="s">
        <v>127</v>
      </c>
      <c r="BP15" s="6"/>
      <c r="BQ15" s="6"/>
      <c r="BR15" s="6"/>
      <c r="BS15" s="6"/>
      <c r="BT15" s="6" t="s">
        <v>128</v>
      </c>
      <c r="BU15" s="6" t="s">
        <v>129</v>
      </c>
      <c r="BV15" s="6" t="s">
        <v>129</v>
      </c>
      <c r="BW15" s="6" t="s">
        <v>130</v>
      </c>
      <c r="BX15" s="6"/>
      <c r="BY15" s="6"/>
      <c r="BZ15" s="6"/>
      <c r="CA15" s="6"/>
      <c r="CB15" s="6"/>
      <c r="CC15" s="6"/>
      <c r="CD15" s="6"/>
      <c r="CE15" s="6"/>
      <c r="CF15" s="6" t="s">
        <v>130</v>
      </c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 t="s">
        <v>132</v>
      </c>
      <c r="CT15" s="6" t="s">
        <v>133</v>
      </c>
      <c r="CU15" s="6" t="s">
        <v>134</v>
      </c>
      <c r="CV15" s="6"/>
    </row>
    <row r="16" spans="1:100" x14ac:dyDescent="0.2">
      <c r="A16" s="130" t="b">
        <v>0</v>
      </c>
      <c r="B16" s="130" t="b">
        <v>0</v>
      </c>
      <c r="C16" s="130" t="b">
        <v>0</v>
      </c>
      <c r="D16" s="130" t="b">
        <v>0</v>
      </c>
      <c r="E16" s="130" t="b">
        <v>0</v>
      </c>
      <c r="F16" s="130" t="b">
        <v>1</v>
      </c>
      <c r="G16" s="6"/>
      <c r="H16" s="6" t="s">
        <v>944</v>
      </c>
      <c r="I16" s="21" t="s">
        <v>945</v>
      </c>
      <c r="J16" s="6" t="s">
        <v>891</v>
      </c>
      <c r="K16" s="6" t="s">
        <v>288</v>
      </c>
      <c r="L16" s="6" t="s">
        <v>252</v>
      </c>
      <c r="M16" s="6"/>
      <c r="N16" s="6" t="s">
        <v>942</v>
      </c>
      <c r="O16" s="6"/>
      <c r="P16" s="6"/>
      <c r="Q16" s="6"/>
      <c r="R16" s="6" t="s">
        <v>129</v>
      </c>
      <c r="S16" s="6"/>
      <c r="T16" s="6"/>
      <c r="U16" s="6"/>
      <c r="V16" s="6"/>
      <c r="W16" s="6" t="s">
        <v>290</v>
      </c>
      <c r="X16" s="6" t="s">
        <v>173</v>
      </c>
      <c r="Y16" s="6" t="s">
        <v>148</v>
      </c>
      <c r="Z16" s="6" t="s">
        <v>142</v>
      </c>
      <c r="AA16" s="6" t="s">
        <v>115</v>
      </c>
      <c r="AB16" s="6"/>
      <c r="AC16" s="6"/>
      <c r="AD16" s="6" t="s">
        <v>115</v>
      </c>
      <c r="AE16" s="6" t="s">
        <v>116</v>
      </c>
      <c r="AF16" s="6"/>
      <c r="AG16" s="6"/>
      <c r="AH16" s="6" t="s">
        <v>116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 t="s">
        <v>652</v>
      </c>
      <c r="AU16" s="7" t="str">
        <f>IF($AT16="","",IFERROR(INDEX(InstructorMap!$B:$B, MATCH($AT16, InstructorMap!$A:$A, 0)),""))</f>
        <v>younker@andrews.edu</v>
      </c>
      <c r="AV16" s="7" t="str">
        <f>IF($AT16="","",IFERROR(INDEX(InstructorMap!$C:$C, MATCH($AT16, InstructorMap!$A:$A, 0)),""))</f>
        <v>000042559</v>
      </c>
      <c r="AW16" s="6" t="s">
        <v>121</v>
      </c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 t="s">
        <v>898</v>
      </c>
      <c r="BI16" s="6" t="s">
        <v>124</v>
      </c>
      <c r="BJ16" s="6" t="s">
        <v>125</v>
      </c>
      <c r="BK16" s="6" t="s">
        <v>173</v>
      </c>
      <c r="BL16" s="6" t="s">
        <v>249</v>
      </c>
      <c r="BM16" s="6"/>
      <c r="BN16" s="6"/>
      <c r="BO16" s="6" t="s">
        <v>127</v>
      </c>
      <c r="BP16" s="6"/>
      <c r="BQ16" s="6"/>
      <c r="BR16" s="6"/>
      <c r="BS16" s="6"/>
      <c r="BT16" s="6" t="s">
        <v>128</v>
      </c>
      <c r="BU16" s="6" t="s">
        <v>129</v>
      </c>
      <c r="BV16" s="6" t="s">
        <v>129</v>
      </c>
      <c r="BW16" s="6" t="s">
        <v>130</v>
      </c>
      <c r="BX16" s="6"/>
      <c r="BY16" s="6"/>
      <c r="BZ16" s="6"/>
      <c r="CA16" s="6"/>
      <c r="CB16" s="6"/>
      <c r="CC16" s="6"/>
      <c r="CD16" s="6"/>
      <c r="CE16" s="6"/>
      <c r="CF16" s="6" t="s">
        <v>130</v>
      </c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 t="s">
        <v>132</v>
      </c>
      <c r="CT16" s="6" t="s">
        <v>133</v>
      </c>
      <c r="CU16" s="6" t="s">
        <v>134</v>
      </c>
      <c r="CV16" s="6"/>
    </row>
    <row r="17" spans="1:100" x14ac:dyDescent="0.2">
      <c r="A17" s="132" t="b">
        <v>0</v>
      </c>
      <c r="B17" s="132" t="b">
        <v>0</v>
      </c>
      <c r="C17" s="132" t="b">
        <v>1</v>
      </c>
      <c r="D17" s="132" t="b">
        <v>0</v>
      </c>
      <c r="E17" s="132" t="b">
        <v>1</v>
      </c>
      <c r="F17" s="132" t="b">
        <v>0</v>
      </c>
      <c r="G17" s="8" t="s">
        <v>787</v>
      </c>
      <c r="H17" s="8" t="s">
        <v>946</v>
      </c>
      <c r="I17" s="142" t="s">
        <v>947</v>
      </c>
      <c r="J17" s="8" t="s">
        <v>898</v>
      </c>
      <c r="K17" s="8" t="s">
        <v>948</v>
      </c>
      <c r="L17" s="8" t="s">
        <v>137</v>
      </c>
      <c r="M17" s="8"/>
      <c r="N17" s="8" t="s">
        <v>949</v>
      </c>
      <c r="O17" s="8"/>
      <c r="P17" s="8"/>
      <c r="Q17" s="8"/>
      <c r="R17" s="8" t="s">
        <v>129</v>
      </c>
      <c r="S17" s="8"/>
      <c r="T17" s="8"/>
      <c r="U17" s="8"/>
      <c r="V17" s="8"/>
      <c r="W17" s="8" t="s">
        <v>112</v>
      </c>
      <c r="X17" s="8" t="s">
        <v>150</v>
      </c>
      <c r="Y17" s="8" t="s">
        <v>332</v>
      </c>
      <c r="Z17" s="8" t="s">
        <v>142</v>
      </c>
      <c r="AA17" s="8" t="s">
        <v>115</v>
      </c>
      <c r="AB17" s="8"/>
      <c r="AC17" s="8"/>
      <c r="AD17" s="8" t="s">
        <v>115</v>
      </c>
      <c r="AE17" s="8" t="s">
        <v>116</v>
      </c>
      <c r="AF17" s="8"/>
      <c r="AG17" s="8"/>
      <c r="AH17" s="8" t="s">
        <v>116</v>
      </c>
      <c r="AI17" s="8" t="s">
        <v>357</v>
      </c>
      <c r="AJ17" s="8" t="s">
        <v>358</v>
      </c>
      <c r="AK17" s="8"/>
      <c r="AL17" s="8" t="s">
        <v>119</v>
      </c>
      <c r="AM17" s="8"/>
      <c r="AN17" s="8"/>
      <c r="AO17" s="8"/>
      <c r="AP17" s="8"/>
      <c r="AQ17" s="8"/>
      <c r="AR17" s="8"/>
      <c r="AS17" s="8" t="s">
        <v>144</v>
      </c>
      <c r="AT17" s="8" t="s">
        <v>950</v>
      </c>
      <c r="AU17" s="9" t="str">
        <f>IF($AT17="","",IFERROR(INDEX([1]InstructorMap!$B:$B, MATCH($AT17, [1]InstructorMap!$A:$A, 0)),""))</f>
        <v>olariu@andrews.edu</v>
      </c>
      <c r="AV17" s="9" t="str">
        <f>IF($AT17="","",IFERROR(INDEX([1]InstructorMap!$C:$C, MATCH($AT17, [1]InstructorMap!$A:$A, 0)),""))</f>
        <v>000163538</v>
      </c>
      <c r="AW17" s="8" t="s">
        <v>121</v>
      </c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 t="s">
        <v>898</v>
      </c>
      <c r="BI17" s="8" t="s">
        <v>124</v>
      </c>
      <c r="BJ17" s="8" t="s">
        <v>125</v>
      </c>
      <c r="BK17" s="8" t="s">
        <v>150</v>
      </c>
      <c r="BL17" s="8" t="s">
        <v>125</v>
      </c>
      <c r="BM17" s="8"/>
      <c r="BN17" s="8"/>
      <c r="BO17" s="8" t="s">
        <v>127</v>
      </c>
      <c r="BP17" s="8"/>
      <c r="BQ17" s="8"/>
      <c r="BR17" s="8"/>
      <c r="BS17" s="8"/>
      <c r="BT17" s="8" t="s">
        <v>128</v>
      </c>
      <c r="BU17" s="8" t="s">
        <v>129</v>
      </c>
      <c r="BV17" s="8" t="s">
        <v>129</v>
      </c>
      <c r="BW17" s="8" t="s">
        <v>130</v>
      </c>
      <c r="BX17" s="8"/>
      <c r="BY17" s="8"/>
      <c r="BZ17" s="8"/>
      <c r="CA17" s="8"/>
      <c r="CB17" s="8"/>
      <c r="CC17" s="8"/>
      <c r="CD17" s="8"/>
      <c r="CE17" s="8"/>
      <c r="CF17" s="8" t="s">
        <v>130</v>
      </c>
      <c r="CG17" s="8"/>
      <c r="CH17" s="8" t="s">
        <v>131</v>
      </c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 t="s">
        <v>132</v>
      </c>
      <c r="CT17" s="8" t="s">
        <v>133</v>
      </c>
      <c r="CU17" s="8" t="s">
        <v>134</v>
      </c>
      <c r="CV17" s="8"/>
    </row>
    <row r="18" spans="1:100" s="51" customFormat="1" x14ac:dyDescent="0.2">
      <c r="A18" s="32" t="b">
        <v>0</v>
      </c>
      <c r="B18" s="32" t="b">
        <v>0</v>
      </c>
      <c r="C18" s="32" t="b">
        <v>0</v>
      </c>
      <c r="D18" s="32" t="b">
        <v>0</v>
      </c>
      <c r="E18" s="32" t="b">
        <v>0</v>
      </c>
      <c r="F18" s="32" t="b">
        <v>0</v>
      </c>
      <c r="G18" s="25" t="s">
        <v>765</v>
      </c>
      <c r="H18" s="11"/>
      <c r="I18" s="20" t="s">
        <v>199</v>
      </c>
      <c r="J18" s="11" t="s">
        <v>898</v>
      </c>
      <c r="K18" s="11" t="s">
        <v>895</v>
      </c>
      <c r="L18" s="11" t="s">
        <v>137</v>
      </c>
      <c r="M18" s="11"/>
      <c r="N18" s="11" t="s">
        <v>896</v>
      </c>
      <c r="O18" s="11"/>
      <c r="P18" s="11" t="s">
        <v>897</v>
      </c>
      <c r="Q18" s="11"/>
      <c r="R18" s="11" t="s">
        <v>129</v>
      </c>
      <c r="S18" s="11"/>
      <c r="T18" s="11" t="s">
        <v>139</v>
      </c>
      <c r="U18" s="11"/>
      <c r="V18" s="11"/>
      <c r="W18" s="11"/>
      <c r="X18" s="11" t="s">
        <v>112</v>
      </c>
      <c r="Y18" s="11" t="s">
        <v>113</v>
      </c>
      <c r="Z18" s="11" t="s">
        <v>142</v>
      </c>
      <c r="AA18" s="11" t="s">
        <v>115</v>
      </c>
      <c r="AB18" s="11"/>
      <c r="AC18" s="11"/>
      <c r="AD18" s="11" t="s">
        <v>115</v>
      </c>
      <c r="AE18" s="11" t="s">
        <v>116</v>
      </c>
      <c r="AF18" s="11"/>
      <c r="AG18" s="11"/>
      <c r="AH18" s="11" t="s">
        <v>116</v>
      </c>
      <c r="AI18" s="11" t="s">
        <v>175</v>
      </c>
      <c r="AJ18" s="11" t="s">
        <v>237</v>
      </c>
      <c r="AK18" s="11"/>
      <c r="AL18" s="11"/>
      <c r="AM18" s="11" t="s">
        <v>211</v>
      </c>
      <c r="AN18" s="11"/>
      <c r="AO18" s="11"/>
      <c r="AP18" s="11"/>
      <c r="AQ18" s="11"/>
      <c r="AR18" s="11" t="s">
        <v>143</v>
      </c>
      <c r="AS18" s="11" t="s">
        <v>144</v>
      </c>
      <c r="AT18" s="11" t="s">
        <v>652</v>
      </c>
      <c r="AU18" s="13" t="str">
        <f>IF($AT18="","",IFERROR(INDEX(InstructorMap!$B:$B, MATCH($AT18, InstructorMap!$A:$A, 0)),""))</f>
        <v>younker@andrews.edu</v>
      </c>
      <c r="AV18" s="13" t="str">
        <f>IF($AT18="","",IFERROR(INDEX(InstructorMap!$C:$C, MATCH($AT18, InstructorMap!$A:$A, 0)),""))</f>
        <v>000042559</v>
      </c>
      <c r="AW18" s="11" t="s">
        <v>121</v>
      </c>
      <c r="AX18" s="11" t="s">
        <v>122</v>
      </c>
      <c r="AY18" s="11"/>
      <c r="AZ18" s="11"/>
      <c r="BA18" s="11"/>
      <c r="BB18" s="11"/>
      <c r="BC18" s="11"/>
      <c r="BD18" s="11"/>
      <c r="BE18" s="11"/>
      <c r="BF18" s="11"/>
      <c r="BG18" s="11"/>
      <c r="BH18" s="11" t="s">
        <v>898</v>
      </c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 t="s">
        <v>146</v>
      </c>
      <c r="CT18" s="11" t="s">
        <v>133</v>
      </c>
      <c r="CU18" s="11"/>
      <c r="CV18" s="11"/>
    </row>
    <row r="19" spans="1:100" x14ac:dyDescent="0.2">
      <c r="A19" s="26" t="b">
        <v>0</v>
      </c>
      <c r="B19" s="26" t="b">
        <v>0</v>
      </c>
      <c r="C19" s="26" t="b">
        <v>0</v>
      </c>
      <c r="D19" s="26" t="b">
        <v>0</v>
      </c>
      <c r="E19" s="26" t="b">
        <v>0</v>
      </c>
      <c r="F19" s="26" t="b">
        <v>1</v>
      </c>
      <c r="G19" s="27"/>
      <c r="H19" s="4" t="s">
        <v>951</v>
      </c>
      <c r="I19" s="22" t="s">
        <v>952</v>
      </c>
      <c r="J19" s="4" t="s">
        <v>898</v>
      </c>
      <c r="K19" s="4" t="s">
        <v>774</v>
      </c>
      <c r="L19" s="4" t="s">
        <v>148</v>
      </c>
      <c r="M19" s="4"/>
      <c r="N19" s="4" t="s">
        <v>953</v>
      </c>
      <c r="O19" s="4"/>
      <c r="P19" s="4"/>
      <c r="Q19" s="4"/>
      <c r="R19" s="4" t="s">
        <v>108</v>
      </c>
      <c r="S19" s="4"/>
      <c r="T19" s="4" t="s">
        <v>109</v>
      </c>
      <c r="U19" s="4" t="s">
        <v>149</v>
      </c>
      <c r="V19" s="4"/>
      <c r="W19" s="4" t="s">
        <v>954</v>
      </c>
      <c r="X19" s="4" t="s">
        <v>173</v>
      </c>
      <c r="Y19" s="4" t="s">
        <v>113</v>
      </c>
      <c r="Z19" s="4" t="s">
        <v>114</v>
      </c>
      <c r="AA19" s="4" t="s">
        <v>115</v>
      </c>
      <c r="AB19" s="4"/>
      <c r="AC19" s="4"/>
      <c r="AD19" s="4"/>
      <c r="AE19" s="4"/>
      <c r="AF19" s="4"/>
      <c r="AG19" s="4"/>
      <c r="AH19" s="4" t="s">
        <v>116</v>
      </c>
      <c r="AI19" s="10" t="s">
        <v>147</v>
      </c>
      <c r="AJ19" s="10" t="s">
        <v>147</v>
      </c>
      <c r="AK19" s="4"/>
      <c r="AL19" s="4"/>
      <c r="AM19" s="4"/>
      <c r="AN19" s="4"/>
      <c r="AO19" s="4"/>
      <c r="AP19" s="4"/>
      <c r="AQ19" s="4"/>
      <c r="AR19" s="4"/>
      <c r="AS19" s="4"/>
      <c r="AT19" s="4" t="s">
        <v>679</v>
      </c>
      <c r="AU19" s="5" t="str">
        <f>IF($AT19="","",IFERROR(INDEX(InstructorMap!$B:$B, MATCH($AT19, InstructorMap!$A:$A, 0)),""))</f>
        <v>glanz@andrews.edu</v>
      </c>
      <c r="AV19" s="5" t="str">
        <f>IF($AT19="","",IFERROR(INDEX(InstructorMap!$C:$C, MATCH($AT19, InstructorMap!$A:$A, 0)),""))</f>
        <v>000162826</v>
      </c>
      <c r="AW19" s="4" t="s">
        <v>121</v>
      </c>
      <c r="AX19" s="4" t="s">
        <v>122</v>
      </c>
      <c r="AY19" s="4"/>
      <c r="AZ19" s="4"/>
      <c r="BA19" s="4"/>
      <c r="BB19" s="4"/>
      <c r="BC19" s="4"/>
      <c r="BD19" s="4"/>
      <c r="BE19" s="4"/>
      <c r="BF19" s="4"/>
      <c r="BG19" s="4"/>
      <c r="BH19" s="4" t="s">
        <v>898</v>
      </c>
      <c r="BI19" s="4" t="s">
        <v>124</v>
      </c>
      <c r="BJ19" s="4" t="s">
        <v>125</v>
      </c>
      <c r="BK19" s="4" t="s">
        <v>173</v>
      </c>
      <c r="BL19" s="4" t="s">
        <v>126</v>
      </c>
      <c r="BM19" s="4" t="s">
        <v>955</v>
      </c>
      <c r="BN19" s="4"/>
      <c r="BO19" s="4" t="s">
        <v>127</v>
      </c>
      <c r="BP19" s="4"/>
      <c r="BQ19" s="4" t="s">
        <v>181</v>
      </c>
      <c r="BR19" s="4"/>
      <c r="BS19" s="4"/>
      <c r="BT19" s="4" t="s">
        <v>128</v>
      </c>
      <c r="BU19" s="4" t="s">
        <v>129</v>
      </c>
      <c r="BV19" s="4" t="s">
        <v>129</v>
      </c>
      <c r="BW19" s="4" t="s">
        <v>130</v>
      </c>
      <c r="BX19" s="4"/>
      <c r="BY19" s="4"/>
      <c r="BZ19" s="4"/>
      <c r="CA19" s="4"/>
      <c r="CB19" s="4"/>
      <c r="CC19" s="4"/>
      <c r="CD19" s="4"/>
      <c r="CE19" s="4"/>
      <c r="CF19" s="4" t="s">
        <v>130</v>
      </c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10" t="s">
        <v>147</v>
      </c>
      <c r="CT19" s="4" t="s">
        <v>133</v>
      </c>
      <c r="CU19" s="4" t="s">
        <v>134</v>
      </c>
      <c r="CV19" s="4"/>
    </row>
    <row r="20" spans="1:100" x14ac:dyDescent="0.2">
      <c r="A20" s="45" t="b">
        <v>0</v>
      </c>
      <c r="B20" s="45" t="b">
        <v>0</v>
      </c>
      <c r="C20" s="45" t="b">
        <v>1</v>
      </c>
      <c r="D20" s="45" t="b">
        <v>0</v>
      </c>
      <c r="E20" s="45" t="b">
        <v>0</v>
      </c>
      <c r="F20" s="45" t="b">
        <v>0</v>
      </c>
      <c r="G20" s="46" t="s">
        <v>956</v>
      </c>
      <c r="H20" s="4" t="s">
        <v>957</v>
      </c>
      <c r="I20" s="22" t="s">
        <v>958</v>
      </c>
      <c r="J20" s="4" t="s">
        <v>898</v>
      </c>
      <c r="K20" s="4" t="s">
        <v>774</v>
      </c>
      <c r="L20" s="4" t="s">
        <v>137</v>
      </c>
      <c r="M20" s="4"/>
      <c r="N20" s="4" t="s">
        <v>953</v>
      </c>
      <c r="O20" s="4"/>
      <c r="P20" s="4"/>
      <c r="Q20" s="4"/>
      <c r="R20" s="4" t="s">
        <v>129</v>
      </c>
      <c r="S20" s="4"/>
      <c r="T20" s="4" t="s">
        <v>959</v>
      </c>
      <c r="U20" s="4" t="s">
        <v>140</v>
      </c>
      <c r="V20" s="4"/>
      <c r="W20" s="4" t="s">
        <v>954</v>
      </c>
      <c r="X20" s="4" t="s">
        <v>173</v>
      </c>
      <c r="Y20" s="4" t="s">
        <v>151</v>
      </c>
      <c r="Z20" s="4" t="s">
        <v>142</v>
      </c>
      <c r="AA20" s="4" t="s">
        <v>115</v>
      </c>
      <c r="AB20" s="4"/>
      <c r="AC20" s="4"/>
      <c r="AD20" s="4" t="s">
        <v>115</v>
      </c>
      <c r="AE20" s="4" t="s">
        <v>116</v>
      </c>
      <c r="AF20" s="4"/>
      <c r="AG20" s="4"/>
      <c r="AH20" s="4" t="s">
        <v>116</v>
      </c>
      <c r="AI20" s="4" t="s">
        <v>175</v>
      </c>
      <c r="AJ20" s="4" t="s">
        <v>176</v>
      </c>
      <c r="AK20" s="4"/>
      <c r="AL20" s="4" t="s">
        <v>119</v>
      </c>
      <c r="AM20" s="4"/>
      <c r="AN20" s="4" t="s">
        <v>177</v>
      </c>
      <c r="AO20" s="4"/>
      <c r="AP20" s="4"/>
      <c r="AQ20" s="4"/>
      <c r="AR20" s="59" t="s">
        <v>212</v>
      </c>
      <c r="AS20" s="4" t="s">
        <v>144</v>
      </c>
      <c r="AT20" s="59" t="s">
        <v>894</v>
      </c>
      <c r="AU20" s="116" t="str">
        <f>IF($AT20="","",IFERROR(INDEX(InstructorMap!$B:$B, MATCH($AT20, InstructorMap!$A:$A, 0)),""))</f>
        <v>bates@andrews.edu</v>
      </c>
      <c r="AV20" s="116" t="str">
        <f>IF($AT20="","",IFERROR(INDEX(InstructorMap!$C:$C, MATCH($AT20, InstructorMap!$A:$A, 0)),""))</f>
        <v>000095796</v>
      </c>
      <c r="AW20" s="4" t="s">
        <v>121</v>
      </c>
      <c r="AX20" s="4" t="s">
        <v>160</v>
      </c>
      <c r="AY20" s="4" t="s">
        <v>180</v>
      </c>
      <c r="AZ20" s="4" t="s">
        <v>960</v>
      </c>
      <c r="BA20" s="4" t="s">
        <v>961</v>
      </c>
      <c r="BB20" s="4"/>
      <c r="BC20" s="4"/>
      <c r="BD20" s="4"/>
      <c r="BE20" s="4"/>
      <c r="BF20" s="4"/>
      <c r="BG20" s="4"/>
      <c r="BH20" s="4" t="s">
        <v>898</v>
      </c>
      <c r="BI20" s="4" t="s">
        <v>124</v>
      </c>
      <c r="BJ20" s="4" t="s">
        <v>125</v>
      </c>
      <c r="BK20" s="4" t="s">
        <v>173</v>
      </c>
      <c r="BL20" s="4" t="s">
        <v>125</v>
      </c>
      <c r="BM20" s="4" t="s">
        <v>955</v>
      </c>
      <c r="BN20" s="4"/>
      <c r="BO20" s="4" t="s">
        <v>127</v>
      </c>
      <c r="BP20" s="4"/>
      <c r="BQ20" s="4" t="s">
        <v>181</v>
      </c>
      <c r="BR20" s="4"/>
      <c r="BS20" s="4"/>
      <c r="BT20" s="4" t="s">
        <v>128</v>
      </c>
      <c r="BU20" s="4" t="s">
        <v>129</v>
      </c>
      <c r="BV20" s="4" t="s">
        <v>129</v>
      </c>
      <c r="BW20" s="4"/>
      <c r="BX20" s="4"/>
      <c r="BY20" s="4"/>
      <c r="BZ20" s="4"/>
      <c r="CA20" s="4"/>
      <c r="CB20" s="4"/>
      <c r="CC20" s="4"/>
      <c r="CD20" s="4"/>
      <c r="CE20" s="4"/>
      <c r="CF20" s="4" t="s">
        <v>130</v>
      </c>
      <c r="CG20" s="4"/>
      <c r="CH20" s="4" t="s">
        <v>131</v>
      </c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 t="s">
        <v>146</v>
      </c>
      <c r="CT20" s="4" t="s">
        <v>133</v>
      </c>
      <c r="CU20" s="4" t="s">
        <v>134</v>
      </c>
      <c r="CV20" s="4"/>
    </row>
    <row r="21" spans="1:100" x14ac:dyDescent="0.2">
      <c r="A21" s="132" t="b">
        <v>0</v>
      </c>
      <c r="B21" s="132" t="b">
        <v>0</v>
      </c>
      <c r="C21" s="132" t="b">
        <v>1</v>
      </c>
      <c r="D21" s="132" t="b">
        <v>0</v>
      </c>
      <c r="E21" s="132" t="b">
        <v>1</v>
      </c>
      <c r="F21" s="132" t="b">
        <v>0</v>
      </c>
      <c r="G21" s="140" t="s">
        <v>787</v>
      </c>
      <c r="H21" s="8" t="s">
        <v>962</v>
      </c>
      <c r="I21" s="142" t="s">
        <v>963</v>
      </c>
      <c r="J21" s="8" t="s">
        <v>898</v>
      </c>
      <c r="K21" s="8" t="s">
        <v>774</v>
      </c>
      <c r="L21" s="8" t="s">
        <v>216</v>
      </c>
      <c r="M21" s="8"/>
      <c r="N21" s="8" t="s">
        <v>953</v>
      </c>
      <c r="O21" s="8"/>
      <c r="P21" s="8"/>
      <c r="Q21" s="8"/>
      <c r="R21" s="8" t="s">
        <v>129</v>
      </c>
      <c r="S21" s="8"/>
      <c r="T21" s="8"/>
      <c r="U21" s="8"/>
      <c r="V21" s="8"/>
      <c r="W21" s="8" t="s">
        <v>954</v>
      </c>
      <c r="X21" s="8" t="s">
        <v>173</v>
      </c>
      <c r="Y21" s="8" t="s">
        <v>964</v>
      </c>
      <c r="Z21" s="8" t="s">
        <v>142</v>
      </c>
      <c r="AA21" s="8" t="s">
        <v>115</v>
      </c>
      <c r="AB21" s="8"/>
      <c r="AC21" s="8"/>
      <c r="AD21" s="8" t="s">
        <v>115</v>
      </c>
      <c r="AE21" s="8" t="s">
        <v>116</v>
      </c>
      <c r="AF21" s="8"/>
      <c r="AG21" s="8"/>
      <c r="AH21" s="8" t="s">
        <v>116</v>
      </c>
      <c r="AI21" s="8" t="s">
        <v>366</v>
      </c>
      <c r="AJ21" s="8" t="s">
        <v>176</v>
      </c>
      <c r="AK21" s="8"/>
      <c r="AL21" s="8" t="s">
        <v>119</v>
      </c>
      <c r="AM21" s="8" t="s">
        <v>211</v>
      </c>
      <c r="AN21" s="8" t="s">
        <v>177</v>
      </c>
      <c r="AO21" s="8" t="s">
        <v>221</v>
      </c>
      <c r="AP21" s="8"/>
      <c r="AQ21" s="8"/>
      <c r="AR21" s="8"/>
      <c r="AS21" s="8" t="s">
        <v>144</v>
      </c>
      <c r="AT21" s="8" t="s">
        <v>285</v>
      </c>
      <c r="AU21" s="9" t="str">
        <f>IF($AT21="","",IFERROR(INDEX([1]InstructorMap!$B:$B, MATCH($AT21, [1]InstructorMap!$A:$A, 0)),""))</f>
        <v/>
      </c>
      <c r="AV21" s="9" t="str">
        <f>IF($AT21="","",IFERROR(INDEX([1]InstructorMap!$C:$C, MATCH($AT21, [1]InstructorMap!$A:$A, 0)),""))</f>
        <v/>
      </c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 t="s">
        <v>898</v>
      </c>
      <c r="BI21" s="8" t="s">
        <v>124</v>
      </c>
      <c r="BJ21" s="8" t="s">
        <v>125</v>
      </c>
      <c r="BK21" s="8" t="s">
        <v>173</v>
      </c>
      <c r="BL21" s="8" t="s">
        <v>125</v>
      </c>
      <c r="BM21" s="8" t="s">
        <v>955</v>
      </c>
      <c r="BN21" s="8"/>
      <c r="BO21" s="8" t="s">
        <v>127</v>
      </c>
      <c r="BP21" s="8"/>
      <c r="BQ21" s="8" t="s">
        <v>181</v>
      </c>
      <c r="BR21" s="8"/>
      <c r="BS21" s="8"/>
      <c r="BT21" s="8" t="s">
        <v>128</v>
      </c>
      <c r="BU21" s="8" t="s">
        <v>129</v>
      </c>
      <c r="BV21" s="8" t="s">
        <v>129</v>
      </c>
      <c r="BW21" s="8"/>
      <c r="BX21" s="8"/>
      <c r="BY21" s="8"/>
      <c r="BZ21" s="8"/>
      <c r="CA21" s="8"/>
      <c r="CB21" s="8"/>
      <c r="CC21" s="8"/>
      <c r="CD21" s="8"/>
      <c r="CE21" s="8"/>
      <c r="CF21" s="8" t="s">
        <v>130</v>
      </c>
      <c r="CG21" s="8"/>
      <c r="CH21" s="8" t="s">
        <v>131</v>
      </c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 t="s">
        <v>132</v>
      </c>
      <c r="CT21" s="8" t="s">
        <v>133</v>
      </c>
      <c r="CU21" s="8" t="s">
        <v>134</v>
      </c>
      <c r="CV21" s="8"/>
    </row>
    <row r="22" spans="1:100" x14ac:dyDescent="0.2">
      <c r="A22" s="130" t="b">
        <v>0</v>
      </c>
      <c r="B22" s="130" t="b">
        <v>0</v>
      </c>
      <c r="C22" s="130" t="b">
        <v>0</v>
      </c>
      <c r="D22" s="130" t="b">
        <v>0</v>
      </c>
      <c r="E22" s="130" t="b">
        <v>0</v>
      </c>
      <c r="F22" s="130" t="b">
        <v>1</v>
      </c>
      <c r="G22" s="138"/>
      <c r="H22" s="6" t="s">
        <v>965</v>
      </c>
      <c r="I22" s="21" t="s">
        <v>966</v>
      </c>
      <c r="J22" s="6" t="s">
        <v>898</v>
      </c>
      <c r="K22" s="6" t="s">
        <v>774</v>
      </c>
      <c r="L22" s="6" t="s">
        <v>543</v>
      </c>
      <c r="M22" s="6"/>
      <c r="N22" s="6" t="s">
        <v>953</v>
      </c>
      <c r="O22" s="6"/>
      <c r="P22" s="6"/>
      <c r="Q22" s="6"/>
      <c r="R22" s="6" t="s">
        <v>129</v>
      </c>
      <c r="S22" s="6"/>
      <c r="T22" s="6"/>
      <c r="U22" s="6" t="s">
        <v>780</v>
      </c>
      <c r="V22" s="6"/>
      <c r="W22" s="6" t="s">
        <v>954</v>
      </c>
      <c r="X22" s="6" t="s">
        <v>129</v>
      </c>
      <c r="Y22" s="6" t="s">
        <v>113</v>
      </c>
      <c r="Z22" s="6" t="s">
        <v>142</v>
      </c>
      <c r="AA22" s="6"/>
      <c r="AB22" s="6"/>
      <c r="AC22" s="6"/>
      <c r="AD22" s="6" t="s">
        <v>525</v>
      </c>
      <c r="AE22" s="6" t="s">
        <v>116</v>
      </c>
      <c r="AF22" s="6"/>
      <c r="AG22" s="6"/>
      <c r="AH22" s="6"/>
      <c r="AI22" s="6"/>
      <c r="AJ22" s="6"/>
      <c r="AK22" s="6"/>
      <c r="AL22" s="6"/>
      <c r="AM22" s="6"/>
      <c r="AN22" s="6"/>
      <c r="AO22" s="6" t="s">
        <v>221</v>
      </c>
      <c r="AP22" s="6"/>
      <c r="AQ22" s="6"/>
      <c r="AR22" s="6"/>
      <c r="AS22" s="6"/>
      <c r="AT22" s="6" t="s">
        <v>679</v>
      </c>
      <c r="AU22" s="7" t="str">
        <f>IF($AT22="","",IFERROR(INDEX(InstructorMap!$B:$B, MATCH($AT22, InstructorMap!$A:$A, 0)),""))</f>
        <v>glanz@andrews.edu</v>
      </c>
      <c r="AV22" s="7" t="str">
        <f>IF($AT22="","",IFERROR(INDEX(InstructorMap!$C:$C, MATCH($AT22, InstructorMap!$A:$A, 0)),""))</f>
        <v>000162826</v>
      </c>
      <c r="AW22" s="6" t="s">
        <v>121</v>
      </c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 t="s">
        <v>898</v>
      </c>
      <c r="BI22" s="6" t="s">
        <v>124</v>
      </c>
      <c r="BJ22" s="6" t="s">
        <v>125</v>
      </c>
      <c r="BK22" s="6" t="s">
        <v>129</v>
      </c>
      <c r="BL22" s="6" t="s">
        <v>782</v>
      </c>
      <c r="BM22" s="6" t="s">
        <v>955</v>
      </c>
      <c r="BN22" s="6"/>
      <c r="BO22" s="6" t="s">
        <v>127</v>
      </c>
      <c r="BP22" s="6"/>
      <c r="BQ22" s="6" t="s">
        <v>181</v>
      </c>
      <c r="BR22" s="6"/>
      <c r="BS22" s="6"/>
      <c r="BT22" s="6" t="s">
        <v>128</v>
      </c>
      <c r="BU22" s="6" t="s">
        <v>129</v>
      </c>
      <c r="BV22" s="6" t="s">
        <v>129</v>
      </c>
      <c r="BW22" s="6" t="s">
        <v>130</v>
      </c>
      <c r="BX22" s="6" t="s">
        <v>131</v>
      </c>
      <c r="BY22" s="6" t="s">
        <v>525</v>
      </c>
      <c r="BZ22" s="6" t="s">
        <v>116</v>
      </c>
      <c r="CA22" s="6" t="s">
        <v>525</v>
      </c>
      <c r="CB22" s="6" t="s">
        <v>116</v>
      </c>
      <c r="CC22" s="6" t="s">
        <v>134</v>
      </c>
      <c r="CD22" s="6" t="s">
        <v>528</v>
      </c>
      <c r="CE22" s="6" t="s">
        <v>783</v>
      </c>
      <c r="CF22" s="6" t="s">
        <v>130</v>
      </c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 t="s">
        <v>249</v>
      </c>
      <c r="CS22" s="6"/>
      <c r="CT22" s="6" t="s">
        <v>133</v>
      </c>
      <c r="CU22" s="6"/>
      <c r="CV22" s="6"/>
    </row>
    <row r="23" spans="1:100" x14ac:dyDescent="0.2">
      <c r="A23" s="26" t="b">
        <v>0</v>
      </c>
      <c r="B23" s="26" t="b">
        <v>0</v>
      </c>
      <c r="C23" s="26" t="b">
        <v>0</v>
      </c>
      <c r="D23" s="26" t="b">
        <v>0</v>
      </c>
      <c r="E23" s="26" t="b">
        <v>0</v>
      </c>
      <c r="F23" s="26" t="b">
        <v>1</v>
      </c>
      <c r="G23" s="27"/>
      <c r="H23" s="4" t="s">
        <v>967</v>
      </c>
      <c r="I23" s="22" t="s">
        <v>968</v>
      </c>
      <c r="J23" s="4" t="s">
        <v>898</v>
      </c>
      <c r="K23" s="4" t="s">
        <v>790</v>
      </c>
      <c r="L23" s="4" t="s">
        <v>137</v>
      </c>
      <c r="M23" s="4"/>
      <c r="N23" s="4" t="s">
        <v>969</v>
      </c>
      <c r="O23" s="4"/>
      <c r="P23" s="4"/>
      <c r="Q23" s="4" t="s">
        <v>970</v>
      </c>
      <c r="R23" s="4" t="s">
        <v>129</v>
      </c>
      <c r="S23" s="4"/>
      <c r="T23" s="4" t="s">
        <v>139</v>
      </c>
      <c r="U23" s="4" t="s">
        <v>140</v>
      </c>
      <c r="V23" s="4"/>
      <c r="W23" s="4" t="s">
        <v>792</v>
      </c>
      <c r="X23" s="4" t="s">
        <v>150</v>
      </c>
      <c r="Y23" s="4" t="s">
        <v>113</v>
      </c>
      <c r="Z23" s="4" t="s">
        <v>142</v>
      </c>
      <c r="AA23" s="4" t="s">
        <v>115</v>
      </c>
      <c r="AB23" s="4"/>
      <c r="AC23" s="4"/>
      <c r="AD23" s="4" t="s">
        <v>115</v>
      </c>
      <c r="AE23" s="4" t="s">
        <v>116</v>
      </c>
      <c r="AF23" s="4"/>
      <c r="AG23" s="4"/>
      <c r="AH23" s="4" t="s">
        <v>116</v>
      </c>
      <c r="AI23" s="4" t="s">
        <v>175</v>
      </c>
      <c r="AJ23" s="4" t="s">
        <v>176</v>
      </c>
      <c r="AK23" s="4"/>
      <c r="AL23" s="4" t="s">
        <v>119</v>
      </c>
      <c r="AM23" s="4"/>
      <c r="AN23" s="4"/>
      <c r="AO23" s="4"/>
      <c r="AP23" s="4"/>
      <c r="AQ23" s="4"/>
      <c r="AR23" s="4"/>
      <c r="AS23" s="4" t="s">
        <v>144</v>
      </c>
      <c r="AT23" s="4" t="s">
        <v>950</v>
      </c>
      <c r="AU23" s="5" t="str">
        <f>IF($AT23="","",IFERROR(INDEX(InstructorMap!$B:$B, MATCH($AT23, InstructorMap!$A:$A, 0)),""))</f>
        <v>olariu@andrews.edu</v>
      </c>
      <c r="AV23" s="5" t="str">
        <f>IF($AT23="","",IFERROR(INDEX(InstructorMap!$C:$C, MATCH($AT23, InstructorMap!$A:$A, 0)),""))</f>
        <v>000163538</v>
      </c>
      <c r="AW23" s="4" t="s">
        <v>121</v>
      </c>
      <c r="AX23" s="4" t="s">
        <v>122</v>
      </c>
      <c r="AY23" s="4"/>
      <c r="AZ23" s="4"/>
      <c r="BA23" s="4"/>
      <c r="BB23" s="4"/>
      <c r="BC23" s="4"/>
      <c r="BD23" s="4"/>
      <c r="BE23" s="4"/>
      <c r="BF23" s="4"/>
      <c r="BG23" s="4"/>
      <c r="BH23" s="4" t="s">
        <v>898</v>
      </c>
      <c r="BI23" s="4" t="s">
        <v>124</v>
      </c>
      <c r="BJ23" s="4" t="s">
        <v>125</v>
      </c>
      <c r="BK23" s="4" t="s">
        <v>150</v>
      </c>
      <c r="BL23" s="4" t="s">
        <v>125</v>
      </c>
      <c r="BM23" s="4" t="s">
        <v>971</v>
      </c>
      <c r="BN23" s="4"/>
      <c r="BO23" s="4" t="s">
        <v>127</v>
      </c>
      <c r="BP23" s="4"/>
      <c r="BQ23" s="4" t="s">
        <v>181</v>
      </c>
      <c r="BR23" s="4"/>
      <c r="BS23" s="4"/>
      <c r="BT23" s="4" t="s">
        <v>128</v>
      </c>
      <c r="BU23" s="4" t="s">
        <v>129</v>
      </c>
      <c r="BV23" s="4" t="s">
        <v>129</v>
      </c>
      <c r="BW23" s="4" t="s">
        <v>130</v>
      </c>
      <c r="BX23" s="4"/>
      <c r="BY23" s="4"/>
      <c r="BZ23" s="4"/>
      <c r="CA23" s="4"/>
      <c r="CB23" s="4"/>
      <c r="CC23" s="4"/>
      <c r="CD23" s="4"/>
      <c r="CE23" s="4"/>
      <c r="CF23" s="4" t="s">
        <v>130</v>
      </c>
      <c r="CG23" s="4"/>
      <c r="CH23" s="4" t="s">
        <v>131</v>
      </c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 t="s">
        <v>132</v>
      </c>
      <c r="CT23" s="4" t="s">
        <v>133</v>
      </c>
      <c r="CU23" s="4" t="s">
        <v>134</v>
      </c>
      <c r="CV23" s="4"/>
    </row>
    <row r="24" spans="1:100" x14ac:dyDescent="0.2">
      <c r="A24" s="26" t="b">
        <v>0</v>
      </c>
      <c r="B24" s="26" t="b">
        <v>0</v>
      </c>
      <c r="C24" s="26" t="b">
        <v>0</v>
      </c>
      <c r="D24" s="26" t="b">
        <v>0</v>
      </c>
      <c r="E24" s="26" t="b">
        <v>0</v>
      </c>
      <c r="F24" s="26" t="b">
        <v>1</v>
      </c>
      <c r="G24" s="27"/>
      <c r="H24" s="4" t="s">
        <v>972</v>
      </c>
      <c r="I24" s="22" t="s">
        <v>968</v>
      </c>
      <c r="J24" s="4" t="s">
        <v>898</v>
      </c>
      <c r="K24" s="4" t="s">
        <v>790</v>
      </c>
      <c r="L24" s="4" t="s">
        <v>137</v>
      </c>
      <c r="M24" s="4"/>
      <c r="N24" s="4" t="s">
        <v>969</v>
      </c>
      <c r="O24" s="4"/>
      <c r="P24" s="4"/>
      <c r="Q24" s="4" t="s">
        <v>970</v>
      </c>
      <c r="R24" s="4" t="s">
        <v>129</v>
      </c>
      <c r="S24" s="4"/>
      <c r="T24" s="4" t="s">
        <v>139</v>
      </c>
      <c r="U24" s="4" t="s">
        <v>140</v>
      </c>
      <c r="V24" s="4"/>
      <c r="W24" s="4" t="s">
        <v>792</v>
      </c>
      <c r="X24" s="4" t="s">
        <v>150</v>
      </c>
      <c r="Y24" s="4" t="s">
        <v>113</v>
      </c>
      <c r="Z24" s="4" t="s">
        <v>142</v>
      </c>
      <c r="AA24" s="4" t="s">
        <v>115</v>
      </c>
      <c r="AB24" s="4"/>
      <c r="AC24" s="4"/>
      <c r="AD24" s="4" t="s">
        <v>115</v>
      </c>
      <c r="AE24" s="4" t="s">
        <v>116</v>
      </c>
      <c r="AF24" s="4"/>
      <c r="AG24" s="4"/>
      <c r="AH24" s="4" t="s">
        <v>116</v>
      </c>
      <c r="AI24" s="4" t="s">
        <v>175</v>
      </c>
      <c r="AJ24" s="4" t="s">
        <v>973</v>
      </c>
      <c r="AK24" s="4"/>
      <c r="AL24" s="4"/>
      <c r="AM24" s="4"/>
      <c r="AN24" s="4" t="s">
        <v>177</v>
      </c>
      <c r="AO24" s="4"/>
      <c r="AP24" s="4"/>
      <c r="AQ24" s="4"/>
      <c r="AR24" s="4"/>
      <c r="AS24" s="4" t="s">
        <v>144</v>
      </c>
      <c r="AT24" s="4" t="s">
        <v>950</v>
      </c>
      <c r="AU24" s="5" t="str">
        <f>IF($AT24="","",IFERROR(INDEX(InstructorMap!$B:$B, MATCH($AT24, InstructorMap!$A:$A, 0)),""))</f>
        <v>olariu@andrews.edu</v>
      </c>
      <c r="AV24" s="5" t="str">
        <f>IF($AT24="","",IFERROR(INDEX(InstructorMap!$C:$C, MATCH($AT24, InstructorMap!$A:$A, 0)),""))</f>
        <v>000163538</v>
      </c>
      <c r="AW24" s="4" t="s">
        <v>121</v>
      </c>
      <c r="AX24" t="s">
        <v>348</v>
      </c>
      <c r="AY24" s="4"/>
      <c r="AZ24" s="4"/>
      <c r="BA24" s="4"/>
      <c r="BB24" s="4"/>
      <c r="BC24" s="4"/>
      <c r="BD24" s="4"/>
      <c r="BE24" s="4"/>
      <c r="BF24" s="4"/>
      <c r="BG24" s="4"/>
      <c r="BH24" s="4" t="s">
        <v>898</v>
      </c>
      <c r="BI24" s="4" t="s">
        <v>124</v>
      </c>
      <c r="BJ24" s="4" t="s">
        <v>125</v>
      </c>
      <c r="BK24" s="4" t="s">
        <v>150</v>
      </c>
      <c r="BL24" s="4" t="s">
        <v>125</v>
      </c>
      <c r="BM24" s="4" t="s">
        <v>971</v>
      </c>
      <c r="BN24" s="4"/>
      <c r="BO24" s="4" t="s">
        <v>127</v>
      </c>
      <c r="BP24" s="4"/>
      <c r="BQ24" s="4" t="s">
        <v>181</v>
      </c>
      <c r="BR24" s="4"/>
      <c r="BS24" s="4"/>
      <c r="BT24" s="4" t="s">
        <v>128</v>
      </c>
      <c r="BU24" s="4" t="s">
        <v>129</v>
      </c>
      <c r="BV24" s="4" t="s">
        <v>129</v>
      </c>
      <c r="BW24" s="4" t="s">
        <v>130</v>
      </c>
      <c r="BX24" s="4"/>
      <c r="BY24" s="4"/>
      <c r="BZ24" s="4"/>
      <c r="CA24" s="4"/>
      <c r="CB24" s="4"/>
      <c r="CC24" s="4"/>
      <c r="CD24" s="4"/>
      <c r="CE24" s="4"/>
      <c r="CF24" s="4" t="s">
        <v>130</v>
      </c>
      <c r="CG24" s="4"/>
      <c r="CH24" s="4" t="s">
        <v>131</v>
      </c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 t="s">
        <v>132</v>
      </c>
      <c r="CT24" s="4" t="s">
        <v>133</v>
      </c>
      <c r="CU24" s="4" t="s">
        <v>134</v>
      </c>
      <c r="CV24" s="4"/>
    </row>
    <row r="25" spans="1:100" x14ac:dyDescent="0.2">
      <c r="A25" s="38" t="b">
        <v>0</v>
      </c>
      <c r="B25" s="39" t="b">
        <v>0</v>
      </c>
      <c r="C25" s="39" t="b">
        <v>0</v>
      </c>
      <c r="D25" s="39" t="b">
        <v>0</v>
      </c>
      <c r="E25" s="39" t="b">
        <v>0</v>
      </c>
      <c r="F25" s="38" t="b">
        <v>1</v>
      </c>
      <c r="G25" s="36"/>
      <c r="H25" s="6" t="s">
        <v>974</v>
      </c>
      <c r="I25" s="21" t="s">
        <v>975</v>
      </c>
      <c r="J25" s="6" t="s">
        <v>898</v>
      </c>
      <c r="K25" s="6" t="s">
        <v>790</v>
      </c>
      <c r="L25" s="6" t="s">
        <v>543</v>
      </c>
      <c r="M25" s="6"/>
      <c r="N25" s="6" t="s">
        <v>969</v>
      </c>
      <c r="O25" s="6"/>
      <c r="P25" s="6"/>
      <c r="Q25" s="6"/>
      <c r="R25" s="6" t="s">
        <v>129</v>
      </c>
      <c r="S25" s="6"/>
      <c r="T25" s="6"/>
      <c r="U25" s="6" t="s">
        <v>780</v>
      </c>
      <c r="V25" s="6"/>
      <c r="W25" s="6" t="s">
        <v>792</v>
      </c>
      <c r="X25" s="6" t="s">
        <v>129</v>
      </c>
      <c r="Y25" s="6" t="s">
        <v>113</v>
      </c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 t="s">
        <v>679</v>
      </c>
      <c r="AU25" s="7" t="str">
        <f>IF($AT25="","",IFERROR(INDEX(InstructorMap!$B:$B, MATCH($AT25, InstructorMap!$A:$A, 0)),""))</f>
        <v>glanz@andrews.edu</v>
      </c>
      <c r="AV25" s="7" t="str">
        <f>IF($AT25="","",IFERROR(INDEX(InstructorMap!$C:$C, MATCH($AT25, InstructorMap!$A:$A, 0)),""))</f>
        <v>000162826</v>
      </c>
      <c r="AW25" s="6" t="s">
        <v>121</v>
      </c>
      <c r="AX25" s="6"/>
      <c r="AY25" s="6" t="s">
        <v>180</v>
      </c>
      <c r="AZ25" s="6" t="s">
        <v>526</v>
      </c>
      <c r="BA25" s="6"/>
      <c r="BB25" s="6"/>
      <c r="BC25" s="6"/>
      <c r="BD25" s="6"/>
      <c r="BE25" s="6"/>
      <c r="BF25" s="6"/>
      <c r="BG25" s="6"/>
      <c r="BH25" s="6" t="s">
        <v>898</v>
      </c>
      <c r="BI25" s="6" t="s">
        <v>124</v>
      </c>
      <c r="BJ25" s="6" t="s">
        <v>125</v>
      </c>
      <c r="BK25" s="6" t="s">
        <v>129</v>
      </c>
      <c r="BL25" s="6" t="s">
        <v>782</v>
      </c>
      <c r="BM25" s="6" t="s">
        <v>971</v>
      </c>
      <c r="BN25" s="6"/>
      <c r="BO25" s="6" t="s">
        <v>127</v>
      </c>
      <c r="BP25" s="6"/>
      <c r="BQ25" s="6" t="s">
        <v>181</v>
      </c>
      <c r="BR25" s="6"/>
      <c r="BS25" s="6"/>
      <c r="BT25" s="6" t="s">
        <v>128</v>
      </c>
      <c r="BU25" s="6" t="s">
        <v>129</v>
      </c>
      <c r="BV25" s="6" t="s">
        <v>129</v>
      </c>
      <c r="BW25" s="6" t="s">
        <v>130</v>
      </c>
      <c r="BX25" s="6"/>
      <c r="BY25" s="6" t="s">
        <v>525</v>
      </c>
      <c r="BZ25" s="6" t="s">
        <v>116</v>
      </c>
      <c r="CA25" s="6" t="s">
        <v>525</v>
      </c>
      <c r="CB25" s="6" t="s">
        <v>116</v>
      </c>
      <c r="CC25" s="6" t="s">
        <v>134</v>
      </c>
      <c r="CD25" s="6" t="s">
        <v>528</v>
      </c>
      <c r="CE25" s="6" t="s">
        <v>783</v>
      </c>
      <c r="CF25" s="6" t="s">
        <v>130</v>
      </c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 t="s">
        <v>249</v>
      </c>
      <c r="CS25" s="6"/>
      <c r="CT25" s="6" t="s">
        <v>133</v>
      </c>
      <c r="CU25" s="6"/>
      <c r="CV25" s="6"/>
    </row>
    <row r="26" spans="1:100" x14ac:dyDescent="0.2">
      <c r="A26" s="77" t="b">
        <v>0</v>
      </c>
      <c r="B26" s="78" t="b">
        <v>0</v>
      </c>
      <c r="C26" s="78" t="b">
        <v>1</v>
      </c>
      <c r="D26" s="78" t="b">
        <v>0</v>
      </c>
      <c r="E26" s="78" t="b">
        <v>1</v>
      </c>
      <c r="F26" s="77" t="b">
        <v>0</v>
      </c>
      <c r="G26" s="139" t="s">
        <v>787</v>
      </c>
      <c r="H26" s="8" t="s">
        <v>976</v>
      </c>
      <c r="I26" s="142" t="s">
        <v>977</v>
      </c>
      <c r="J26" s="8" t="s">
        <v>898</v>
      </c>
      <c r="K26" s="8" t="s">
        <v>790</v>
      </c>
      <c r="L26" s="8" t="s">
        <v>105</v>
      </c>
      <c r="M26" s="8"/>
      <c r="N26" s="8" t="s">
        <v>969</v>
      </c>
      <c r="O26" s="8"/>
      <c r="P26" s="8"/>
      <c r="Q26" s="8" t="s">
        <v>970</v>
      </c>
      <c r="R26" s="8" t="s">
        <v>108</v>
      </c>
      <c r="S26" s="8"/>
      <c r="T26" s="8"/>
      <c r="U26" s="8" t="s">
        <v>110</v>
      </c>
      <c r="V26" s="8"/>
      <c r="W26" s="8" t="s">
        <v>792</v>
      </c>
      <c r="X26" s="8" t="s">
        <v>150</v>
      </c>
      <c r="Y26" s="8" t="s">
        <v>203</v>
      </c>
      <c r="Z26" s="8" t="s">
        <v>114</v>
      </c>
      <c r="AA26" s="8" t="s">
        <v>115</v>
      </c>
      <c r="AB26" s="8"/>
      <c r="AC26" s="8"/>
      <c r="AD26" s="8" t="s">
        <v>115</v>
      </c>
      <c r="AE26" s="8" t="s">
        <v>116</v>
      </c>
      <c r="AF26" s="8"/>
      <c r="AG26" s="8"/>
      <c r="AH26" s="8" t="s">
        <v>116</v>
      </c>
      <c r="AI26" s="8" t="s">
        <v>175</v>
      </c>
      <c r="AJ26" s="8" t="s">
        <v>176</v>
      </c>
      <c r="AK26" s="8"/>
      <c r="AL26" s="8" t="s">
        <v>119</v>
      </c>
      <c r="AM26" s="8"/>
      <c r="AN26" s="8"/>
      <c r="AO26" s="8"/>
      <c r="AP26" s="8"/>
      <c r="AQ26" s="8"/>
      <c r="AR26" s="8"/>
      <c r="AS26" s="8"/>
      <c r="AT26" s="8" t="s">
        <v>950</v>
      </c>
      <c r="AU26" s="9" t="str">
        <f>IF($AT26="","",IFERROR(INDEX([1]InstructorMap!$B:$B, MATCH($AT26, [1]InstructorMap!$A:$A, 0)),""))</f>
        <v>olariu@andrews.edu</v>
      </c>
      <c r="AV26" s="9" t="str">
        <f>IF($AT26="","",IFERROR(INDEX([1]InstructorMap!$C:$C, MATCH($AT26, [1]InstructorMap!$A:$A, 0)),""))</f>
        <v>000163538</v>
      </c>
      <c r="AW26" s="8" t="s">
        <v>121</v>
      </c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 t="s">
        <v>898</v>
      </c>
      <c r="BI26" s="8" t="s">
        <v>124</v>
      </c>
      <c r="BJ26" s="8" t="s">
        <v>125</v>
      </c>
      <c r="BK26" s="8" t="s">
        <v>150</v>
      </c>
      <c r="BL26" s="8" t="s">
        <v>126</v>
      </c>
      <c r="BM26" s="8" t="s">
        <v>971</v>
      </c>
      <c r="BN26" s="8"/>
      <c r="BO26" s="8" t="s">
        <v>127</v>
      </c>
      <c r="BP26" s="8"/>
      <c r="BQ26" s="8" t="s">
        <v>181</v>
      </c>
      <c r="BR26" s="8"/>
      <c r="BS26" s="8"/>
      <c r="BT26" s="8" t="s">
        <v>128</v>
      </c>
      <c r="BU26" s="8" t="s">
        <v>129</v>
      </c>
      <c r="BV26" s="8" t="s">
        <v>129</v>
      </c>
      <c r="BW26" s="8" t="s">
        <v>130</v>
      </c>
      <c r="BX26" s="8" t="s">
        <v>131</v>
      </c>
      <c r="BY26" s="8"/>
      <c r="BZ26" s="8"/>
      <c r="CA26" s="8"/>
      <c r="CB26" s="8"/>
      <c r="CC26" s="8"/>
      <c r="CD26" s="8"/>
      <c r="CE26" s="8"/>
      <c r="CF26" s="8" t="s">
        <v>130</v>
      </c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 t="s">
        <v>249</v>
      </c>
      <c r="CS26" s="8" t="s">
        <v>132</v>
      </c>
      <c r="CT26" s="8" t="s">
        <v>133</v>
      </c>
      <c r="CU26" s="8" t="s">
        <v>134</v>
      </c>
      <c r="CV26" s="8"/>
    </row>
    <row r="27" spans="1:100" x14ac:dyDescent="0.2">
      <c r="A27" s="77" t="b">
        <v>0</v>
      </c>
      <c r="B27" s="78" t="b">
        <v>0</v>
      </c>
      <c r="C27" s="78" t="b">
        <v>1</v>
      </c>
      <c r="D27" s="78" t="b">
        <v>0</v>
      </c>
      <c r="E27" s="78" t="b">
        <v>1</v>
      </c>
      <c r="F27" s="77" t="b">
        <v>0</v>
      </c>
      <c r="G27" s="139" t="s">
        <v>787</v>
      </c>
      <c r="H27" s="8" t="s">
        <v>978</v>
      </c>
      <c r="I27" s="142" t="s">
        <v>977</v>
      </c>
      <c r="J27" s="8" t="s">
        <v>898</v>
      </c>
      <c r="K27" s="8" t="s">
        <v>790</v>
      </c>
      <c r="L27" s="8" t="s">
        <v>105</v>
      </c>
      <c r="M27" s="8"/>
      <c r="N27" s="8" t="s">
        <v>969</v>
      </c>
      <c r="O27" s="8"/>
      <c r="P27" s="8"/>
      <c r="Q27" s="8" t="s">
        <v>970</v>
      </c>
      <c r="R27" s="8" t="s">
        <v>108</v>
      </c>
      <c r="S27" s="8"/>
      <c r="T27" s="8"/>
      <c r="U27" s="8" t="s">
        <v>110</v>
      </c>
      <c r="V27" s="8"/>
      <c r="W27" s="8" t="s">
        <v>792</v>
      </c>
      <c r="X27" s="8" t="s">
        <v>150</v>
      </c>
      <c r="Y27" s="8" t="s">
        <v>203</v>
      </c>
      <c r="Z27" s="8" t="s">
        <v>114</v>
      </c>
      <c r="AA27" s="8" t="s">
        <v>115</v>
      </c>
      <c r="AB27" s="8"/>
      <c r="AC27" s="8"/>
      <c r="AD27" s="8" t="s">
        <v>115</v>
      </c>
      <c r="AE27" s="8" t="s">
        <v>116</v>
      </c>
      <c r="AF27" s="8"/>
      <c r="AG27" s="8"/>
      <c r="AH27" s="8" t="s">
        <v>116</v>
      </c>
      <c r="AI27" s="8" t="s">
        <v>175</v>
      </c>
      <c r="AJ27" s="8" t="s">
        <v>973</v>
      </c>
      <c r="AK27" s="8"/>
      <c r="AL27" s="8"/>
      <c r="AM27" s="8"/>
      <c r="AN27" s="8" t="s">
        <v>177</v>
      </c>
      <c r="AO27" s="8"/>
      <c r="AP27" s="8"/>
      <c r="AQ27" s="8"/>
      <c r="AR27" s="8"/>
      <c r="AS27" s="8"/>
      <c r="AT27" s="8" t="s">
        <v>950</v>
      </c>
      <c r="AU27" s="9" t="str">
        <f>IF($AT27="","",IFERROR(INDEX([1]InstructorMap!$B:$B, MATCH($AT27, [1]InstructorMap!$A:$A, 0)),""))</f>
        <v>olariu@andrews.edu</v>
      </c>
      <c r="AV27" s="9" t="str">
        <f>IF($AT27="","",IFERROR(INDEX([1]InstructorMap!$C:$C, MATCH($AT27, [1]InstructorMap!$A:$A, 0)),""))</f>
        <v>000163538</v>
      </c>
      <c r="AW27" s="8" t="s">
        <v>121</v>
      </c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 t="s">
        <v>898</v>
      </c>
      <c r="BI27" s="8" t="s">
        <v>124</v>
      </c>
      <c r="BJ27" s="8" t="s">
        <v>125</v>
      </c>
      <c r="BK27" s="8" t="s">
        <v>150</v>
      </c>
      <c r="BL27" s="8" t="s">
        <v>126</v>
      </c>
      <c r="BM27" s="8" t="s">
        <v>971</v>
      </c>
      <c r="BN27" s="8"/>
      <c r="BO27" s="8" t="s">
        <v>127</v>
      </c>
      <c r="BP27" s="8"/>
      <c r="BQ27" s="8" t="s">
        <v>181</v>
      </c>
      <c r="BR27" s="8"/>
      <c r="BS27" s="8"/>
      <c r="BT27" s="8" t="s">
        <v>128</v>
      </c>
      <c r="BU27" s="8" t="s">
        <v>129</v>
      </c>
      <c r="BV27" s="8" t="s">
        <v>129</v>
      </c>
      <c r="BW27" s="8" t="s">
        <v>130</v>
      </c>
      <c r="BX27" s="8" t="s">
        <v>131</v>
      </c>
      <c r="BY27" s="8"/>
      <c r="BZ27" s="8"/>
      <c r="CA27" s="8"/>
      <c r="CB27" s="8"/>
      <c r="CC27" s="8"/>
      <c r="CD27" s="8"/>
      <c r="CE27" s="8"/>
      <c r="CF27" s="8" t="s">
        <v>130</v>
      </c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 t="s">
        <v>249</v>
      </c>
      <c r="CS27" s="8" t="s">
        <v>132</v>
      </c>
      <c r="CT27" s="8" t="s">
        <v>133</v>
      </c>
      <c r="CU27" s="8" t="s">
        <v>134</v>
      </c>
      <c r="CV27" s="8"/>
    </row>
    <row r="28" spans="1:100" x14ac:dyDescent="0.2">
      <c r="A28" s="129" t="b">
        <v>0</v>
      </c>
      <c r="B28" s="134" t="b">
        <v>0</v>
      </c>
      <c r="C28" s="134" t="b">
        <v>0</v>
      </c>
      <c r="D28" s="134" t="b">
        <v>0</v>
      </c>
      <c r="E28" s="134" t="b">
        <v>0</v>
      </c>
      <c r="F28" s="129" t="b">
        <v>1</v>
      </c>
      <c r="G28" s="64"/>
      <c r="H28" s="4" t="s">
        <v>979</v>
      </c>
      <c r="I28" s="22" t="s">
        <v>980</v>
      </c>
      <c r="J28" s="4" t="s">
        <v>898</v>
      </c>
      <c r="K28" s="4" t="s">
        <v>981</v>
      </c>
      <c r="L28" s="4" t="s">
        <v>148</v>
      </c>
      <c r="M28" s="4"/>
      <c r="N28" s="4" t="s">
        <v>982</v>
      </c>
      <c r="O28" s="4"/>
      <c r="P28" s="4"/>
      <c r="Q28" s="4"/>
      <c r="R28" s="4" t="s">
        <v>108</v>
      </c>
      <c r="S28" s="4"/>
      <c r="T28" s="4" t="s">
        <v>109</v>
      </c>
      <c r="U28" s="4" t="s">
        <v>149</v>
      </c>
      <c r="V28" s="4"/>
      <c r="W28" s="4" t="s">
        <v>112</v>
      </c>
      <c r="X28" s="4" t="s">
        <v>150</v>
      </c>
      <c r="Y28" s="4" t="s">
        <v>332</v>
      </c>
      <c r="Z28" s="4" t="s">
        <v>114</v>
      </c>
      <c r="AA28" s="4" t="s">
        <v>115</v>
      </c>
      <c r="AB28" s="4"/>
      <c r="AC28" s="4"/>
      <c r="AD28" s="4"/>
      <c r="AE28" s="4"/>
      <c r="AF28" s="4"/>
      <c r="AG28" s="4"/>
      <c r="AH28" s="4" t="s">
        <v>116</v>
      </c>
      <c r="AI28" s="10" t="s">
        <v>147</v>
      </c>
      <c r="AJ28" s="10" t="s">
        <v>147</v>
      </c>
      <c r="AK28" s="4"/>
      <c r="AL28" s="4"/>
      <c r="AM28" s="4"/>
      <c r="AN28" s="4"/>
      <c r="AO28" s="4"/>
      <c r="AP28" s="4"/>
      <c r="AQ28" s="4"/>
      <c r="AR28" s="4"/>
      <c r="AS28" s="4"/>
      <c r="AT28" s="4" t="s">
        <v>196</v>
      </c>
      <c r="AU28" s="5" t="str">
        <f>IF($AT28="","",IFERROR(INDEX(InstructorMap!$B:$B, MATCH($AT28, InstructorMap!$A:$A, 0)),""))</f>
        <v/>
      </c>
      <c r="AV28" s="5" t="str">
        <f>IF($AT28="","",IFERROR(INDEX(InstructorMap!$C:$C, MATCH($AT28, InstructorMap!$A:$A, 0)),""))</f>
        <v/>
      </c>
      <c r="AW28" s="4" t="s">
        <v>121</v>
      </c>
      <c r="AX28" s="4" t="s">
        <v>160</v>
      </c>
      <c r="AY28" s="4"/>
      <c r="AZ28" s="4"/>
      <c r="BA28" s="4"/>
      <c r="BB28" s="4"/>
      <c r="BC28" s="4"/>
      <c r="BD28" s="4"/>
      <c r="BE28" s="4"/>
      <c r="BF28" s="4"/>
      <c r="BG28" s="4"/>
      <c r="BH28" s="4" t="s">
        <v>898</v>
      </c>
      <c r="BI28" s="4" t="s">
        <v>124</v>
      </c>
      <c r="BJ28" s="4" t="s">
        <v>125</v>
      </c>
      <c r="BK28" s="4" t="s">
        <v>150</v>
      </c>
      <c r="BL28" s="4" t="s">
        <v>126</v>
      </c>
      <c r="BM28" s="4"/>
      <c r="BN28" s="4"/>
      <c r="BO28" s="4" t="s">
        <v>127</v>
      </c>
      <c r="BP28" s="4"/>
      <c r="BQ28" s="4"/>
      <c r="BR28" s="4"/>
      <c r="BS28" s="4"/>
      <c r="BT28" s="4" t="s">
        <v>128</v>
      </c>
      <c r="BU28" s="4" t="s">
        <v>129</v>
      </c>
      <c r="BV28" s="4" t="s">
        <v>129</v>
      </c>
      <c r="BW28" s="4"/>
      <c r="BX28" s="4"/>
      <c r="BY28" s="4"/>
      <c r="BZ28" s="4"/>
      <c r="CA28" s="4"/>
      <c r="CB28" s="4"/>
      <c r="CC28" s="4"/>
      <c r="CD28" s="4"/>
      <c r="CE28" s="4"/>
      <c r="CF28" s="4" t="s">
        <v>130</v>
      </c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10" t="s">
        <v>147</v>
      </c>
      <c r="CT28" s="4" t="s">
        <v>133</v>
      </c>
      <c r="CU28" s="4" t="s">
        <v>134</v>
      </c>
      <c r="CV28" s="4"/>
    </row>
    <row r="29" spans="1:100" x14ac:dyDescent="0.2">
      <c r="A29" s="129" t="b">
        <v>0</v>
      </c>
      <c r="B29" s="134" t="b">
        <v>0</v>
      </c>
      <c r="C29" s="134" t="b">
        <v>0</v>
      </c>
      <c r="D29" s="134" t="b">
        <v>0</v>
      </c>
      <c r="E29" s="134" t="b">
        <v>0</v>
      </c>
      <c r="F29" s="129" t="b">
        <v>1</v>
      </c>
      <c r="G29" s="64"/>
      <c r="H29" s="4" t="s">
        <v>983</v>
      </c>
      <c r="I29" s="22" t="s">
        <v>984</v>
      </c>
      <c r="J29" s="4" t="s">
        <v>898</v>
      </c>
      <c r="K29" s="4" t="s">
        <v>985</v>
      </c>
      <c r="L29" s="4" t="s">
        <v>148</v>
      </c>
      <c r="M29" s="4"/>
      <c r="N29" s="4" t="s">
        <v>986</v>
      </c>
      <c r="O29" s="4"/>
      <c r="P29" s="4"/>
      <c r="Q29" s="4" t="s">
        <v>987</v>
      </c>
      <c r="R29" s="4" t="s">
        <v>108</v>
      </c>
      <c r="S29" s="4"/>
      <c r="T29" s="4" t="s">
        <v>109</v>
      </c>
      <c r="U29" s="4" t="s">
        <v>149</v>
      </c>
      <c r="V29" s="4"/>
      <c r="W29" s="4" t="s">
        <v>112</v>
      </c>
      <c r="X29" s="4" t="s">
        <v>112</v>
      </c>
      <c r="Y29" s="4" t="s">
        <v>332</v>
      </c>
      <c r="Z29" s="4" t="s">
        <v>114</v>
      </c>
      <c r="AA29" s="4" t="s">
        <v>115</v>
      </c>
      <c r="AB29" s="4"/>
      <c r="AC29" s="4"/>
      <c r="AD29" s="4"/>
      <c r="AE29" s="4"/>
      <c r="AF29" s="4"/>
      <c r="AG29" s="4"/>
      <c r="AH29" s="4" t="s">
        <v>116</v>
      </c>
      <c r="AI29" s="10" t="s">
        <v>147</v>
      </c>
      <c r="AJ29" s="10" t="s">
        <v>147</v>
      </c>
      <c r="AK29" s="4"/>
      <c r="AL29" s="4"/>
      <c r="AM29" s="4"/>
      <c r="AN29" s="4"/>
      <c r="AO29" s="4"/>
      <c r="AP29" s="4"/>
      <c r="AQ29" s="4"/>
      <c r="AR29" s="4"/>
      <c r="AS29" s="4"/>
      <c r="AT29" s="4" t="s">
        <v>196</v>
      </c>
      <c r="AU29" s="5" t="str">
        <f>IF($AT29="","",IFERROR(INDEX(InstructorMap!$B:$B, MATCH($AT29, InstructorMap!$A:$A, 0)),""))</f>
        <v/>
      </c>
      <c r="AV29" s="5" t="str">
        <f>IF($AT29="","",IFERROR(INDEX(InstructorMap!$C:$C, MATCH($AT29, InstructorMap!$A:$A, 0)),""))</f>
        <v/>
      </c>
      <c r="AW29" s="4" t="s">
        <v>121</v>
      </c>
      <c r="AX29" s="4" t="s">
        <v>160</v>
      </c>
      <c r="AY29" s="4"/>
      <c r="AZ29" s="4"/>
      <c r="BA29" s="4"/>
      <c r="BB29" s="4"/>
      <c r="BC29" s="4"/>
      <c r="BD29" s="4"/>
      <c r="BE29" s="4"/>
      <c r="BF29" s="4"/>
      <c r="BG29" s="4"/>
      <c r="BH29" s="4" t="s">
        <v>898</v>
      </c>
      <c r="BI29" s="4" t="s">
        <v>124</v>
      </c>
      <c r="BJ29" s="4" t="s">
        <v>125</v>
      </c>
      <c r="BK29" s="4"/>
      <c r="BL29" s="4" t="s">
        <v>126</v>
      </c>
      <c r="BM29" s="4" t="s">
        <v>988</v>
      </c>
      <c r="BN29" s="4"/>
      <c r="BO29" s="4" t="s">
        <v>127</v>
      </c>
      <c r="BP29" s="4"/>
      <c r="BQ29" s="4" t="s">
        <v>816</v>
      </c>
      <c r="BR29" s="4"/>
      <c r="BS29" s="4"/>
      <c r="BT29" s="4" t="s">
        <v>128</v>
      </c>
      <c r="BU29" s="4" t="s">
        <v>129</v>
      </c>
      <c r="BV29" s="4" t="s">
        <v>129</v>
      </c>
      <c r="BW29" s="4" t="s">
        <v>130</v>
      </c>
      <c r="BX29" s="4"/>
      <c r="BY29" s="4"/>
      <c r="BZ29" s="4"/>
      <c r="CA29" s="4"/>
      <c r="CB29" s="4"/>
      <c r="CC29" s="4"/>
      <c r="CD29" s="4"/>
      <c r="CE29" s="4"/>
      <c r="CF29" s="4" t="s">
        <v>130</v>
      </c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10" t="s">
        <v>147</v>
      </c>
      <c r="CT29" s="4" t="s">
        <v>133</v>
      </c>
      <c r="CU29" s="4" t="s">
        <v>134</v>
      </c>
      <c r="CV29" s="4"/>
    </row>
    <row r="30" spans="1:100" x14ac:dyDescent="0.2">
      <c r="A30" s="129" t="b">
        <v>0</v>
      </c>
      <c r="B30" s="134" t="b">
        <v>0</v>
      </c>
      <c r="C30" s="134" t="b">
        <v>0</v>
      </c>
      <c r="D30" s="134" t="b">
        <v>0</v>
      </c>
      <c r="E30" s="134" t="b">
        <v>0</v>
      </c>
      <c r="F30" s="129" t="b">
        <v>1</v>
      </c>
      <c r="G30" s="24"/>
      <c r="H30" s="4" t="s">
        <v>989</v>
      </c>
      <c r="I30" s="22" t="s">
        <v>990</v>
      </c>
      <c r="J30" s="4" t="s">
        <v>898</v>
      </c>
      <c r="K30" s="4" t="s">
        <v>902</v>
      </c>
      <c r="L30" s="4" t="s">
        <v>137</v>
      </c>
      <c r="M30" s="4"/>
      <c r="N30" s="4" t="s">
        <v>903</v>
      </c>
      <c r="O30" s="4" t="s">
        <v>904</v>
      </c>
      <c r="P30" s="143" t="s">
        <v>905</v>
      </c>
      <c r="Q30" s="29" t="s">
        <v>906</v>
      </c>
      <c r="R30" s="4" t="s">
        <v>129</v>
      </c>
      <c r="S30" s="4"/>
      <c r="T30" s="4" t="s">
        <v>139</v>
      </c>
      <c r="U30" s="4" t="s">
        <v>140</v>
      </c>
      <c r="V30" s="4"/>
      <c r="W30" s="4" t="s">
        <v>112</v>
      </c>
      <c r="X30" s="4"/>
      <c r="Y30" s="4" t="s">
        <v>217</v>
      </c>
      <c r="Z30" s="4" t="s">
        <v>142</v>
      </c>
      <c r="AA30" s="4" t="s">
        <v>115</v>
      </c>
      <c r="AB30" s="4"/>
      <c r="AC30" s="4"/>
      <c r="AD30" s="4" t="s">
        <v>115</v>
      </c>
      <c r="AE30" s="4" t="s">
        <v>116</v>
      </c>
      <c r="AF30" s="4"/>
      <c r="AG30" s="4"/>
      <c r="AH30" s="4" t="s">
        <v>116</v>
      </c>
      <c r="AI30" s="4" t="s">
        <v>277</v>
      </c>
      <c r="AJ30" s="4" t="s">
        <v>278</v>
      </c>
      <c r="AK30" s="4"/>
      <c r="AL30" s="4"/>
      <c r="AM30" s="4" t="s">
        <v>211</v>
      </c>
      <c r="AN30" s="4"/>
      <c r="AO30" s="4"/>
      <c r="AP30" s="4"/>
      <c r="AQ30" s="4"/>
      <c r="AR30" s="4"/>
      <c r="AS30" s="4" t="s">
        <v>144</v>
      </c>
      <c r="AT30" s="4" t="s">
        <v>894</v>
      </c>
      <c r="AU30" s="5" t="str">
        <f>IF($AT30="","",IFERROR(INDEX([1]InstructorMap!$B:$B, MATCH($AT30, [1]InstructorMap!$A:$A, 0)),""))</f>
        <v>bates@andrews.edu</v>
      </c>
      <c r="AV30" s="5" t="str">
        <f>IF($AT30="","",IFERROR(INDEX([1]InstructorMap!$C:$C, MATCH($AT30, [1]InstructorMap!$A:$A, 0)),""))</f>
        <v>000095796</v>
      </c>
      <c r="AW30" s="4" t="s">
        <v>121</v>
      </c>
      <c r="AX30" t="s">
        <v>348</v>
      </c>
      <c r="AY30" s="4"/>
      <c r="AZ30" s="4"/>
      <c r="BA30" s="4"/>
      <c r="BB30" s="4"/>
      <c r="BC30" s="4"/>
      <c r="BD30" s="4"/>
      <c r="BE30" s="4"/>
      <c r="BF30" s="4"/>
      <c r="BG30" s="4"/>
      <c r="BH30" s="4" t="s">
        <v>898</v>
      </c>
      <c r="BI30" s="4" t="s">
        <v>124</v>
      </c>
      <c r="BJ30" s="4" t="s">
        <v>125</v>
      </c>
      <c r="BK30" s="4"/>
      <c r="BL30" s="4" t="s">
        <v>125</v>
      </c>
      <c r="BM30" s="4"/>
      <c r="BN30" s="4"/>
      <c r="BO30" s="4" t="s">
        <v>127</v>
      </c>
      <c r="BP30" s="4"/>
      <c r="BQ30" s="4"/>
      <c r="BR30" s="4"/>
      <c r="BS30" s="4"/>
      <c r="BT30" s="4" t="s">
        <v>128</v>
      </c>
      <c r="BU30" s="4" t="s">
        <v>129</v>
      </c>
      <c r="BV30" s="4" t="s">
        <v>129</v>
      </c>
      <c r="BW30" s="4"/>
      <c r="BX30" s="4"/>
      <c r="BY30" s="4"/>
      <c r="BZ30" s="4"/>
      <c r="CA30" s="4"/>
      <c r="CB30" s="4"/>
      <c r="CC30" s="4"/>
      <c r="CD30" s="4"/>
      <c r="CE30" s="4"/>
      <c r="CF30" s="4" t="s">
        <v>130</v>
      </c>
      <c r="CG30" s="4"/>
      <c r="CH30" s="4" t="s">
        <v>131</v>
      </c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 t="s">
        <v>132</v>
      </c>
      <c r="CT30" s="4" t="s">
        <v>133</v>
      </c>
      <c r="CU30" s="4" t="s">
        <v>134</v>
      </c>
      <c r="CV30" s="4"/>
    </row>
    <row r="31" spans="1:100" x14ac:dyDescent="0.2">
      <c r="A31" s="131" t="b">
        <v>0</v>
      </c>
      <c r="B31" s="135" t="b">
        <v>0</v>
      </c>
      <c r="C31" s="135" t="b">
        <v>0</v>
      </c>
      <c r="D31" s="135" t="b">
        <v>0</v>
      </c>
      <c r="E31" s="135" t="b">
        <v>0</v>
      </c>
      <c r="F31" s="131" t="b">
        <v>0</v>
      </c>
      <c r="G31" s="88" t="s">
        <v>765</v>
      </c>
      <c r="H31" s="11"/>
      <c r="I31" s="20" t="s">
        <v>199</v>
      </c>
      <c r="J31" s="11" t="s">
        <v>898</v>
      </c>
      <c r="K31" s="11" t="s">
        <v>991</v>
      </c>
      <c r="L31" s="11" t="s">
        <v>137</v>
      </c>
      <c r="M31" s="11"/>
      <c r="N31" s="11" t="s">
        <v>992</v>
      </c>
      <c r="O31" s="11"/>
      <c r="P31" s="11"/>
      <c r="Q31" s="11"/>
      <c r="R31" s="11" t="s">
        <v>129</v>
      </c>
      <c r="S31" s="11"/>
      <c r="T31" s="11"/>
      <c r="U31" s="11"/>
      <c r="V31" s="11"/>
      <c r="W31" s="11"/>
      <c r="X31" s="11" t="s">
        <v>112</v>
      </c>
      <c r="Y31" s="11" t="s">
        <v>113</v>
      </c>
      <c r="Z31" s="11"/>
      <c r="AA31" s="11" t="s">
        <v>115</v>
      </c>
      <c r="AB31" s="11"/>
      <c r="AC31" s="11"/>
      <c r="AD31" s="11" t="s">
        <v>115</v>
      </c>
      <c r="AE31" s="11" t="s">
        <v>116</v>
      </c>
      <c r="AF31" s="11"/>
      <c r="AG31" s="11"/>
      <c r="AH31" s="11" t="s">
        <v>116</v>
      </c>
      <c r="AI31" s="11" t="s">
        <v>117</v>
      </c>
      <c r="AJ31" s="11" t="s">
        <v>194</v>
      </c>
      <c r="AK31" s="11"/>
      <c r="AL31" s="11"/>
      <c r="AM31" s="11"/>
      <c r="AN31" s="11"/>
      <c r="AO31" s="11" t="s">
        <v>221</v>
      </c>
      <c r="AP31" s="11"/>
      <c r="AQ31" s="11"/>
      <c r="AR31" s="11" t="s">
        <v>195</v>
      </c>
      <c r="AS31" s="11" t="s">
        <v>144</v>
      </c>
      <c r="AT31" s="11" t="s">
        <v>950</v>
      </c>
      <c r="AU31" s="13" t="str">
        <f>IF($AT31="","",IFERROR(INDEX(InstructorMap!$B:$B, MATCH($AT31, InstructorMap!$A:$A, 0)),""))</f>
        <v>olariu@andrews.edu</v>
      </c>
      <c r="AV31" s="13" t="str">
        <f>IF($AT31="","",IFERROR(INDEX(InstructorMap!$C:$C, MATCH($AT31, InstructorMap!$A:$A, 0)),""))</f>
        <v>000163538</v>
      </c>
      <c r="AW31" s="11" t="s">
        <v>121</v>
      </c>
      <c r="AX31" s="11" t="s">
        <v>122</v>
      </c>
      <c r="AY31" s="11"/>
      <c r="AZ31" s="11"/>
      <c r="BA31" s="11"/>
      <c r="BB31" s="11"/>
      <c r="BC31" s="11"/>
      <c r="BD31" s="11"/>
      <c r="BE31" s="11"/>
      <c r="BF31" s="11"/>
      <c r="BG31" s="11"/>
      <c r="BH31" s="11" t="s">
        <v>898</v>
      </c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 t="s">
        <v>146</v>
      </c>
      <c r="CT31" s="11" t="s">
        <v>133</v>
      </c>
      <c r="CU31" s="11"/>
      <c r="CV31" s="11"/>
    </row>
    <row r="32" spans="1:100" x14ac:dyDescent="0.2">
      <c r="A32" s="131" t="b">
        <v>0</v>
      </c>
      <c r="B32" s="135" t="b">
        <v>0</v>
      </c>
      <c r="C32" s="135" t="b">
        <v>0</v>
      </c>
      <c r="D32" s="135" t="b">
        <v>0</v>
      </c>
      <c r="E32" s="135" t="b">
        <v>0</v>
      </c>
      <c r="F32" s="131" t="b">
        <v>0</v>
      </c>
      <c r="G32" s="88" t="s">
        <v>765</v>
      </c>
      <c r="H32" s="11"/>
      <c r="I32" s="20" t="s">
        <v>199</v>
      </c>
      <c r="J32" s="11" t="s">
        <v>898</v>
      </c>
      <c r="K32" s="11" t="s">
        <v>170</v>
      </c>
      <c r="L32" s="11" t="s">
        <v>255</v>
      </c>
      <c r="M32" s="11"/>
      <c r="N32" s="11" t="s">
        <v>909</v>
      </c>
      <c r="O32" s="11" t="s">
        <v>910</v>
      </c>
      <c r="P32" s="11" t="s">
        <v>911</v>
      </c>
      <c r="Q32" s="11"/>
      <c r="R32" s="11" t="s">
        <v>129</v>
      </c>
      <c r="S32" s="11"/>
      <c r="T32" s="11"/>
      <c r="U32" s="11"/>
      <c r="V32" s="11"/>
      <c r="W32" s="11"/>
      <c r="X32" s="11" t="s">
        <v>173</v>
      </c>
      <c r="Y32" s="11" t="s">
        <v>203</v>
      </c>
      <c r="Z32" s="11"/>
      <c r="AA32" s="11" t="s">
        <v>115</v>
      </c>
      <c r="AB32" s="11"/>
      <c r="AC32" s="11"/>
      <c r="AD32" s="11" t="s">
        <v>115</v>
      </c>
      <c r="AE32" s="11" t="s">
        <v>116</v>
      </c>
      <c r="AF32" s="11"/>
      <c r="AG32" s="11"/>
      <c r="AH32" s="11" t="s">
        <v>116</v>
      </c>
      <c r="AI32" s="12" t="s">
        <v>147</v>
      </c>
      <c r="AJ32" s="12" t="s">
        <v>147</v>
      </c>
      <c r="AK32" s="11"/>
      <c r="AL32" s="11"/>
      <c r="AM32" s="11" t="s">
        <v>211</v>
      </c>
      <c r="AN32" s="11"/>
      <c r="AO32" s="11"/>
      <c r="AP32" s="11"/>
      <c r="AQ32" s="11"/>
      <c r="AR32" s="11" t="s">
        <v>178</v>
      </c>
      <c r="AS32" s="11" t="s">
        <v>144</v>
      </c>
      <c r="AT32" s="11" t="s">
        <v>588</v>
      </c>
      <c r="AU32" s="13" t="str">
        <f>IF($AT32="","",IFERROR(INDEX(InstructorMap!$B:$B, MATCH($AT32, InstructorMap!$A:$A, 0)),""))</f>
        <v>gane@andrews.edu</v>
      </c>
      <c r="AV32" s="13" t="str">
        <f>IF($AT32="","",IFERROR(INDEX(InstructorMap!$C:$C, MATCH($AT32, InstructorMap!$A:$A, 0)),""))</f>
        <v>000008963</v>
      </c>
      <c r="AW32" s="11" t="s">
        <v>121</v>
      </c>
      <c r="AX32" s="11" t="s">
        <v>122</v>
      </c>
      <c r="AY32" s="11"/>
      <c r="AZ32" s="11"/>
      <c r="BA32" s="11"/>
      <c r="BB32" s="11"/>
      <c r="BC32" s="11"/>
      <c r="BD32" s="11"/>
      <c r="BE32" s="11"/>
      <c r="BF32" s="11"/>
      <c r="BG32" s="11"/>
      <c r="BH32" s="11" t="s">
        <v>898</v>
      </c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 t="s">
        <v>146</v>
      </c>
      <c r="CT32" s="11" t="s">
        <v>133</v>
      </c>
      <c r="CU32" s="11"/>
      <c r="CV32" s="11"/>
    </row>
    <row r="33" spans="1:100" x14ac:dyDescent="0.2">
      <c r="A33" s="139" t="s">
        <v>787</v>
      </c>
      <c r="B33" s="139" t="s">
        <v>787</v>
      </c>
      <c r="C33" s="139" t="s">
        <v>787</v>
      </c>
      <c r="D33" s="139" t="s">
        <v>787</v>
      </c>
      <c r="E33" s="139" t="s">
        <v>787</v>
      </c>
      <c r="F33" s="139" t="s">
        <v>787</v>
      </c>
      <c r="G33" s="139" t="s">
        <v>787</v>
      </c>
      <c r="H33" s="8" t="s">
        <v>993</v>
      </c>
      <c r="I33" s="142" t="s">
        <v>994</v>
      </c>
      <c r="J33" s="8" t="s">
        <v>898</v>
      </c>
      <c r="K33" s="8" t="s">
        <v>391</v>
      </c>
      <c r="L33" s="8" t="s">
        <v>255</v>
      </c>
      <c r="M33" s="8"/>
      <c r="N33" s="8" t="s">
        <v>914</v>
      </c>
      <c r="O33" s="8"/>
      <c r="P33" s="8"/>
      <c r="Q33" s="8"/>
      <c r="R33" s="8" t="s">
        <v>129</v>
      </c>
      <c r="S33" s="8"/>
      <c r="T33" s="8"/>
      <c r="U33" s="8"/>
      <c r="V33" s="8"/>
      <c r="W33" s="8" t="s">
        <v>112</v>
      </c>
      <c r="X33" s="8"/>
      <c r="Y33" s="8" t="s">
        <v>174</v>
      </c>
      <c r="Z33" s="8" t="s">
        <v>142</v>
      </c>
      <c r="AA33" s="8" t="s">
        <v>115</v>
      </c>
      <c r="AB33" s="8"/>
      <c r="AC33" s="8"/>
      <c r="AD33" s="8" t="s">
        <v>115</v>
      </c>
      <c r="AE33" s="8" t="s">
        <v>116</v>
      </c>
      <c r="AF33" s="8"/>
      <c r="AG33" s="8"/>
      <c r="AH33" s="8" t="s">
        <v>116</v>
      </c>
      <c r="AI33" s="8" t="s">
        <v>175</v>
      </c>
      <c r="AJ33" s="8" t="s">
        <v>237</v>
      </c>
      <c r="AK33" s="8"/>
      <c r="AL33" s="8"/>
      <c r="AM33" s="8" t="s">
        <v>211</v>
      </c>
      <c r="AN33" s="8"/>
      <c r="AO33" s="8"/>
      <c r="AP33" s="8"/>
      <c r="AQ33" s="8"/>
      <c r="AR33" s="8"/>
      <c r="AS33" s="8" t="s">
        <v>144</v>
      </c>
      <c r="AT33" s="8" t="s">
        <v>652</v>
      </c>
      <c r="AU33" s="9" t="str">
        <f>IF($AT33="","",IFERROR(INDEX([1]InstructorMap!$B:$B, MATCH($AT33, [1]InstructorMap!$A:$A, 0)),""))</f>
        <v>younker@andrews.edu</v>
      </c>
      <c r="AV33" s="9" t="str">
        <f>IF($AT33="","",IFERROR(INDEX([1]InstructorMap!$C:$C, MATCH($AT33, [1]InstructorMap!$A:$A, 0)),""))</f>
        <v>000042559</v>
      </c>
      <c r="AW33" s="8" t="s">
        <v>121</v>
      </c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 t="s">
        <v>898</v>
      </c>
      <c r="BI33" s="8" t="s">
        <v>124</v>
      </c>
      <c r="BJ33" s="8" t="s">
        <v>125</v>
      </c>
      <c r="BK33" s="8"/>
      <c r="BL33" s="8" t="s">
        <v>119</v>
      </c>
      <c r="BM33" s="8" t="s">
        <v>916</v>
      </c>
      <c r="BN33" s="8"/>
      <c r="BO33" s="8" t="s">
        <v>127</v>
      </c>
      <c r="BP33" s="8"/>
      <c r="BQ33" s="8"/>
      <c r="BR33" s="8"/>
      <c r="BS33" s="8"/>
      <c r="BT33" s="8" t="s">
        <v>128</v>
      </c>
      <c r="BU33" s="8" t="s">
        <v>129</v>
      </c>
      <c r="BV33" s="8" t="s">
        <v>129</v>
      </c>
      <c r="BW33" s="8" t="s">
        <v>130</v>
      </c>
      <c r="BX33" s="8" t="s">
        <v>131</v>
      </c>
      <c r="BY33" s="8"/>
      <c r="BZ33" s="8"/>
      <c r="CA33" s="8"/>
      <c r="CB33" s="8"/>
      <c r="CC33" s="8"/>
      <c r="CD33" s="8"/>
      <c r="CE33" s="8"/>
      <c r="CF33" s="8" t="s">
        <v>130</v>
      </c>
      <c r="CG33" s="8"/>
      <c r="CH33" s="8" t="s">
        <v>131</v>
      </c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 t="s">
        <v>132</v>
      </c>
      <c r="CT33" s="8" t="s">
        <v>133</v>
      </c>
      <c r="CU33" s="8" t="s">
        <v>134</v>
      </c>
      <c r="CV33" s="8"/>
    </row>
    <row r="34" spans="1:100" x14ac:dyDescent="0.2">
      <c r="A34" s="139" t="s">
        <v>787</v>
      </c>
      <c r="B34" s="139" t="s">
        <v>787</v>
      </c>
      <c r="C34" s="139" t="s">
        <v>787</v>
      </c>
      <c r="D34" s="139" t="s">
        <v>787</v>
      </c>
      <c r="E34" s="139" t="s">
        <v>787</v>
      </c>
      <c r="F34" s="139" t="s">
        <v>787</v>
      </c>
      <c r="G34" s="139" t="s">
        <v>787</v>
      </c>
      <c r="H34" s="8" t="s">
        <v>995</v>
      </c>
      <c r="I34" s="142" t="s">
        <v>996</v>
      </c>
      <c r="J34" s="8" t="s">
        <v>898</v>
      </c>
      <c r="K34" s="8" t="s">
        <v>391</v>
      </c>
      <c r="L34" s="8" t="s">
        <v>252</v>
      </c>
      <c r="M34" s="8"/>
      <c r="N34" s="8" t="s">
        <v>914</v>
      </c>
      <c r="O34" s="8"/>
      <c r="P34" s="8"/>
      <c r="Q34" s="8"/>
      <c r="R34" s="8" t="s">
        <v>108</v>
      </c>
      <c r="S34" s="8"/>
      <c r="T34" s="8"/>
      <c r="U34" s="8"/>
      <c r="V34" s="8"/>
      <c r="W34" s="8" t="s">
        <v>112</v>
      </c>
      <c r="X34" s="8"/>
      <c r="Y34" s="8" t="s">
        <v>203</v>
      </c>
      <c r="Z34" s="8" t="s">
        <v>114</v>
      </c>
      <c r="AA34" s="8" t="s">
        <v>115</v>
      </c>
      <c r="AB34" s="8"/>
      <c r="AC34" s="8"/>
      <c r="AD34" s="8" t="s">
        <v>115</v>
      </c>
      <c r="AE34" s="8" t="s">
        <v>116</v>
      </c>
      <c r="AF34" s="8"/>
      <c r="AG34" s="8"/>
      <c r="AH34" s="8" t="s">
        <v>116</v>
      </c>
      <c r="AI34" s="8" t="s">
        <v>175</v>
      </c>
      <c r="AJ34" s="8" t="s">
        <v>237</v>
      </c>
      <c r="AK34" s="8"/>
      <c r="AL34" s="8"/>
      <c r="AM34" s="8" t="s">
        <v>211</v>
      </c>
      <c r="AN34" s="8"/>
      <c r="AO34" s="8"/>
      <c r="AP34" s="8"/>
      <c r="AQ34" s="8"/>
      <c r="AR34" s="8"/>
      <c r="AS34" s="8"/>
      <c r="AT34" s="8" t="s">
        <v>652</v>
      </c>
      <c r="AU34" s="9" t="str">
        <f>IF($AT34="","",IFERROR(INDEX([1]InstructorMap!$B:$B, MATCH($AT34, [1]InstructorMap!$A:$A, 0)),""))</f>
        <v>younker@andrews.edu</v>
      </c>
      <c r="AV34" s="9" t="str">
        <f>IF($AT34="","",IFERROR(INDEX([1]InstructorMap!$C:$C, MATCH($AT34, [1]InstructorMap!$A:$A, 0)),""))</f>
        <v>000042559</v>
      </c>
      <c r="AW34" s="8" t="s">
        <v>121</v>
      </c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 t="s">
        <v>898</v>
      </c>
      <c r="BI34" s="8" t="s">
        <v>124</v>
      </c>
      <c r="BJ34" s="8" t="s">
        <v>125</v>
      </c>
      <c r="BK34" s="8"/>
      <c r="BL34" s="8" t="s">
        <v>119</v>
      </c>
      <c r="BM34" s="8" t="s">
        <v>916</v>
      </c>
      <c r="BN34" s="8"/>
      <c r="BO34" s="8" t="s">
        <v>127</v>
      </c>
      <c r="BP34" s="8"/>
      <c r="BQ34" s="8"/>
      <c r="BR34" s="8"/>
      <c r="BS34" s="8"/>
      <c r="BT34" s="8" t="s">
        <v>128</v>
      </c>
      <c r="BU34" s="8" t="s">
        <v>129</v>
      </c>
      <c r="BV34" s="8" t="s">
        <v>129</v>
      </c>
      <c r="BW34" s="8" t="s">
        <v>130</v>
      </c>
      <c r="BX34" s="8" t="s">
        <v>131</v>
      </c>
      <c r="BY34" s="8"/>
      <c r="BZ34" s="8"/>
      <c r="CA34" s="8"/>
      <c r="CB34" s="8"/>
      <c r="CC34" s="8"/>
      <c r="CD34" s="8"/>
      <c r="CE34" s="8"/>
      <c r="CF34" s="8" t="s">
        <v>130</v>
      </c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 t="s">
        <v>132</v>
      </c>
      <c r="CT34" s="8" t="s">
        <v>133</v>
      </c>
      <c r="CU34" s="8" t="s">
        <v>134</v>
      </c>
      <c r="CV34" s="8"/>
    </row>
    <row r="35" spans="1:100" x14ac:dyDescent="0.2">
      <c r="A35" s="157" t="b">
        <v>0</v>
      </c>
      <c r="B35" s="157" t="b">
        <v>0</v>
      </c>
      <c r="C35" s="157" t="b">
        <v>1</v>
      </c>
      <c r="D35" s="157" t="b">
        <v>0</v>
      </c>
      <c r="E35" s="157" t="b">
        <v>0</v>
      </c>
      <c r="F35" s="157" t="b">
        <v>0</v>
      </c>
      <c r="G35" s="158" t="s">
        <v>997</v>
      </c>
      <c r="H35" s="4" t="s">
        <v>998</v>
      </c>
      <c r="I35" s="22" t="s">
        <v>999</v>
      </c>
      <c r="J35" s="4" t="s">
        <v>898</v>
      </c>
      <c r="K35" s="4" t="s">
        <v>403</v>
      </c>
      <c r="L35" s="4" t="s">
        <v>255</v>
      </c>
      <c r="M35" s="4"/>
      <c r="N35" s="4" t="s">
        <v>1000</v>
      </c>
      <c r="O35" s="4"/>
      <c r="P35" s="4"/>
      <c r="Q35" s="4" t="s">
        <v>1001</v>
      </c>
      <c r="R35" s="4" t="s">
        <v>129</v>
      </c>
      <c r="S35" s="4"/>
      <c r="T35" s="4" t="s">
        <v>139</v>
      </c>
      <c r="U35" s="4" t="s">
        <v>140</v>
      </c>
      <c r="V35" s="4"/>
      <c r="W35" s="4" t="s">
        <v>112</v>
      </c>
      <c r="X35" s="4"/>
      <c r="Y35" s="4" t="s">
        <v>151</v>
      </c>
      <c r="Z35" s="4" t="s">
        <v>142</v>
      </c>
      <c r="AA35" s="4" t="s">
        <v>115</v>
      </c>
      <c r="AB35" s="4"/>
      <c r="AC35" s="4"/>
      <c r="AD35" s="4" t="s">
        <v>115</v>
      </c>
      <c r="AE35" s="4" t="s">
        <v>116</v>
      </c>
      <c r="AF35" s="4"/>
      <c r="AG35" s="4"/>
      <c r="AH35" s="4" t="s">
        <v>116</v>
      </c>
      <c r="AI35" s="4" t="s">
        <v>357</v>
      </c>
      <c r="AJ35" s="4" t="s">
        <v>358</v>
      </c>
      <c r="AK35" s="4"/>
      <c r="AL35" s="4"/>
      <c r="AM35" s="59" t="s">
        <v>211</v>
      </c>
      <c r="AN35" s="118" t="s">
        <v>177</v>
      </c>
      <c r="AO35" s="4"/>
      <c r="AP35" s="4"/>
      <c r="AQ35" s="4"/>
      <c r="AR35" s="4"/>
      <c r="AS35" s="4" t="s">
        <v>144</v>
      </c>
      <c r="AT35" s="4" t="s">
        <v>950</v>
      </c>
      <c r="AU35" s="5" t="str">
        <f>IF($AT35="","",IFERROR(INDEX([1]InstructorMap!$B:$B, MATCH($AT35, [1]InstructorMap!$A:$A, 0)),""))</f>
        <v>olariu@andrews.edu</v>
      </c>
      <c r="AV35" s="5" t="str">
        <f>IF($AT35="","",IFERROR(INDEX([1]InstructorMap!$C:$C, MATCH($AT35, [1]InstructorMap!$A:$A, 0)),""))</f>
        <v>000163538</v>
      </c>
      <c r="AW35" s="4" t="s">
        <v>121</v>
      </c>
      <c r="AX35" s="4" t="s">
        <v>122</v>
      </c>
      <c r="AY35" s="4"/>
      <c r="AZ35" s="4"/>
      <c r="BA35" s="4"/>
      <c r="BB35" s="4"/>
      <c r="BC35" s="4"/>
      <c r="BD35" s="4"/>
      <c r="BE35" s="4"/>
      <c r="BF35" s="4"/>
      <c r="BG35" s="4"/>
      <c r="BH35" s="4" t="s">
        <v>898</v>
      </c>
      <c r="BI35" s="4" t="s">
        <v>124</v>
      </c>
      <c r="BJ35" s="4" t="s">
        <v>125</v>
      </c>
      <c r="BK35" s="4"/>
      <c r="BL35" s="4" t="s">
        <v>119</v>
      </c>
      <c r="BM35" s="4" t="s">
        <v>971</v>
      </c>
      <c r="BN35" s="4"/>
      <c r="BO35" s="4" t="s">
        <v>127</v>
      </c>
      <c r="BP35" s="4"/>
      <c r="BQ35" s="4" t="s">
        <v>198</v>
      </c>
      <c r="BR35" s="4"/>
      <c r="BS35" s="4"/>
      <c r="BT35" s="4" t="s">
        <v>128</v>
      </c>
      <c r="BU35" s="4" t="s">
        <v>129</v>
      </c>
      <c r="BV35" s="4" t="s">
        <v>129</v>
      </c>
      <c r="BW35" s="4" t="s">
        <v>130</v>
      </c>
      <c r="BX35" s="4" t="s">
        <v>131</v>
      </c>
      <c r="BY35" s="4"/>
      <c r="BZ35" s="4"/>
      <c r="CA35" s="4"/>
      <c r="CB35" s="4"/>
      <c r="CC35" s="4"/>
      <c r="CD35" s="4"/>
      <c r="CE35" s="4"/>
      <c r="CF35" s="4" t="s">
        <v>130</v>
      </c>
      <c r="CG35" s="4"/>
      <c r="CH35" s="4" t="s">
        <v>131</v>
      </c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 t="s">
        <v>132</v>
      </c>
      <c r="CT35" s="4" t="s">
        <v>133</v>
      </c>
      <c r="CU35" s="4" t="s">
        <v>134</v>
      </c>
      <c r="CV35" s="4"/>
    </row>
    <row r="36" spans="1:100" x14ac:dyDescent="0.2">
      <c r="A36" s="156" t="b">
        <v>0</v>
      </c>
      <c r="B36" s="156" t="b">
        <v>0</v>
      </c>
      <c r="C36" s="156" t="b">
        <v>1</v>
      </c>
      <c r="D36" s="156" t="b">
        <v>0</v>
      </c>
      <c r="E36" s="156" t="b">
        <v>1</v>
      </c>
      <c r="F36" s="156" t="b">
        <v>0</v>
      </c>
      <c r="G36" s="139" t="s">
        <v>787</v>
      </c>
      <c r="H36" s="8" t="s">
        <v>1002</v>
      </c>
      <c r="I36" s="142" t="s">
        <v>1003</v>
      </c>
      <c r="J36" s="8" t="s">
        <v>898</v>
      </c>
      <c r="K36" s="8" t="s">
        <v>403</v>
      </c>
      <c r="L36" s="8" t="s">
        <v>252</v>
      </c>
      <c r="M36" s="8"/>
      <c r="N36" s="8" t="s">
        <v>1000</v>
      </c>
      <c r="O36" s="8"/>
      <c r="P36" s="8"/>
      <c r="Q36" s="8"/>
      <c r="R36" s="8" t="s">
        <v>108</v>
      </c>
      <c r="S36" s="8"/>
      <c r="T36" s="8"/>
      <c r="U36" s="8"/>
      <c r="V36" s="8"/>
      <c r="W36" s="8" t="s">
        <v>112</v>
      </c>
      <c r="X36" s="8"/>
      <c r="Y36" s="8" t="s">
        <v>151</v>
      </c>
      <c r="Z36" s="8" t="s">
        <v>114</v>
      </c>
      <c r="AA36" s="8" t="s">
        <v>115</v>
      </c>
      <c r="AB36" s="8"/>
      <c r="AC36" s="8"/>
      <c r="AD36" s="8" t="s">
        <v>115</v>
      </c>
      <c r="AE36" s="8" t="s">
        <v>116</v>
      </c>
      <c r="AF36" s="8"/>
      <c r="AG36" s="8"/>
      <c r="AH36" s="8" t="s">
        <v>116</v>
      </c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 t="s">
        <v>950</v>
      </c>
      <c r="AU36" s="9" t="str">
        <f>IF($AT36="","",IFERROR(INDEX([1]InstructorMap!$B:$B, MATCH($AT36, [1]InstructorMap!$A:$A, 0)),""))</f>
        <v>olariu@andrews.edu</v>
      </c>
      <c r="AV36" s="9" t="str">
        <f>IF($AT36="","",IFERROR(INDEX([1]InstructorMap!$C:$C, MATCH($AT36, [1]InstructorMap!$A:$A, 0)),""))</f>
        <v>000163538</v>
      </c>
      <c r="AW36" s="8" t="s">
        <v>121</v>
      </c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 t="s">
        <v>898</v>
      </c>
      <c r="BI36" s="8" t="s">
        <v>124</v>
      </c>
      <c r="BJ36" s="8" t="s">
        <v>125</v>
      </c>
      <c r="BK36" s="8"/>
      <c r="BL36" s="8" t="s">
        <v>119</v>
      </c>
      <c r="BM36" s="8" t="s">
        <v>971</v>
      </c>
      <c r="BN36" s="8"/>
      <c r="BO36" s="8" t="s">
        <v>127</v>
      </c>
      <c r="BP36" s="8"/>
      <c r="BQ36" s="8" t="s">
        <v>198</v>
      </c>
      <c r="BR36" s="8"/>
      <c r="BS36" s="8"/>
      <c r="BT36" s="8" t="s">
        <v>128</v>
      </c>
      <c r="BU36" s="8" t="s">
        <v>129</v>
      </c>
      <c r="BV36" s="8" t="s">
        <v>129</v>
      </c>
      <c r="BW36" s="8" t="s">
        <v>130</v>
      </c>
      <c r="BX36" s="8"/>
      <c r="BY36" s="8"/>
      <c r="BZ36" s="8"/>
      <c r="CA36" s="8"/>
      <c r="CB36" s="8"/>
      <c r="CC36" s="8"/>
      <c r="CD36" s="8"/>
      <c r="CE36" s="8"/>
      <c r="CF36" s="8" t="s">
        <v>130</v>
      </c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 t="s">
        <v>132</v>
      </c>
      <c r="CT36" s="8" t="s">
        <v>133</v>
      </c>
      <c r="CU36" s="8" t="s">
        <v>134</v>
      </c>
      <c r="CV36" s="8"/>
    </row>
    <row r="37" spans="1:100" x14ac:dyDescent="0.2">
      <c r="A37" s="77" t="b">
        <v>0</v>
      </c>
      <c r="B37" s="78" t="b">
        <v>0</v>
      </c>
      <c r="C37" s="78" t="b">
        <v>1</v>
      </c>
      <c r="D37" s="78" t="b">
        <v>0</v>
      </c>
      <c r="E37" s="78" t="b">
        <v>1</v>
      </c>
      <c r="F37" s="77" t="b">
        <v>0</v>
      </c>
      <c r="G37" s="139" t="s">
        <v>787</v>
      </c>
      <c r="H37" s="8" t="s">
        <v>1004</v>
      </c>
      <c r="I37" s="142" t="s">
        <v>1005</v>
      </c>
      <c r="J37" s="8" t="s">
        <v>898</v>
      </c>
      <c r="K37" s="8" t="s">
        <v>403</v>
      </c>
      <c r="L37" s="8" t="s">
        <v>297</v>
      </c>
      <c r="M37" s="8"/>
      <c r="N37" s="8" t="s">
        <v>1000</v>
      </c>
      <c r="O37" s="8"/>
      <c r="P37" s="8"/>
      <c r="Q37" s="8"/>
      <c r="R37" s="8" t="s">
        <v>108</v>
      </c>
      <c r="S37" s="8"/>
      <c r="T37" s="8"/>
      <c r="U37" s="8"/>
      <c r="V37" s="8"/>
      <c r="W37" s="8" t="s">
        <v>112</v>
      </c>
      <c r="X37" s="8"/>
      <c r="Y37" s="8" t="s">
        <v>151</v>
      </c>
      <c r="Z37" s="8" t="s">
        <v>114</v>
      </c>
      <c r="AA37" s="8" t="s">
        <v>115</v>
      </c>
      <c r="AB37" s="8"/>
      <c r="AC37" s="8"/>
      <c r="AD37" s="8" t="s">
        <v>115</v>
      </c>
      <c r="AE37" s="8" t="s">
        <v>116</v>
      </c>
      <c r="AF37" s="8"/>
      <c r="AG37" s="8"/>
      <c r="AH37" s="8" t="s">
        <v>116</v>
      </c>
      <c r="AI37" s="8" t="s">
        <v>357</v>
      </c>
      <c r="AJ37" s="8" t="s">
        <v>358</v>
      </c>
      <c r="AK37" s="8"/>
      <c r="AL37" s="8"/>
      <c r="AM37" s="8"/>
      <c r="AN37" s="8" t="s">
        <v>177</v>
      </c>
      <c r="AO37" s="8"/>
      <c r="AP37" s="8"/>
      <c r="AQ37" s="8"/>
      <c r="AR37" s="8"/>
      <c r="AS37" s="8"/>
      <c r="AT37" s="8" t="s">
        <v>950</v>
      </c>
      <c r="AU37" s="9" t="str">
        <f>IF($AT37="","",IFERROR(INDEX([1]InstructorMap!$B:$B, MATCH($AT37, [1]InstructorMap!$A:$A, 0)),""))</f>
        <v>olariu@andrews.edu</v>
      </c>
      <c r="AV37" s="9" t="str">
        <f>IF($AT37="","",IFERROR(INDEX([1]InstructorMap!$C:$C, MATCH($AT37, [1]InstructorMap!$A:$A, 0)),""))</f>
        <v>000163538</v>
      </c>
      <c r="AW37" s="8" t="s">
        <v>121</v>
      </c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 t="s">
        <v>898</v>
      </c>
      <c r="BI37" s="8" t="s">
        <v>124</v>
      </c>
      <c r="BJ37" s="8" t="s">
        <v>125</v>
      </c>
      <c r="BK37" s="8"/>
      <c r="BL37" s="8" t="s">
        <v>119</v>
      </c>
      <c r="BM37" s="8" t="s">
        <v>971</v>
      </c>
      <c r="BN37" s="8"/>
      <c r="BO37" s="8" t="s">
        <v>127</v>
      </c>
      <c r="BP37" s="8"/>
      <c r="BQ37" s="8" t="s">
        <v>198</v>
      </c>
      <c r="BR37" s="8"/>
      <c r="BS37" s="8"/>
      <c r="BT37" s="8" t="s">
        <v>128</v>
      </c>
      <c r="BU37" s="8" t="s">
        <v>129</v>
      </c>
      <c r="BV37" s="8" t="s">
        <v>129</v>
      </c>
      <c r="BW37" s="8" t="s">
        <v>130</v>
      </c>
      <c r="BX37" s="8" t="s">
        <v>131</v>
      </c>
      <c r="BY37" s="8"/>
      <c r="BZ37" s="8"/>
      <c r="CA37" s="8"/>
      <c r="CB37" s="8"/>
      <c r="CC37" s="8"/>
      <c r="CD37" s="8"/>
      <c r="CE37" s="8"/>
      <c r="CF37" s="8" t="s">
        <v>130</v>
      </c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 t="s">
        <v>249</v>
      </c>
      <c r="CS37" s="8" t="s">
        <v>132</v>
      </c>
      <c r="CT37" s="8" t="s">
        <v>133</v>
      </c>
      <c r="CU37" s="8" t="s">
        <v>134</v>
      </c>
      <c r="CV37" s="8"/>
    </row>
    <row r="38" spans="1:100" x14ac:dyDescent="0.2">
      <c r="A38" s="66" t="b">
        <v>1</v>
      </c>
      <c r="B38" s="67" t="b">
        <v>0</v>
      </c>
      <c r="C38" s="67" t="b">
        <v>1</v>
      </c>
      <c r="D38" s="67" t="b">
        <v>0</v>
      </c>
      <c r="E38" s="67" t="b">
        <v>1</v>
      </c>
      <c r="F38" s="66" t="b">
        <v>0</v>
      </c>
      <c r="G38" s="141" t="s">
        <v>1006</v>
      </c>
      <c r="H38" s="4" t="s">
        <v>1007</v>
      </c>
      <c r="I38" s="22" t="s">
        <v>1008</v>
      </c>
      <c r="J38" s="4" t="s">
        <v>898</v>
      </c>
      <c r="K38" s="4" t="s">
        <v>922</v>
      </c>
      <c r="L38" s="4" t="s">
        <v>105</v>
      </c>
      <c r="M38" s="4"/>
      <c r="N38" s="4" t="s">
        <v>1009</v>
      </c>
      <c r="O38" s="4"/>
      <c r="P38" s="4"/>
      <c r="Q38" s="4" t="s">
        <v>1010</v>
      </c>
      <c r="R38" s="4" t="s">
        <v>108</v>
      </c>
      <c r="S38" s="59" t="s">
        <v>108</v>
      </c>
      <c r="T38" s="4" t="s">
        <v>109</v>
      </c>
      <c r="U38" s="4" t="s">
        <v>110</v>
      </c>
      <c r="V38" s="4"/>
      <c r="W38" s="4" t="s">
        <v>173</v>
      </c>
      <c r="X38" s="4"/>
      <c r="Y38" s="4" t="s">
        <v>547</v>
      </c>
      <c r="Z38" s="4" t="s">
        <v>114</v>
      </c>
      <c r="AA38" s="4" t="s">
        <v>115</v>
      </c>
      <c r="AB38" s="4"/>
      <c r="AC38" s="4"/>
      <c r="AD38" s="4" t="s">
        <v>115</v>
      </c>
      <c r="AE38" s="4" t="s">
        <v>116</v>
      </c>
      <c r="AF38" s="4"/>
      <c r="AG38" s="4"/>
      <c r="AH38" s="4" t="s">
        <v>116</v>
      </c>
      <c r="AI38" s="4" t="s">
        <v>277</v>
      </c>
      <c r="AJ38" s="4" t="s">
        <v>194</v>
      </c>
      <c r="AK38" s="4"/>
      <c r="AL38" s="4"/>
      <c r="AM38" s="4"/>
      <c r="AN38" s="4" t="s">
        <v>177</v>
      </c>
      <c r="AO38" s="4"/>
      <c r="AP38" s="4"/>
      <c r="AQ38" s="4"/>
      <c r="AR38" s="4"/>
      <c r="AS38" s="4"/>
      <c r="AT38" s="4" t="s">
        <v>588</v>
      </c>
      <c r="AU38" s="5" t="str">
        <f>IF($AT38="","",IFERROR(INDEX(InstructorMap!$B:$B, MATCH($AT38, InstructorMap!$A:$A, 0)),""))</f>
        <v>gane@andrews.edu</v>
      </c>
      <c r="AV38" s="5" t="str">
        <f>IF($AT38="","",IFERROR(INDEX(InstructorMap!$C:$C, MATCH($AT38, InstructorMap!$A:$A, 0)),""))</f>
        <v>000008963</v>
      </c>
      <c r="AW38" s="4" t="s">
        <v>121</v>
      </c>
      <c r="AX38" t="s">
        <v>348</v>
      </c>
      <c r="AY38" s="4"/>
      <c r="AZ38" s="4"/>
      <c r="BA38" s="4"/>
      <c r="BB38" s="4"/>
      <c r="BC38" s="4"/>
      <c r="BD38" s="4"/>
      <c r="BE38" s="4"/>
      <c r="BF38" s="4"/>
      <c r="BG38" s="4"/>
      <c r="BH38" s="4" t="s">
        <v>898</v>
      </c>
      <c r="BI38" s="4" t="s">
        <v>124</v>
      </c>
      <c r="BJ38" s="4" t="s">
        <v>125</v>
      </c>
      <c r="BK38" s="4"/>
      <c r="BL38" s="4" t="s">
        <v>126</v>
      </c>
      <c r="BM38" s="4" t="s">
        <v>971</v>
      </c>
      <c r="BN38" s="4"/>
      <c r="BO38" s="4" t="s">
        <v>127</v>
      </c>
      <c r="BP38" s="4"/>
      <c r="BQ38" s="4" t="s">
        <v>1011</v>
      </c>
      <c r="BR38" s="4"/>
      <c r="BS38" s="4"/>
      <c r="BT38" s="4" t="s">
        <v>128</v>
      </c>
      <c r="BU38" s="4" t="s">
        <v>129</v>
      </c>
      <c r="BV38" s="4" t="s">
        <v>129</v>
      </c>
      <c r="BW38" s="4" t="s">
        <v>130</v>
      </c>
      <c r="BX38" s="4" t="s">
        <v>131</v>
      </c>
      <c r="BY38" s="4"/>
      <c r="BZ38" s="4"/>
      <c r="CA38" s="4"/>
      <c r="CB38" s="4"/>
      <c r="CC38" s="4"/>
      <c r="CD38" s="4"/>
      <c r="CE38" s="4"/>
      <c r="CF38" s="4" t="s">
        <v>130</v>
      </c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 t="s">
        <v>132</v>
      </c>
      <c r="CT38" s="4" t="s">
        <v>133</v>
      </c>
      <c r="CU38" s="4" t="s">
        <v>134</v>
      </c>
      <c r="CV38" s="4"/>
    </row>
    <row r="39" spans="1:100" x14ac:dyDescent="0.2">
      <c r="A39" s="129" t="b">
        <v>0</v>
      </c>
      <c r="B39" s="134" t="b">
        <v>0</v>
      </c>
      <c r="C39" s="134" t="b">
        <v>0</v>
      </c>
      <c r="D39" s="134" t="b">
        <v>0</v>
      </c>
      <c r="E39" s="134" t="b">
        <v>0</v>
      </c>
      <c r="F39" s="129" t="b">
        <v>1</v>
      </c>
      <c r="G39" s="64"/>
      <c r="H39" s="4" t="s">
        <v>1012</v>
      </c>
      <c r="I39" s="22" t="s">
        <v>1013</v>
      </c>
      <c r="J39" s="4" t="s">
        <v>898</v>
      </c>
      <c r="K39" s="4" t="s">
        <v>922</v>
      </c>
      <c r="L39" s="4" t="s">
        <v>137</v>
      </c>
      <c r="M39" s="4"/>
      <c r="N39" s="4" t="s">
        <v>1009</v>
      </c>
      <c r="O39" s="4"/>
      <c r="P39" s="4" t="s">
        <v>1014</v>
      </c>
      <c r="Q39" s="4" t="s">
        <v>1010</v>
      </c>
      <c r="R39" s="4" t="s">
        <v>129</v>
      </c>
      <c r="S39" s="4"/>
      <c r="T39" s="4" t="s">
        <v>139</v>
      </c>
      <c r="U39" s="4" t="s">
        <v>140</v>
      </c>
      <c r="V39" s="4"/>
      <c r="W39" s="4" t="s">
        <v>173</v>
      </c>
      <c r="X39" s="4" t="s">
        <v>173</v>
      </c>
      <c r="Y39" s="4" t="s">
        <v>591</v>
      </c>
      <c r="Z39" s="4" t="s">
        <v>142</v>
      </c>
      <c r="AA39" s="4" t="s">
        <v>115</v>
      </c>
      <c r="AB39" s="4"/>
      <c r="AC39" s="4"/>
      <c r="AD39" s="4" t="s">
        <v>115</v>
      </c>
      <c r="AE39" s="4" t="s">
        <v>116</v>
      </c>
      <c r="AF39" s="4"/>
      <c r="AG39" s="4"/>
      <c r="AH39" s="4" t="s">
        <v>116</v>
      </c>
      <c r="AI39" s="4" t="s">
        <v>117</v>
      </c>
      <c r="AJ39" s="4" t="s">
        <v>194</v>
      </c>
      <c r="AK39" s="4"/>
      <c r="AL39" s="4"/>
      <c r="AM39" s="4"/>
      <c r="AN39" s="4" t="s">
        <v>177</v>
      </c>
      <c r="AO39" s="4"/>
      <c r="AP39" s="4"/>
      <c r="AQ39" s="4"/>
      <c r="AR39" s="4" t="s">
        <v>143</v>
      </c>
      <c r="AS39" s="4" t="s">
        <v>144</v>
      </c>
      <c r="AT39" s="4" t="s">
        <v>588</v>
      </c>
      <c r="AU39" s="5" t="str">
        <f>IF($AT39="","",IFERROR(INDEX(InstructorMap!$B:$B, MATCH($AT39, InstructorMap!$A:$A, 0)),""))</f>
        <v>gane@andrews.edu</v>
      </c>
      <c r="AV39" s="5" t="str">
        <f>IF($AT39="","",IFERROR(INDEX(InstructorMap!$C:$C, MATCH($AT39, InstructorMap!$A:$A, 0)),""))</f>
        <v>000008963</v>
      </c>
      <c r="AW39" s="4" t="s">
        <v>121</v>
      </c>
      <c r="AX39" s="4" t="s">
        <v>122</v>
      </c>
      <c r="AY39" s="4"/>
      <c r="AZ39" s="4"/>
      <c r="BA39" s="4"/>
      <c r="BB39" s="4"/>
      <c r="BC39" s="4"/>
      <c r="BD39" s="4"/>
      <c r="BE39" s="4"/>
      <c r="BF39" s="4"/>
      <c r="BG39" s="4"/>
      <c r="BH39" s="4" t="s">
        <v>898</v>
      </c>
      <c r="BI39" s="4" t="s">
        <v>124</v>
      </c>
      <c r="BJ39" s="4" t="s">
        <v>125</v>
      </c>
      <c r="BK39" s="4"/>
      <c r="BL39" s="4" t="s">
        <v>125</v>
      </c>
      <c r="BM39" s="4" t="s">
        <v>971</v>
      </c>
      <c r="BN39" s="4"/>
      <c r="BO39" s="4" t="s">
        <v>127</v>
      </c>
      <c r="BP39" s="4"/>
      <c r="BQ39" s="4" t="s">
        <v>1011</v>
      </c>
      <c r="BR39" s="4"/>
      <c r="BS39" s="4"/>
      <c r="BT39" s="4" t="s">
        <v>128</v>
      </c>
      <c r="BU39" s="4" t="s">
        <v>129</v>
      </c>
      <c r="BV39" s="4" t="s">
        <v>145</v>
      </c>
      <c r="BW39" s="4" t="s">
        <v>130</v>
      </c>
      <c r="BX39" s="4" t="s">
        <v>131</v>
      </c>
      <c r="BY39" s="4"/>
      <c r="BZ39" s="4"/>
      <c r="CA39" s="4"/>
      <c r="CB39" s="4"/>
      <c r="CC39" s="4"/>
      <c r="CD39" s="4"/>
      <c r="CE39" s="4"/>
      <c r="CF39" s="4" t="s">
        <v>130</v>
      </c>
      <c r="CG39" s="4"/>
      <c r="CH39" s="4" t="s">
        <v>131</v>
      </c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 t="s">
        <v>146</v>
      </c>
      <c r="CT39" s="4" t="s">
        <v>133</v>
      </c>
      <c r="CU39" s="4" t="s">
        <v>134</v>
      </c>
      <c r="CV39" s="4"/>
    </row>
    <row r="40" spans="1:100" x14ac:dyDescent="0.2">
      <c r="A40" s="77" t="b">
        <v>0</v>
      </c>
      <c r="B40" s="78" t="b">
        <v>0</v>
      </c>
      <c r="C40" s="78" t="b">
        <v>1</v>
      </c>
      <c r="D40" s="78" t="b">
        <v>0</v>
      </c>
      <c r="E40" s="78" t="b">
        <v>1</v>
      </c>
      <c r="F40" s="77" t="b">
        <v>0</v>
      </c>
      <c r="G40" s="139" t="s">
        <v>787</v>
      </c>
      <c r="H40" s="8" t="s">
        <v>1015</v>
      </c>
      <c r="I40" s="142" t="s">
        <v>1016</v>
      </c>
      <c r="J40" s="8" t="s">
        <v>898</v>
      </c>
      <c r="K40" s="8" t="s">
        <v>1017</v>
      </c>
      <c r="L40" s="8" t="s">
        <v>137</v>
      </c>
      <c r="M40" s="8"/>
      <c r="N40" s="8" t="s">
        <v>1018</v>
      </c>
      <c r="O40" s="8"/>
      <c r="P40" s="8"/>
      <c r="Q40" s="8" t="s">
        <v>915</v>
      </c>
      <c r="R40" s="8" t="s">
        <v>129</v>
      </c>
      <c r="S40" s="8"/>
      <c r="T40" s="8"/>
      <c r="U40" s="8"/>
      <c r="V40" s="8"/>
      <c r="W40" s="8" t="s">
        <v>112</v>
      </c>
      <c r="X40" s="8"/>
      <c r="Y40" s="8" t="s">
        <v>174</v>
      </c>
      <c r="Z40" s="8" t="s">
        <v>142</v>
      </c>
      <c r="AA40" s="8" t="s">
        <v>115</v>
      </c>
      <c r="AB40" s="8"/>
      <c r="AC40" s="8"/>
      <c r="AD40" s="8" t="s">
        <v>115</v>
      </c>
      <c r="AE40" s="8" t="s">
        <v>116</v>
      </c>
      <c r="AF40" s="8"/>
      <c r="AG40" s="8"/>
      <c r="AH40" s="8" t="s">
        <v>116</v>
      </c>
      <c r="AI40" s="8" t="s">
        <v>175</v>
      </c>
      <c r="AJ40" s="8" t="s">
        <v>237</v>
      </c>
      <c r="AK40" s="8"/>
      <c r="AL40" s="8"/>
      <c r="AM40" s="8" t="s">
        <v>211</v>
      </c>
      <c r="AN40" s="8"/>
      <c r="AO40" s="8"/>
      <c r="AP40" s="8"/>
      <c r="AQ40" s="8"/>
      <c r="AR40" s="8"/>
      <c r="AS40" s="8" t="s">
        <v>144</v>
      </c>
      <c r="AT40" s="8" t="s">
        <v>588</v>
      </c>
      <c r="AU40" s="9" t="str">
        <f>IF($AT40="","",IFERROR(INDEX([1]InstructorMap!$B:$B, MATCH($AT40, [1]InstructorMap!$A:$A, 0)),""))</f>
        <v>gane@andrews.edu</v>
      </c>
      <c r="AV40" s="9" t="str">
        <f>IF($AT40="","",IFERROR(INDEX([1]InstructorMap!$C:$C, MATCH($AT40, [1]InstructorMap!$A:$A, 0)),""))</f>
        <v>000008963</v>
      </c>
      <c r="AW40" s="8" t="s">
        <v>121</v>
      </c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 t="s">
        <v>898</v>
      </c>
      <c r="BI40" s="8" t="s">
        <v>124</v>
      </c>
      <c r="BJ40" s="8" t="s">
        <v>125</v>
      </c>
      <c r="BK40" s="8"/>
      <c r="BL40" s="8" t="s">
        <v>125</v>
      </c>
      <c r="BM40" s="8"/>
      <c r="BN40" s="8"/>
      <c r="BO40" s="8" t="s">
        <v>127</v>
      </c>
      <c r="BP40" s="8"/>
      <c r="BQ40" s="8"/>
      <c r="BR40" s="8"/>
      <c r="BS40" s="8"/>
      <c r="BT40" s="8" t="s">
        <v>128</v>
      </c>
      <c r="BU40" s="8" t="s">
        <v>129</v>
      </c>
      <c r="BV40" s="8" t="s">
        <v>129</v>
      </c>
      <c r="BW40" s="8" t="s">
        <v>130</v>
      </c>
      <c r="BX40" s="8" t="s">
        <v>131</v>
      </c>
      <c r="BY40" s="8"/>
      <c r="BZ40" s="8"/>
      <c r="CA40" s="8"/>
      <c r="CB40" s="8"/>
      <c r="CC40" s="8"/>
      <c r="CD40" s="8"/>
      <c r="CE40" s="8"/>
      <c r="CF40" s="8" t="s">
        <v>130</v>
      </c>
      <c r="CG40" s="8"/>
      <c r="CH40" s="8" t="s">
        <v>131</v>
      </c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 t="s">
        <v>132</v>
      </c>
      <c r="CT40" s="8" t="s">
        <v>133</v>
      </c>
      <c r="CU40" s="8" t="s">
        <v>134</v>
      </c>
      <c r="CV40" s="8"/>
    </row>
    <row r="41" spans="1:100" x14ac:dyDescent="0.2">
      <c r="A41" s="77" t="b">
        <v>0</v>
      </c>
      <c r="B41" s="78" t="b">
        <v>0</v>
      </c>
      <c r="C41" s="78" t="b">
        <v>1</v>
      </c>
      <c r="D41" s="78" t="b">
        <v>0</v>
      </c>
      <c r="E41" s="78" t="b">
        <v>1</v>
      </c>
      <c r="F41" s="77" t="b">
        <v>0</v>
      </c>
      <c r="G41" s="124" t="s">
        <v>787</v>
      </c>
      <c r="H41" s="8" t="s">
        <v>1019</v>
      </c>
      <c r="I41" s="142" t="s">
        <v>1020</v>
      </c>
      <c r="J41" s="8" t="s">
        <v>898</v>
      </c>
      <c r="K41" s="8" t="s">
        <v>1017</v>
      </c>
      <c r="L41" s="8" t="s">
        <v>105</v>
      </c>
      <c r="M41" s="8"/>
      <c r="N41" s="8" t="s">
        <v>1018</v>
      </c>
      <c r="O41" s="8" t="s">
        <v>1021</v>
      </c>
      <c r="P41" s="8"/>
      <c r="Q41" s="8" t="s">
        <v>915</v>
      </c>
      <c r="R41" s="8" t="s">
        <v>108</v>
      </c>
      <c r="S41" s="8"/>
      <c r="T41" s="8"/>
      <c r="U41" s="8" t="s">
        <v>110</v>
      </c>
      <c r="V41" s="8"/>
      <c r="W41" s="8" t="s">
        <v>112</v>
      </c>
      <c r="X41" s="8"/>
      <c r="Y41" s="8" t="s">
        <v>203</v>
      </c>
      <c r="Z41" s="8" t="s">
        <v>114</v>
      </c>
      <c r="AA41" s="8" t="s">
        <v>115</v>
      </c>
      <c r="AB41" s="8"/>
      <c r="AC41" s="8"/>
      <c r="AD41" s="8" t="s">
        <v>115</v>
      </c>
      <c r="AE41" s="8" t="s">
        <v>116</v>
      </c>
      <c r="AF41" s="8"/>
      <c r="AG41" s="8"/>
      <c r="AH41" s="8" t="s">
        <v>116</v>
      </c>
      <c r="AI41" s="8" t="s">
        <v>175</v>
      </c>
      <c r="AJ41" s="8" t="s">
        <v>237</v>
      </c>
      <c r="AK41" s="8"/>
      <c r="AL41" s="8"/>
      <c r="AM41" s="8" t="s">
        <v>211</v>
      </c>
      <c r="AN41" s="8"/>
      <c r="AO41" s="8"/>
      <c r="AP41" s="8"/>
      <c r="AQ41" s="8"/>
      <c r="AR41" s="8"/>
      <c r="AS41" s="8"/>
      <c r="AT41" s="8" t="s">
        <v>588</v>
      </c>
      <c r="AU41" s="9" t="str">
        <f>IF($AT41="","",IFERROR(INDEX([1]InstructorMap!$B:$B, MATCH($AT41, [1]InstructorMap!$A:$A, 0)),""))</f>
        <v>gane@andrews.edu</v>
      </c>
      <c r="AV41" s="9" t="str">
        <f>IF($AT41="","",IFERROR(INDEX([1]InstructorMap!$C:$C, MATCH($AT41, [1]InstructorMap!$A:$A, 0)),""))</f>
        <v>000008963</v>
      </c>
      <c r="AW41" s="8" t="s">
        <v>121</v>
      </c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 t="s">
        <v>898</v>
      </c>
      <c r="BI41" s="8" t="s">
        <v>124</v>
      </c>
      <c r="BJ41" s="8" t="s">
        <v>125</v>
      </c>
      <c r="BK41" s="8"/>
      <c r="BL41" s="8" t="s">
        <v>126</v>
      </c>
      <c r="BM41" s="8"/>
      <c r="BN41" s="8"/>
      <c r="BO41" s="8" t="s">
        <v>127</v>
      </c>
      <c r="BP41" s="8"/>
      <c r="BQ41" s="8"/>
      <c r="BR41" s="8"/>
      <c r="BS41" s="8"/>
      <c r="BT41" s="8" t="s">
        <v>128</v>
      </c>
      <c r="BU41" s="8" t="s">
        <v>129</v>
      </c>
      <c r="BV41" s="8" t="s">
        <v>129</v>
      </c>
      <c r="BW41" s="8" t="s">
        <v>130</v>
      </c>
      <c r="BX41" s="8" t="s">
        <v>131</v>
      </c>
      <c r="BY41" s="8"/>
      <c r="BZ41" s="8"/>
      <c r="CA41" s="8"/>
      <c r="CB41" s="8"/>
      <c r="CC41" s="8"/>
      <c r="CD41" s="8"/>
      <c r="CE41" s="8"/>
      <c r="CF41" s="8" t="s">
        <v>130</v>
      </c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 t="s">
        <v>132</v>
      </c>
      <c r="CT41" s="8" t="s">
        <v>133</v>
      </c>
      <c r="CU41" s="8" t="s">
        <v>134</v>
      </c>
      <c r="CV41" s="8"/>
    </row>
    <row r="42" spans="1:100" x14ac:dyDescent="0.2">
      <c r="A42" s="45" t="b">
        <v>1</v>
      </c>
      <c r="B42" s="45" t="b">
        <v>0</v>
      </c>
      <c r="C42" s="45" t="b">
        <v>1</v>
      </c>
      <c r="D42" s="45" t="b">
        <v>0</v>
      </c>
      <c r="E42" s="45" t="b">
        <v>1</v>
      </c>
      <c r="F42" s="45" t="b">
        <v>0</v>
      </c>
      <c r="G42" s="46" t="s">
        <v>1006</v>
      </c>
      <c r="H42" s="4" t="s">
        <v>1022</v>
      </c>
      <c r="I42" s="22" t="s">
        <v>1023</v>
      </c>
      <c r="J42" s="4" t="s">
        <v>898</v>
      </c>
      <c r="K42" s="4" t="s">
        <v>1024</v>
      </c>
      <c r="L42" s="4" t="s">
        <v>105</v>
      </c>
      <c r="M42" s="4"/>
      <c r="N42" s="4" t="s">
        <v>1025</v>
      </c>
      <c r="O42" s="4"/>
      <c r="P42" s="4"/>
      <c r="Q42" s="4" t="s">
        <v>1026</v>
      </c>
      <c r="R42" s="4" t="s">
        <v>108</v>
      </c>
      <c r="S42" s="59" t="s">
        <v>108</v>
      </c>
      <c r="T42" s="4" t="s">
        <v>109</v>
      </c>
      <c r="U42" s="4" t="s">
        <v>110</v>
      </c>
      <c r="V42" s="4"/>
      <c r="W42" s="4" t="s">
        <v>112</v>
      </c>
      <c r="X42" s="4"/>
      <c r="Y42" s="4" t="s">
        <v>203</v>
      </c>
      <c r="Z42" s="4" t="s">
        <v>114</v>
      </c>
      <c r="AA42" s="4" t="s">
        <v>115</v>
      </c>
      <c r="AB42" s="4"/>
      <c r="AC42" s="4"/>
      <c r="AD42" s="4" t="s">
        <v>115</v>
      </c>
      <c r="AE42" s="4" t="s">
        <v>116</v>
      </c>
      <c r="AF42" s="4"/>
      <c r="AG42" s="4"/>
      <c r="AH42" s="4" t="s">
        <v>116</v>
      </c>
      <c r="AI42" s="4" t="s">
        <v>277</v>
      </c>
      <c r="AJ42" s="4" t="s">
        <v>278</v>
      </c>
      <c r="AK42" s="4"/>
      <c r="AL42" s="4"/>
      <c r="AM42" s="4" t="s">
        <v>211</v>
      </c>
      <c r="AN42" s="4"/>
      <c r="AO42" s="4"/>
      <c r="AP42" s="4"/>
      <c r="AQ42" s="4"/>
      <c r="AR42" s="4"/>
      <c r="AS42" s="4"/>
      <c r="AT42" s="4" t="s">
        <v>588</v>
      </c>
      <c r="AU42" s="5" t="str">
        <f>IF($AT42="","",IFERROR(INDEX(InstructorMap!$B:$B, MATCH($AT42, InstructorMap!$A:$A, 0)),""))</f>
        <v>gane@andrews.edu</v>
      </c>
      <c r="AV42" s="5" t="str">
        <f>IF($AT42="","",IFERROR(INDEX(InstructorMap!$C:$C, MATCH($AT42, InstructorMap!$A:$A, 0)),""))</f>
        <v>000008963</v>
      </c>
      <c r="AW42" s="4" t="s">
        <v>121</v>
      </c>
      <c r="AX42" t="s">
        <v>348</v>
      </c>
      <c r="AY42" s="4"/>
      <c r="AZ42" s="4"/>
      <c r="BA42" s="4"/>
      <c r="BB42" s="4"/>
      <c r="BC42" s="4"/>
      <c r="BD42" s="4"/>
      <c r="BE42" s="4"/>
      <c r="BF42" s="4"/>
      <c r="BG42" s="4"/>
      <c r="BH42" s="4" t="s">
        <v>898</v>
      </c>
      <c r="BI42" s="4" t="s">
        <v>124</v>
      </c>
      <c r="BJ42" s="4" t="s">
        <v>125</v>
      </c>
      <c r="BK42" s="4"/>
      <c r="BL42" s="4" t="s">
        <v>126</v>
      </c>
      <c r="BM42" s="4" t="s">
        <v>1027</v>
      </c>
      <c r="BN42" s="4"/>
      <c r="BO42" s="4" t="s">
        <v>127</v>
      </c>
      <c r="BP42" s="4"/>
      <c r="BQ42" s="4" t="s">
        <v>816</v>
      </c>
      <c r="BR42" s="4"/>
      <c r="BS42" s="4"/>
      <c r="BT42" s="4" t="s">
        <v>128</v>
      </c>
      <c r="BU42" s="4" t="s">
        <v>129</v>
      </c>
      <c r="BV42" s="4" t="s">
        <v>129</v>
      </c>
      <c r="BW42" s="4" t="s">
        <v>130</v>
      </c>
      <c r="BX42" s="4" t="s">
        <v>131</v>
      </c>
      <c r="BY42" s="4"/>
      <c r="BZ42" s="4"/>
      <c r="CA42" s="4"/>
      <c r="CB42" s="4"/>
      <c r="CC42" s="4"/>
      <c r="CD42" s="4"/>
      <c r="CE42" s="4"/>
      <c r="CF42" s="4" t="s">
        <v>130</v>
      </c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 t="s">
        <v>132</v>
      </c>
      <c r="CT42" s="4" t="s">
        <v>133</v>
      </c>
      <c r="CU42" s="4" t="s">
        <v>134</v>
      </c>
      <c r="CV42" s="4"/>
    </row>
    <row r="43" spans="1:100" x14ac:dyDescent="0.2">
      <c r="A43" s="35" t="b">
        <v>0</v>
      </c>
      <c r="B43" s="52" t="b">
        <v>0</v>
      </c>
      <c r="C43" s="35" t="b">
        <v>0</v>
      </c>
      <c r="D43" s="52" t="b">
        <v>0</v>
      </c>
      <c r="E43" s="52" t="b">
        <v>0</v>
      </c>
      <c r="F43" s="26" t="b">
        <v>1</v>
      </c>
      <c r="G43" s="64"/>
      <c r="H43" s="4" t="s">
        <v>1028</v>
      </c>
      <c r="I43" s="22" t="s">
        <v>1029</v>
      </c>
      <c r="J43" s="4" t="s">
        <v>898</v>
      </c>
      <c r="K43" s="4" t="s">
        <v>1024</v>
      </c>
      <c r="L43" s="4" t="s">
        <v>137</v>
      </c>
      <c r="M43" s="4"/>
      <c r="N43" s="4" t="s">
        <v>1025</v>
      </c>
      <c r="O43" s="4"/>
      <c r="P43" s="4" t="s">
        <v>1030</v>
      </c>
      <c r="Q43" s="4" t="s">
        <v>1026</v>
      </c>
      <c r="R43" s="4" t="s">
        <v>129</v>
      </c>
      <c r="S43" s="4"/>
      <c r="T43" s="4" t="s">
        <v>139</v>
      </c>
      <c r="U43" s="4" t="s">
        <v>140</v>
      </c>
      <c r="V43" s="4"/>
      <c r="W43" s="4" t="s">
        <v>112</v>
      </c>
      <c r="X43" s="4" t="s">
        <v>112</v>
      </c>
      <c r="Y43" s="4" t="s">
        <v>151</v>
      </c>
      <c r="Z43" s="4" t="s">
        <v>142</v>
      </c>
      <c r="AA43" s="4" t="s">
        <v>115</v>
      </c>
      <c r="AB43" s="4"/>
      <c r="AC43" s="4"/>
      <c r="AD43" s="4" t="s">
        <v>115</v>
      </c>
      <c r="AE43" s="4" t="s">
        <v>116</v>
      </c>
      <c r="AF43" s="4"/>
      <c r="AG43" s="4"/>
      <c r="AH43" s="4" t="s">
        <v>116</v>
      </c>
      <c r="AI43" s="4" t="s">
        <v>175</v>
      </c>
      <c r="AJ43" s="4" t="s">
        <v>176</v>
      </c>
      <c r="AK43" s="4"/>
      <c r="AL43" s="4"/>
      <c r="AM43" s="4"/>
      <c r="AN43" s="4"/>
      <c r="AO43" s="4" t="s">
        <v>221</v>
      </c>
      <c r="AP43" s="4"/>
      <c r="AQ43" s="4"/>
      <c r="AR43" s="4" t="s">
        <v>143</v>
      </c>
      <c r="AS43" s="4" t="s">
        <v>144</v>
      </c>
      <c r="AT43" s="4" t="s">
        <v>588</v>
      </c>
      <c r="AU43" s="5" t="str">
        <f>IF($AT43="","",IFERROR(INDEX(InstructorMap!$B:$B, MATCH($AT43, InstructorMap!$A:$A, 0)),""))</f>
        <v>gane@andrews.edu</v>
      </c>
      <c r="AV43" s="5" t="str">
        <f>IF($AT43="","",IFERROR(INDEX(InstructorMap!$C:$C, MATCH($AT43, InstructorMap!$A:$A, 0)),""))</f>
        <v>000008963</v>
      </c>
      <c r="AW43" s="4" t="s">
        <v>121</v>
      </c>
      <c r="AX43" s="4" t="s">
        <v>122</v>
      </c>
      <c r="AY43" s="4"/>
      <c r="AZ43" s="4"/>
      <c r="BA43" s="4"/>
      <c r="BB43" s="4"/>
      <c r="BC43" s="4"/>
      <c r="BD43" s="4"/>
      <c r="BE43" s="4"/>
      <c r="BF43" s="4"/>
      <c r="BG43" s="4"/>
      <c r="BH43" s="4" t="s">
        <v>898</v>
      </c>
      <c r="BI43" s="4" t="s">
        <v>124</v>
      </c>
      <c r="BJ43" s="4" t="s">
        <v>125</v>
      </c>
      <c r="BK43" s="4"/>
      <c r="BL43" s="4" t="s">
        <v>125</v>
      </c>
      <c r="BM43" s="4" t="s">
        <v>1027</v>
      </c>
      <c r="BN43" s="4"/>
      <c r="BO43" s="4" t="s">
        <v>127</v>
      </c>
      <c r="BP43" s="4"/>
      <c r="BQ43" s="4" t="s">
        <v>816</v>
      </c>
      <c r="BR43" s="4"/>
      <c r="BS43" s="4"/>
      <c r="BT43" s="4" t="s">
        <v>128</v>
      </c>
      <c r="BU43" s="4" t="s">
        <v>129</v>
      </c>
      <c r="BV43" s="4" t="s">
        <v>129</v>
      </c>
      <c r="BW43" s="4" t="s">
        <v>130</v>
      </c>
      <c r="BX43" s="4" t="s">
        <v>131</v>
      </c>
      <c r="BY43" s="4"/>
      <c r="BZ43" s="4"/>
      <c r="CA43" s="4"/>
      <c r="CB43" s="4"/>
      <c r="CC43" s="4"/>
      <c r="CD43" s="4"/>
      <c r="CE43" s="4"/>
      <c r="CF43" s="4" t="s">
        <v>130</v>
      </c>
      <c r="CG43" s="4"/>
      <c r="CH43" s="4" t="s">
        <v>131</v>
      </c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 t="s">
        <v>146</v>
      </c>
      <c r="CT43" s="4" t="s">
        <v>133</v>
      </c>
      <c r="CU43" s="4" t="s">
        <v>134</v>
      </c>
      <c r="CV43" s="4"/>
    </row>
    <row r="44" spans="1:100" x14ac:dyDescent="0.2">
      <c r="A44" s="26" t="b">
        <v>0</v>
      </c>
      <c r="B44" s="26" t="b">
        <v>0</v>
      </c>
      <c r="C44" s="26" t="b">
        <v>0</v>
      </c>
      <c r="D44" s="26" t="b">
        <v>0</v>
      </c>
      <c r="E44" s="26" t="b">
        <v>0</v>
      </c>
      <c r="F44" s="26" t="b">
        <v>1</v>
      </c>
      <c r="G44" s="27"/>
      <c r="H44" s="4" t="s">
        <v>1031</v>
      </c>
      <c r="I44" s="22" t="s">
        <v>1032</v>
      </c>
      <c r="J44" s="4" t="s">
        <v>898</v>
      </c>
      <c r="K44" s="4" t="s">
        <v>218</v>
      </c>
      <c r="L44" s="4" t="s">
        <v>137</v>
      </c>
      <c r="M44" s="4"/>
      <c r="N44" s="4" t="s">
        <v>1033</v>
      </c>
      <c r="O44" s="4"/>
      <c r="P44" s="4"/>
      <c r="Q44" s="4" t="s">
        <v>1034</v>
      </c>
      <c r="R44" s="4" t="s">
        <v>129</v>
      </c>
      <c r="S44" s="4"/>
      <c r="T44" s="4" t="s">
        <v>139</v>
      </c>
      <c r="U44" s="4" t="s">
        <v>140</v>
      </c>
      <c r="V44" s="4"/>
      <c r="W44" s="4" t="s">
        <v>112</v>
      </c>
      <c r="X44" s="4" t="s">
        <v>112</v>
      </c>
      <c r="Y44" s="4" t="s">
        <v>151</v>
      </c>
      <c r="Z44" s="4" t="s">
        <v>142</v>
      </c>
      <c r="AA44" s="4" t="s">
        <v>115</v>
      </c>
      <c r="AB44" s="4"/>
      <c r="AC44" s="4"/>
      <c r="AD44" s="4" t="s">
        <v>115</v>
      </c>
      <c r="AE44" s="4" t="s">
        <v>116</v>
      </c>
      <c r="AF44" s="4"/>
      <c r="AG44" s="4"/>
      <c r="AH44" s="4" t="s">
        <v>116</v>
      </c>
      <c r="AI44" s="4" t="s">
        <v>357</v>
      </c>
      <c r="AJ44" s="4" t="s">
        <v>358</v>
      </c>
      <c r="AK44" s="4"/>
      <c r="AL44" s="4"/>
      <c r="AM44" s="4"/>
      <c r="AN44" s="4"/>
      <c r="AO44" s="4" t="s">
        <v>221</v>
      </c>
      <c r="AP44" s="4"/>
      <c r="AQ44" s="4"/>
      <c r="AR44" s="4" t="s">
        <v>333</v>
      </c>
      <c r="AS44" s="4" t="s">
        <v>144</v>
      </c>
      <c r="AT44" s="4" t="s">
        <v>588</v>
      </c>
      <c r="AU44" s="5" t="str">
        <f>IF($AT44="","",IFERROR(INDEX(InstructorMap!$B:$B, MATCH($AT44, InstructorMap!$A:$A, 0)),""))</f>
        <v>gane@andrews.edu</v>
      </c>
      <c r="AV44" s="5" t="str">
        <f>IF($AT44="","",IFERROR(INDEX(InstructorMap!$C:$C, MATCH($AT44, InstructorMap!$A:$A, 0)),""))</f>
        <v>000008963</v>
      </c>
      <c r="AW44" s="4" t="s">
        <v>121</v>
      </c>
      <c r="AX44" t="s">
        <v>348</v>
      </c>
      <c r="AY44" s="4"/>
      <c r="AZ44" s="4"/>
      <c r="BA44" s="4"/>
      <c r="BB44" s="4"/>
      <c r="BC44" s="4"/>
      <c r="BD44" s="4"/>
      <c r="BE44" s="4"/>
      <c r="BF44" s="4"/>
      <c r="BG44" s="4"/>
      <c r="BH44" s="4" t="s">
        <v>898</v>
      </c>
      <c r="BI44" s="4" t="s">
        <v>124</v>
      </c>
      <c r="BJ44" s="4" t="s">
        <v>125</v>
      </c>
      <c r="BK44" s="4"/>
      <c r="BL44" s="4" t="s">
        <v>125</v>
      </c>
      <c r="BM44" s="4" t="s">
        <v>971</v>
      </c>
      <c r="BN44" s="4"/>
      <c r="BO44" s="4" t="s">
        <v>127</v>
      </c>
      <c r="BP44" s="4"/>
      <c r="BQ44" s="4" t="s">
        <v>816</v>
      </c>
      <c r="BR44" s="4"/>
      <c r="BS44" s="4"/>
      <c r="BT44" s="4" t="s">
        <v>128</v>
      </c>
      <c r="BU44" s="4" t="s">
        <v>129</v>
      </c>
      <c r="BV44" s="4" t="s">
        <v>145</v>
      </c>
      <c r="BW44" s="4" t="s">
        <v>130</v>
      </c>
      <c r="BX44" s="4"/>
      <c r="BY44" s="4"/>
      <c r="BZ44" s="4"/>
      <c r="CA44" s="4"/>
      <c r="CB44" s="4"/>
      <c r="CC44" s="4"/>
      <c r="CD44" s="4"/>
      <c r="CE44" s="4"/>
      <c r="CF44" s="4" t="s">
        <v>130</v>
      </c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 t="s">
        <v>146</v>
      </c>
      <c r="CT44" s="4" t="s">
        <v>133</v>
      </c>
      <c r="CU44" s="4" t="s">
        <v>134</v>
      </c>
      <c r="CV44" s="4"/>
    </row>
    <row r="45" spans="1:100" s="119" customFormat="1" x14ac:dyDescent="0.2">
      <c r="A45" s="132" t="b">
        <v>0</v>
      </c>
      <c r="B45" s="132" t="b">
        <v>0</v>
      </c>
      <c r="C45" s="132" t="b">
        <v>1</v>
      </c>
      <c r="D45" s="132" t="b">
        <v>0</v>
      </c>
      <c r="E45" s="132" t="b">
        <v>1</v>
      </c>
      <c r="F45" s="132" t="b">
        <v>0</v>
      </c>
      <c r="G45" s="140" t="s">
        <v>787</v>
      </c>
      <c r="H45" s="140" t="s">
        <v>1035</v>
      </c>
      <c r="I45" s="142" t="s">
        <v>1036</v>
      </c>
      <c r="J45" s="140" t="s">
        <v>898</v>
      </c>
      <c r="K45" s="140" t="s">
        <v>218</v>
      </c>
      <c r="L45" s="140" t="s">
        <v>105</v>
      </c>
      <c r="M45" s="140"/>
      <c r="N45" s="140" t="s">
        <v>1033</v>
      </c>
      <c r="O45" s="140"/>
      <c r="P45" s="140"/>
      <c r="Q45" s="140" t="s">
        <v>1034</v>
      </c>
      <c r="R45" s="140" t="s">
        <v>108</v>
      </c>
      <c r="S45" s="140"/>
      <c r="T45" s="140"/>
      <c r="U45" s="140" t="s">
        <v>110</v>
      </c>
      <c r="V45" s="140"/>
      <c r="W45" s="140" t="s">
        <v>112</v>
      </c>
      <c r="X45" s="140"/>
      <c r="Y45" s="140" t="s">
        <v>203</v>
      </c>
      <c r="Z45" s="140" t="s">
        <v>114</v>
      </c>
      <c r="AA45" s="8" t="s">
        <v>115</v>
      </c>
      <c r="AB45" s="8"/>
      <c r="AC45" s="8"/>
      <c r="AD45" s="8" t="s">
        <v>115</v>
      </c>
      <c r="AE45" s="8" t="s">
        <v>116</v>
      </c>
      <c r="AF45" s="8"/>
      <c r="AG45" s="8"/>
      <c r="AH45" s="8" t="s">
        <v>116</v>
      </c>
      <c r="AI45" s="140" t="s">
        <v>277</v>
      </c>
      <c r="AJ45" s="140" t="s">
        <v>278</v>
      </c>
      <c r="AK45" s="140"/>
      <c r="AL45" s="140"/>
      <c r="AM45" s="140"/>
      <c r="AN45" s="140"/>
      <c r="AO45" s="140" t="s">
        <v>221</v>
      </c>
      <c r="AP45" s="140"/>
      <c r="AQ45" s="140"/>
      <c r="AR45" s="140"/>
      <c r="AS45" s="140"/>
      <c r="AT45" s="140" t="s">
        <v>950</v>
      </c>
      <c r="AU45" s="9" t="str">
        <f>IF($AT45="","",IFERROR(INDEX([1]InstructorMap!$B:$B, MATCH($AT45, [1]InstructorMap!$A:$A, 0)),""))</f>
        <v>olariu@andrews.edu</v>
      </c>
      <c r="AV45" s="9" t="str">
        <f>IF($AT45="","",IFERROR(INDEX([1]InstructorMap!$C:$C, MATCH($AT45, [1]InstructorMap!$A:$A, 0)),""))</f>
        <v>000163538</v>
      </c>
      <c r="AW45" s="8" t="s">
        <v>121</v>
      </c>
      <c r="AX45" s="140"/>
      <c r="AY45" s="140"/>
      <c r="AZ45" s="140"/>
      <c r="BA45" s="140"/>
      <c r="BB45" s="140"/>
      <c r="BC45" s="140"/>
      <c r="BD45" s="140"/>
      <c r="BE45" s="140"/>
      <c r="BF45" s="140"/>
      <c r="BG45" s="140"/>
      <c r="BH45" s="140" t="s">
        <v>898</v>
      </c>
      <c r="BI45" s="140" t="s">
        <v>124</v>
      </c>
      <c r="BJ45" s="140" t="s">
        <v>125</v>
      </c>
      <c r="BK45" s="140"/>
      <c r="BL45" s="140" t="s">
        <v>126</v>
      </c>
      <c r="BM45" s="140" t="s">
        <v>971</v>
      </c>
      <c r="BN45" s="140"/>
      <c r="BO45" s="140" t="s">
        <v>127</v>
      </c>
      <c r="BP45" s="140"/>
      <c r="BQ45" s="140" t="s">
        <v>816</v>
      </c>
      <c r="BR45" s="140"/>
      <c r="BS45" s="140"/>
      <c r="BT45" s="140" t="s">
        <v>128</v>
      </c>
      <c r="BU45" s="140" t="s">
        <v>129</v>
      </c>
      <c r="BV45" s="140" t="s">
        <v>145</v>
      </c>
      <c r="BW45" s="140" t="s">
        <v>130</v>
      </c>
      <c r="BX45" s="140" t="s">
        <v>131</v>
      </c>
      <c r="BY45" s="140"/>
      <c r="BZ45" s="140"/>
      <c r="CA45" s="140"/>
      <c r="CB45" s="140"/>
      <c r="CC45" s="140"/>
      <c r="CD45" s="140"/>
      <c r="CE45" s="140"/>
      <c r="CF45" s="140" t="s">
        <v>130</v>
      </c>
      <c r="CG45" s="140"/>
      <c r="CH45" s="140"/>
      <c r="CI45" s="140"/>
      <c r="CJ45" s="140"/>
      <c r="CK45" s="140"/>
      <c r="CL45" s="140"/>
      <c r="CM45" s="140"/>
      <c r="CN45" s="140"/>
      <c r="CO45" s="140"/>
      <c r="CP45" s="140"/>
      <c r="CQ45" s="140"/>
      <c r="CR45" s="140"/>
      <c r="CS45" s="140" t="s">
        <v>132</v>
      </c>
      <c r="CT45" s="140" t="s">
        <v>133</v>
      </c>
      <c r="CU45" s="140" t="s">
        <v>134</v>
      </c>
      <c r="CV45" s="140"/>
    </row>
    <row r="46" spans="1:100" x14ac:dyDescent="0.2">
      <c r="A46" s="132" t="b">
        <v>0</v>
      </c>
      <c r="B46" s="132" t="b">
        <v>0</v>
      </c>
      <c r="C46" s="132" t="b">
        <v>1</v>
      </c>
      <c r="D46" s="132" t="b">
        <v>0</v>
      </c>
      <c r="E46" s="132" t="b">
        <v>1</v>
      </c>
      <c r="F46" s="132" t="b">
        <v>0</v>
      </c>
      <c r="G46" s="140" t="s">
        <v>787</v>
      </c>
      <c r="H46" s="8" t="s">
        <v>1037</v>
      </c>
      <c r="I46" s="142" t="s">
        <v>1038</v>
      </c>
      <c r="J46" s="8" t="s">
        <v>898</v>
      </c>
      <c r="K46" s="8" t="s">
        <v>218</v>
      </c>
      <c r="L46" s="8" t="s">
        <v>148</v>
      </c>
      <c r="M46" s="8"/>
      <c r="N46" s="8" t="s">
        <v>1033</v>
      </c>
      <c r="O46" s="8"/>
      <c r="P46" s="8"/>
      <c r="Q46" s="8" t="s">
        <v>1034</v>
      </c>
      <c r="R46" s="8" t="s">
        <v>108</v>
      </c>
      <c r="S46" s="8"/>
      <c r="T46" s="8"/>
      <c r="U46" s="8" t="s">
        <v>149</v>
      </c>
      <c r="V46" s="8"/>
      <c r="W46" s="8" t="s">
        <v>112</v>
      </c>
      <c r="X46" s="8"/>
      <c r="Y46" s="8" t="s">
        <v>203</v>
      </c>
      <c r="Z46" s="8" t="s">
        <v>114</v>
      </c>
      <c r="AA46" s="8" t="s">
        <v>115</v>
      </c>
      <c r="AB46" s="8"/>
      <c r="AC46" s="8"/>
      <c r="AD46" s="8" t="s">
        <v>115</v>
      </c>
      <c r="AE46" s="8" t="s">
        <v>116</v>
      </c>
      <c r="AF46" s="8"/>
      <c r="AG46" s="8"/>
      <c r="AH46" s="8" t="s">
        <v>116</v>
      </c>
      <c r="AI46" s="8"/>
      <c r="AJ46" s="8"/>
      <c r="AK46" s="8"/>
      <c r="AL46" s="8"/>
      <c r="AM46" s="8"/>
      <c r="AN46" s="8" t="s">
        <v>177</v>
      </c>
      <c r="AO46" s="8"/>
      <c r="AP46" s="8"/>
      <c r="AQ46" s="8"/>
      <c r="AR46" s="8"/>
      <c r="AS46" s="8"/>
      <c r="AT46" s="8" t="s">
        <v>950</v>
      </c>
      <c r="AU46" s="9" t="str">
        <f>IF($AT46="","",IFERROR(INDEX([1]InstructorMap!$B:$B, MATCH($AT46, [1]InstructorMap!$A:$A, 0)),""))</f>
        <v>olariu@andrews.edu</v>
      </c>
      <c r="AV46" s="9" t="str">
        <f>IF($AT46="","",IFERROR(INDEX([1]InstructorMap!$C:$C, MATCH($AT46, [1]InstructorMap!$A:$A, 0)),""))</f>
        <v>000163538</v>
      </c>
      <c r="AW46" s="8" t="s">
        <v>121</v>
      </c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 t="s">
        <v>898</v>
      </c>
      <c r="BI46" s="8" t="s">
        <v>124</v>
      </c>
      <c r="BJ46" s="8" t="s">
        <v>125</v>
      </c>
      <c r="BK46" s="8"/>
      <c r="BL46" s="8" t="s">
        <v>126</v>
      </c>
      <c r="BM46" s="8" t="s">
        <v>971</v>
      </c>
      <c r="BN46" s="8"/>
      <c r="BO46" s="8" t="s">
        <v>127</v>
      </c>
      <c r="BP46" s="8"/>
      <c r="BQ46" s="8" t="s">
        <v>816</v>
      </c>
      <c r="BR46" s="8"/>
      <c r="BS46" s="8"/>
      <c r="BT46" s="8" t="s">
        <v>128</v>
      </c>
      <c r="BU46" s="8" t="s">
        <v>129</v>
      </c>
      <c r="BV46" s="8" t="s">
        <v>145</v>
      </c>
      <c r="BW46" s="8" t="s">
        <v>130</v>
      </c>
      <c r="BX46" s="8" t="s">
        <v>131</v>
      </c>
      <c r="BY46" s="8"/>
      <c r="BZ46" s="8"/>
      <c r="CA46" s="8"/>
      <c r="CB46" s="8"/>
      <c r="CC46" s="8"/>
      <c r="CD46" s="8"/>
      <c r="CE46" s="8"/>
      <c r="CF46" s="8" t="s">
        <v>130</v>
      </c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 t="s">
        <v>132</v>
      </c>
      <c r="CT46" s="8" t="s">
        <v>133</v>
      </c>
      <c r="CU46" s="8" t="s">
        <v>134</v>
      </c>
      <c r="CV46" s="8"/>
    </row>
    <row r="47" spans="1:100" x14ac:dyDescent="0.2">
      <c r="A47" s="26" t="b">
        <v>0</v>
      </c>
      <c r="B47" s="26" t="b">
        <v>0</v>
      </c>
      <c r="C47" s="26" t="b">
        <v>0</v>
      </c>
      <c r="D47" s="26" t="b">
        <v>0</v>
      </c>
      <c r="E47" s="26" t="b">
        <v>0</v>
      </c>
      <c r="F47" s="26" t="b">
        <v>1</v>
      </c>
      <c r="G47" s="27"/>
      <c r="H47" s="63" t="s">
        <v>1039</v>
      </c>
      <c r="I47" s="159" t="s">
        <v>1040</v>
      </c>
      <c r="J47" s="63" t="s">
        <v>898</v>
      </c>
      <c r="K47" s="63" t="s">
        <v>1041</v>
      </c>
      <c r="L47" s="63" t="s">
        <v>137</v>
      </c>
      <c r="M47" s="63"/>
      <c r="N47" s="63" t="s">
        <v>1042</v>
      </c>
      <c r="O47" s="63"/>
      <c r="P47" s="63" t="s">
        <v>1043</v>
      </c>
      <c r="Q47" s="63"/>
      <c r="R47" s="63" t="s">
        <v>129</v>
      </c>
      <c r="S47" s="63"/>
      <c r="T47" s="63" t="s">
        <v>139</v>
      </c>
      <c r="U47" s="63" t="s">
        <v>140</v>
      </c>
      <c r="V47" s="63"/>
      <c r="W47" s="63" t="s">
        <v>112</v>
      </c>
      <c r="X47" s="63" t="s">
        <v>112</v>
      </c>
      <c r="Y47" s="63" t="s">
        <v>591</v>
      </c>
      <c r="Z47" s="63" t="s">
        <v>142</v>
      </c>
      <c r="AA47" s="4" t="s">
        <v>115</v>
      </c>
      <c r="AB47" s="4"/>
      <c r="AC47" s="4"/>
      <c r="AD47" s="4" t="s">
        <v>115</v>
      </c>
      <c r="AE47" s="4" t="s">
        <v>116</v>
      </c>
      <c r="AF47" s="4"/>
      <c r="AG47" s="4"/>
      <c r="AH47" s="4" t="s">
        <v>116</v>
      </c>
      <c r="AI47" s="63" t="s">
        <v>357</v>
      </c>
      <c r="AJ47" s="63" t="s">
        <v>358</v>
      </c>
      <c r="AK47" s="63"/>
      <c r="AL47" s="63"/>
      <c r="AM47" s="63"/>
      <c r="AN47" s="63"/>
      <c r="AO47" s="63" t="s">
        <v>221</v>
      </c>
      <c r="AP47" s="63"/>
      <c r="AQ47" s="63"/>
      <c r="AR47" s="63" t="s">
        <v>725</v>
      </c>
      <c r="AS47" s="63" t="s">
        <v>144</v>
      </c>
      <c r="AT47" s="63" t="s">
        <v>950</v>
      </c>
      <c r="AU47" s="5" t="str">
        <f>IF($AT47="","",IFERROR(INDEX(InstructorMap!$B:$B, MATCH($AT47, InstructorMap!$A:$A, 0)),""))</f>
        <v>olariu@andrews.edu</v>
      </c>
      <c r="AV47" s="5" t="str">
        <f>IF($AT47="","",IFERROR(INDEX(InstructorMap!$C:$C, MATCH($AT47, InstructorMap!$A:$A, 0)),""))</f>
        <v>000163538</v>
      </c>
      <c r="AW47" s="4" t="s">
        <v>121</v>
      </c>
      <c r="AX47" s="63" t="s">
        <v>122</v>
      </c>
      <c r="AY47" s="63"/>
      <c r="AZ47" s="63"/>
      <c r="BA47" s="63"/>
      <c r="BB47" s="63"/>
      <c r="BC47" s="63"/>
      <c r="BD47" s="63"/>
      <c r="BE47" s="63"/>
      <c r="BF47" s="63"/>
      <c r="BG47" s="63"/>
      <c r="BH47" s="63" t="s">
        <v>898</v>
      </c>
      <c r="BI47" s="63" t="s">
        <v>124</v>
      </c>
      <c r="BJ47" s="63" t="s">
        <v>125</v>
      </c>
      <c r="BK47" s="63"/>
      <c r="BL47" s="63" t="s">
        <v>125</v>
      </c>
      <c r="BM47" s="63" t="s">
        <v>971</v>
      </c>
      <c r="BN47" s="63"/>
      <c r="BO47" s="63" t="s">
        <v>127</v>
      </c>
      <c r="BP47" s="63"/>
      <c r="BQ47" s="63"/>
      <c r="BR47" s="63"/>
      <c r="BS47" s="63"/>
      <c r="BT47" s="63" t="s">
        <v>128</v>
      </c>
      <c r="BU47" s="63" t="s">
        <v>129</v>
      </c>
      <c r="BV47" s="63" t="s">
        <v>145</v>
      </c>
      <c r="BW47" s="63" t="s">
        <v>130</v>
      </c>
      <c r="BX47" s="63"/>
      <c r="BY47" s="63"/>
      <c r="BZ47" s="63"/>
      <c r="CA47" s="63"/>
      <c r="CB47" s="63"/>
      <c r="CC47" s="63"/>
      <c r="CD47" s="63"/>
      <c r="CE47" s="63"/>
      <c r="CF47" s="63" t="s">
        <v>130</v>
      </c>
      <c r="CG47" s="63"/>
      <c r="CH47" s="63"/>
      <c r="CI47" s="63"/>
      <c r="CJ47" s="63"/>
      <c r="CK47" s="63"/>
      <c r="CL47" s="63"/>
      <c r="CM47" s="63"/>
      <c r="CN47" s="63"/>
      <c r="CO47" s="63"/>
      <c r="CP47" s="63"/>
      <c r="CQ47" s="63"/>
      <c r="CR47" s="63"/>
      <c r="CS47" s="63" t="s">
        <v>146</v>
      </c>
      <c r="CT47" s="63" t="s">
        <v>133</v>
      </c>
      <c r="CU47" s="63" t="s">
        <v>134</v>
      </c>
      <c r="CV47" s="63"/>
    </row>
    <row r="48" spans="1:100" x14ac:dyDescent="0.2">
      <c r="A48" s="30" t="b">
        <v>0</v>
      </c>
      <c r="B48" s="31" t="b">
        <v>0</v>
      </c>
      <c r="C48" s="30" t="b">
        <v>1</v>
      </c>
      <c r="D48" s="31" t="b">
        <v>0</v>
      </c>
      <c r="E48" s="31" t="b">
        <v>1</v>
      </c>
      <c r="F48" s="132" t="b">
        <v>0</v>
      </c>
      <c r="G48" s="124" t="s">
        <v>787</v>
      </c>
      <c r="H48" s="8" t="s">
        <v>1044</v>
      </c>
      <c r="I48" s="142" t="s">
        <v>1045</v>
      </c>
      <c r="J48" s="8" t="s">
        <v>898</v>
      </c>
      <c r="K48" s="8" t="s">
        <v>1046</v>
      </c>
      <c r="L48" s="8" t="s">
        <v>148</v>
      </c>
      <c r="M48" s="8"/>
      <c r="N48" s="8" t="s">
        <v>1047</v>
      </c>
      <c r="O48" s="8"/>
      <c r="P48" s="8"/>
      <c r="Q48" s="8"/>
      <c r="R48" s="8" t="s">
        <v>108</v>
      </c>
      <c r="S48" s="8"/>
      <c r="T48" s="8"/>
      <c r="U48" s="8" t="s">
        <v>149</v>
      </c>
      <c r="V48" s="8"/>
      <c r="W48" s="8" t="s">
        <v>112</v>
      </c>
      <c r="X48" s="8"/>
      <c r="Y48" s="8" t="s">
        <v>591</v>
      </c>
      <c r="Z48" s="8" t="s">
        <v>114</v>
      </c>
      <c r="AA48" s="8" t="s">
        <v>115</v>
      </c>
      <c r="AB48" s="8"/>
      <c r="AC48" s="8"/>
      <c r="AD48" s="8" t="s">
        <v>115</v>
      </c>
      <c r="AE48" s="8" t="s">
        <v>116</v>
      </c>
      <c r="AF48" s="8"/>
      <c r="AG48" s="8"/>
      <c r="AH48" s="8" t="s">
        <v>116</v>
      </c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 t="s">
        <v>679</v>
      </c>
      <c r="AU48" s="9" t="str">
        <f>IF($AT48="","",IFERROR(INDEX([1]InstructorMap!$B:$B, MATCH($AT48, [1]InstructorMap!$A:$A, 0)),""))</f>
        <v>glanz@andrews.edu</v>
      </c>
      <c r="AV48" s="9" t="str">
        <f>IF($AT48="","",IFERROR(INDEX([1]InstructorMap!$C:$C, MATCH($AT48, [1]InstructorMap!$A:$A, 0)),""))</f>
        <v>000162826</v>
      </c>
      <c r="AW48" s="8" t="s">
        <v>121</v>
      </c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 t="s">
        <v>898</v>
      </c>
      <c r="BI48" s="8" t="s">
        <v>124</v>
      </c>
      <c r="BJ48" s="8" t="s">
        <v>125</v>
      </c>
      <c r="BK48" s="8"/>
      <c r="BL48" s="8" t="s">
        <v>126</v>
      </c>
      <c r="BM48" s="8" t="s">
        <v>971</v>
      </c>
      <c r="BN48" s="8"/>
      <c r="BO48" s="8" t="s">
        <v>127</v>
      </c>
      <c r="BP48" s="8"/>
      <c r="BQ48" s="8" t="s">
        <v>816</v>
      </c>
      <c r="BR48" s="8"/>
      <c r="BS48" s="8"/>
      <c r="BT48" s="8" t="s">
        <v>128</v>
      </c>
      <c r="BU48" s="8" t="s">
        <v>129</v>
      </c>
      <c r="BV48" s="8" t="s">
        <v>129</v>
      </c>
      <c r="BW48" s="8" t="s">
        <v>130</v>
      </c>
      <c r="BX48" s="8"/>
      <c r="BY48" s="8"/>
      <c r="BZ48" s="8"/>
      <c r="CA48" s="8"/>
      <c r="CB48" s="8"/>
      <c r="CC48" s="8"/>
      <c r="CD48" s="8"/>
      <c r="CE48" s="8"/>
      <c r="CF48" s="8" t="s">
        <v>130</v>
      </c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 t="s">
        <v>315</v>
      </c>
      <c r="CS48" s="8" t="s">
        <v>132</v>
      </c>
      <c r="CT48" s="8" t="s">
        <v>133</v>
      </c>
      <c r="CU48" s="8" t="s">
        <v>134</v>
      </c>
      <c r="CV48" s="8"/>
    </row>
    <row r="49" spans="1:100" x14ac:dyDescent="0.2">
      <c r="A49" s="38" t="b">
        <v>0</v>
      </c>
      <c r="B49" s="39" t="b">
        <v>0</v>
      </c>
      <c r="C49" s="39" t="b">
        <v>0</v>
      </c>
      <c r="D49" s="39" t="b">
        <v>0</v>
      </c>
      <c r="E49" s="39" t="b">
        <v>0</v>
      </c>
      <c r="F49" s="38" t="b">
        <v>1</v>
      </c>
      <c r="G49" s="137"/>
      <c r="H49" s="6" t="s">
        <v>1048</v>
      </c>
      <c r="I49" s="21" t="s">
        <v>1049</v>
      </c>
      <c r="J49" s="6" t="s">
        <v>898</v>
      </c>
      <c r="K49" s="6" t="s">
        <v>243</v>
      </c>
      <c r="L49" s="6" t="s">
        <v>255</v>
      </c>
      <c r="M49" s="6"/>
      <c r="N49" s="6" t="s">
        <v>245</v>
      </c>
      <c r="O49" s="6"/>
      <c r="P49" s="6"/>
      <c r="Q49" s="6"/>
      <c r="R49" s="6" t="s">
        <v>129</v>
      </c>
      <c r="S49" s="6"/>
      <c r="T49" s="6"/>
      <c r="U49" s="6"/>
      <c r="V49" s="6"/>
      <c r="W49" s="6" t="s">
        <v>247</v>
      </c>
      <c r="X49" s="6"/>
      <c r="Y49" s="6" t="s">
        <v>148</v>
      </c>
      <c r="Z49" s="6" t="s">
        <v>142</v>
      </c>
      <c r="AA49" s="6" t="s">
        <v>115</v>
      </c>
      <c r="AB49" s="6"/>
      <c r="AC49" s="6"/>
      <c r="AD49" s="6" t="s">
        <v>115</v>
      </c>
      <c r="AE49" s="6" t="s">
        <v>116</v>
      </c>
      <c r="AF49" s="6"/>
      <c r="AG49" s="6"/>
      <c r="AH49" s="6" t="s">
        <v>116</v>
      </c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 t="s">
        <v>552</v>
      </c>
      <c r="AU49" s="7" t="str">
        <f>IF($AT49="","",IFERROR(INDEX(InstructorMap!$B:$B, MATCH($AT49, InstructorMap!$A:$A, 0)),""))</f>
        <v>skinnerj@andrews.edu</v>
      </c>
      <c r="AV49" s="7" t="str">
        <f>IF($AT49="","",IFERROR(INDEX(InstructorMap!$C:$C, MATCH($AT49, InstructorMap!$A:$A, 0)),""))</f>
        <v>000117063</v>
      </c>
      <c r="AW49" s="6" t="s">
        <v>121</v>
      </c>
      <c r="AX49" s="6" t="s">
        <v>122</v>
      </c>
      <c r="AY49" s="6"/>
      <c r="AZ49" s="6"/>
      <c r="BA49" s="6"/>
      <c r="BB49" s="6"/>
      <c r="BC49" s="6"/>
      <c r="BD49" s="6"/>
      <c r="BE49" s="6"/>
      <c r="BF49" s="6"/>
      <c r="BG49" s="6"/>
      <c r="BH49" s="6" t="s">
        <v>898</v>
      </c>
      <c r="BI49" s="6" t="s">
        <v>124</v>
      </c>
      <c r="BJ49" s="6" t="s">
        <v>125</v>
      </c>
      <c r="BK49" s="6"/>
      <c r="BL49" s="6" t="s">
        <v>249</v>
      </c>
      <c r="BM49" s="6"/>
      <c r="BN49" s="6"/>
      <c r="BO49" s="6" t="s">
        <v>127</v>
      </c>
      <c r="BP49" s="6"/>
      <c r="BQ49" s="6"/>
      <c r="BR49" s="6"/>
      <c r="BS49" s="6"/>
      <c r="BT49" s="6" t="s">
        <v>128</v>
      </c>
      <c r="BU49" s="6" t="s">
        <v>129</v>
      </c>
      <c r="BV49" s="6" t="s">
        <v>129</v>
      </c>
      <c r="BW49" s="6" t="s">
        <v>130</v>
      </c>
      <c r="BX49" s="6"/>
      <c r="BY49" s="6"/>
      <c r="BZ49" s="6"/>
      <c r="CA49" s="6"/>
      <c r="CB49" s="6"/>
      <c r="CC49" s="6"/>
      <c r="CD49" s="6"/>
      <c r="CE49" s="6"/>
      <c r="CF49" s="6" t="s">
        <v>130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 t="s">
        <v>315</v>
      </c>
      <c r="CS49" s="6" t="s">
        <v>132</v>
      </c>
      <c r="CT49" s="6" t="s">
        <v>133</v>
      </c>
      <c r="CU49" s="6" t="s">
        <v>134</v>
      </c>
      <c r="CV49" s="6"/>
    </row>
    <row r="50" spans="1:100" x14ac:dyDescent="0.2">
      <c r="A50" s="38" t="b">
        <v>0</v>
      </c>
      <c r="B50" s="39" t="b">
        <v>0</v>
      </c>
      <c r="C50" s="39" t="b">
        <v>0</v>
      </c>
      <c r="D50" s="39" t="b">
        <v>0</v>
      </c>
      <c r="E50" s="39" t="b">
        <v>0</v>
      </c>
      <c r="F50" s="38" t="b">
        <v>1</v>
      </c>
      <c r="G50" s="137"/>
      <c r="H50" s="6" t="s">
        <v>1050</v>
      </c>
      <c r="I50" s="21" t="s">
        <v>1051</v>
      </c>
      <c r="J50" s="6" t="s">
        <v>898</v>
      </c>
      <c r="K50" s="6" t="s">
        <v>243</v>
      </c>
      <c r="L50" s="6" t="s">
        <v>252</v>
      </c>
      <c r="M50" s="6"/>
      <c r="N50" s="6" t="s">
        <v>245</v>
      </c>
      <c r="O50" s="6" t="s">
        <v>1052</v>
      </c>
      <c r="P50" s="6"/>
      <c r="Q50" s="6"/>
      <c r="R50" s="6" t="s">
        <v>129</v>
      </c>
      <c r="S50" s="6"/>
      <c r="T50" s="6"/>
      <c r="U50" s="6"/>
      <c r="V50" s="6"/>
      <c r="W50" s="6" t="s">
        <v>247</v>
      </c>
      <c r="X50" s="6" t="s">
        <v>173</v>
      </c>
      <c r="Y50" s="6" t="s">
        <v>217</v>
      </c>
      <c r="Z50" s="6" t="s">
        <v>142</v>
      </c>
      <c r="AA50" s="6" t="s">
        <v>115</v>
      </c>
      <c r="AB50" s="6"/>
      <c r="AC50" s="6"/>
      <c r="AD50" s="6" t="s">
        <v>115</v>
      </c>
      <c r="AE50" s="6" t="s">
        <v>116</v>
      </c>
      <c r="AF50" s="6"/>
      <c r="AG50" s="6"/>
      <c r="AH50" s="6" t="s">
        <v>116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 t="s">
        <v>588</v>
      </c>
      <c r="AU50" s="7" t="str">
        <f>IF($AT50="","",IFERROR(INDEX(InstructorMap!$B:$B, MATCH($AT50, InstructorMap!$A:$A, 0)),""))</f>
        <v>gane@andrews.edu</v>
      </c>
      <c r="AV50" s="7" t="str">
        <f>IF($AT50="","",IFERROR(INDEX(InstructorMap!$C:$C, MATCH($AT50, InstructorMap!$A:$A, 0)),""))</f>
        <v>000008963</v>
      </c>
      <c r="AW50" s="6" t="s">
        <v>121</v>
      </c>
      <c r="AX50" s="6" t="s">
        <v>122</v>
      </c>
      <c r="AY50" s="6"/>
      <c r="AZ50" s="6"/>
      <c r="BA50" s="6"/>
      <c r="BB50" s="6"/>
      <c r="BC50" s="6"/>
      <c r="BD50" s="6"/>
      <c r="BE50" s="6"/>
      <c r="BF50" s="6"/>
      <c r="BG50" s="6"/>
      <c r="BH50" s="6" t="s">
        <v>898</v>
      </c>
      <c r="BI50" s="6" t="s">
        <v>124</v>
      </c>
      <c r="BJ50" s="6" t="s">
        <v>125</v>
      </c>
      <c r="BK50" s="6" t="s">
        <v>173</v>
      </c>
      <c r="BL50" s="6" t="s">
        <v>249</v>
      </c>
      <c r="BM50" s="6"/>
      <c r="BN50" s="6"/>
      <c r="BO50" s="6" t="s">
        <v>127</v>
      </c>
      <c r="BP50" s="6"/>
      <c r="BQ50" s="6"/>
      <c r="BR50" s="6"/>
      <c r="BS50" s="6"/>
      <c r="BT50" s="6" t="s">
        <v>128</v>
      </c>
      <c r="BU50" s="6" t="s">
        <v>129</v>
      </c>
      <c r="BV50" s="6" t="s">
        <v>129</v>
      </c>
      <c r="BW50" s="6" t="s">
        <v>130</v>
      </c>
      <c r="BX50" s="6"/>
      <c r="BY50" s="6"/>
      <c r="BZ50" s="6"/>
      <c r="CA50" s="6"/>
      <c r="CB50" s="6"/>
      <c r="CC50" s="6"/>
      <c r="CD50" s="6"/>
      <c r="CE50" s="6"/>
      <c r="CF50" s="6" t="s">
        <v>130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 t="s">
        <v>315</v>
      </c>
      <c r="CS50" s="6" t="s">
        <v>132</v>
      </c>
      <c r="CT50" s="6" t="s">
        <v>133</v>
      </c>
      <c r="CU50" s="6" t="s">
        <v>134</v>
      </c>
      <c r="CV50" s="6"/>
    </row>
    <row r="51" spans="1:100" x14ac:dyDescent="0.2">
      <c r="A51" s="128" t="b">
        <v>0</v>
      </c>
      <c r="B51" s="133" t="b">
        <v>0</v>
      </c>
      <c r="C51" s="128" t="b">
        <v>0</v>
      </c>
      <c r="D51" s="133" t="b">
        <v>0</v>
      </c>
      <c r="E51" s="133" t="b">
        <v>0</v>
      </c>
      <c r="F51" s="130" t="b">
        <v>1</v>
      </c>
      <c r="G51" s="137"/>
      <c r="H51" s="6" t="s">
        <v>1053</v>
      </c>
      <c r="I51" s="21" t="s">
        <v>1054</v>
      </c>
      <c r="J51" s="6" t="s">
        <v>898</v>
      </c>
      <c r="K51" s="6" t="s">
        <v>243</v>
      </c>
      <c r="L51" s="6" t="s">
        <v>297</v>
      </c>
      <c r="M51" s="6"/>
      <c r="N51" s="6" t="s">
        <v>245</v>
      </c>
      <c r="O51" s="6"/>
      <c r="P51" s="6"/>
      <c r="Q51" s="6"/>
      <c r="R51" s="6" t="s">
        <v>129</v>
      </c>
      <c r="S51" s="6"/>
      <c r="T51" s="6"/>
      <c r="U51" s="6"/>
      <c r="V51" s="6"/>
      <c r="W51" s="6" t="s">
        <v>247</v>
      </c>
      <c r="X51" s="6"/>
      <c r="Y51" s="6" t="s">
        <v>217</v>
      </c>
      <c r="Z51" s="6" t="s">
        <v>142</v>
      </c>
      <c r="AA51" s="6" t="s">
        <v>115</v>
      </c>
      <c r="AB51" s="6"/>
      <c r="AC51" s="6"/>
      <c r="AD51" s="6" t="s">
        <v>115</v>
      </c>
      <c r="AE51" s="6" t="s">
        <v>116</v>
      </c>
      <c r="AF51" s="6"/>
      <c r="AG51" s="6"/>
      <c r="AH51" s="6" t="s">
        <v>116</v>
      </c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 t="s">
        <v>679</v>
      </c>
      <c r="AU51" s="7" t="str">
        <f>IF($AT51="","",IFERROR(INDEX(InstructorMap!$B:$B, MATCH($AT51, InstructorMap!$A:$A, 0)),""))</f>
        <v>glanz@andrews.edu</v>
      </c>
      <c r="AV51" s="7" t="str">
        <f>IF($AT51="","",IFERROR(INDEX(InstructorMap!$C:$C, MATCH($AT51, InstructorMap!$A:$A, 0)),""))</f>
        <v>000162826</v>
      </c>
      <c r="AW51" s="6" t="s">
        <v>121</v>
      </c>
      <c r="AX51" s="6" t="s">
        <v>122</v>
      </c>
      <c r="AY51" s="6"/>
      <c r="AZ51" s="6"/>
      <c r="BA51" s="6"/>
      <c r="BB51" s="6"/>
      <c r="BC51" s="6"/>
      <c r="BD51" s="6"/>
      <c r="BE51" s="6"/>
      <c r="BF51" s="6"/>
      <c r="BG51" s="6"/>
      <c r="BH51" s="6" t="s">
        <v>898</v>
      </c>
      <c r="BI51" s="6" t="s">
        <v>124</v>
      </c>
      <c r="BJ51" s="6" t="s">
        <v>125</v>
      </c>
      <c r="BK51" s="6"/>
      <c r="BL51" s="6" t="s">
        <v>249</v>
      </c>
      <c r="BM51" s="6"/>
      <c r="BN51" s="6"/>
      <c r="BO51" s="6" t="s">
        <v>127</v>
      </c>
      <c r="BP51" s="6"/>
      <c r="BQ51" s="6"/>
      <c r="BR51" s="6"/>
      <c r="BS51" s="6"/>
      <c r="BT51" s="6" t="s">
        <v>128</v>
      </c>
      <c r="BU51" s="6" t="s">
        <v>129</v>
      </c>
      <c r="BV51" s="6" t="s">
        <v>129</v>
      </c>
      <c r="BW51" s="6" t="s">
        <v>130</v>
      </c>
      <c r="BX51" s="6"/>
      <c r="BY51" s="6"/>
      <c r="BZ51" s="6"/>
      <c r="CA51" s="6"/>
      <c r="CB51" s="6"/>
      <c r="CC51" s="6"/>
      <c r="CD51" s="6"/>
      <c r="CE51" s="6"/>
      <c r="CF51" s="6" t="s">
        <v>130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 t="s">
        <v>315</v>
      </c>
      <c r="CS51" s="6" t="s">
        <v>132</v>
      </c>
      <c r="CT51" s="6" t="s">
        <v>133</v>
      </c>
      <c r="CU51" s="6" t="s">
        <v>134</v>
      </c>
      <c r="CV51" s="6"/>
    </row>
    <row r="52" spans="1:100" x14ac:dyDescent="0.2">
      <c r="A52" s="128" t="b">
        <v>0</v>
      </c>
      <c r="B52" s="133" t="b">
        <v>0</v>
      </c>
      <c r="C52" s="133" t="b">
        <v>0</v>
      </c>
      <c r="D52" s="133" t="b">
        <v>0</v>
      </c>
      <c r="E52" s="133" t="b">
        <v>0</v>
      </c>
      <c r="F52" s="133" t="b">
        <v>1</v>
      </c>
      <c r="G52" s="6"/>
      <c r="H52" s="6" t="s">
        <v>1055</v>
      </c>
      <c r="I52" s="21" t="s">
        <v>1056</v>
      </c>
      <c r="J52" s="6" t="s">
        <v>898</v>
      </c>
      <c r="K52" s="6" t="s">
        <v>243</v>
      </c>
      <c r="L52" s="6" t="s">
        <v>244</v>
      </c>
      <c r="M52" s="6"/>
      <c r="N52" s="6" t="s">
        <v>245</v>
      </c>
      <c r="O52" s="6"/>
      <c r="P52" s="6"/>
      <c r="Q52" s="6"/>
      <c r="R52" s="6" t="s">
        <v>129</v>
      </c>
      <c r="S52" s="6"/>
      <c r="T52" s="6"/>
      <c r="U52" s="6"/>
      <c r="V52" s="6"/>
      <c r="W52" s="6" t="s">
        <v>247</v>
      </c>
      <c r="X52" s="6"/>
      <c r="Y52" s="6" t="s">
        <v>217</v>
      </c>
      <c r="Z52" s="6" t="s">
        <v>142</v>
      </c>
      <c r="AA52" s="6" t="s">
        <v>115</v>
      </c>
      <c r="AB52" s="6"/>
      <c r="AC52" s="6"/>
      <c r="AD52" s="6" t="s">
        <v>115</v>
      </c>
      <c r="AE52" s="6" t="s">
        <v>116</v>
      </c>
      <c r="AF52" s="6"/>
      <c r="AG52" s="6"/>
      <c r="AH52" s="6" t="s">
        <v>116</v>
      </c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 t="s">
        <v>1057</v>
      </c>
      <c r="AU52" s="7" t="str">
        <f>IF($AT52="","",IFERROR(INDEX(InstructorMap!$B:$B, MATCH($AT52, InstructorMap!$A:$A, 0)),""))</f>
        <v>pgregor@andrews.edu</v>
      </c>
      <c r="AV52" s="7" t="str">
        <f>IF($AT52="","",IFERROR(INDEX(InstructorMap!$C:$C, MATCH($AT52, InstructorMap!$A:$A, 0)),""))</f>
        <v>000052867</v>
      </c>
      <c r="AW52" s="6" t="s">
        <v>121</v>
      </c>
      <c r="AX52" s="6" t="s">
        <v>122</v>
      </c>
      <c r="AY52" s="6"/>
      <c r="AZ52" s="6"/>
      <c r="BA52" s="6"/>
      <c r="BB52" s="6"/>
      <c r="BC52" s="6"/>
      <c r="BD52" s="6"/>
      <c r="BE52" s="6"/>
      <c r="BF52" s="6"/>
      <c r="BG52" s="6"/>
      <c r="BH52" s="6" t="s">
        <v>898</v>
      </c>
      <c r="BI52" s="6" t="s">
        <v>124</v>
      </c>
      <c r="BJ52" s="6" t="s">
        <v>125</v>
      </c>
      <c r="BK52" s="6"/>
      <c r="BL52" s="6" t="s">
        <v>249</v>
      </c>
      <c r="BM52" s="6"/>
      <c r="BN52" s="6"/>
      <c r="BO52" s="6" t="s">
        <v>127</v>
      </c>
      <c r="BP52" s="6"/>
      <c r="BQ52" s="6"/>
      <c r="BR52" s="6"/>
      <c r="BS52" s="6"/>
      <c r="BT52" s="6" t="s">
        <v>128</v>
      </c>
      <c r="BU52" s="6" t="s">
        <v>129</v>
      </c>
      <c r="BV52" s="6" t="s">
        <v>129</v>
      </c>
      <c r="BW52" s="6" t="s">
        <v>130</v>
      </c>
      <c r="BX52" s="6"/>
      <c r="BY52" s="6"/>
      <c r="BZ52" s="6"/>
      <c r="CA52" s="6"/>
      <c r="CB52" s="6"/>
      <c r="CC52" s="6"/>
      <c r="CD52" s="6"/>
      <c r="CE52" s="6"/>
      <c r="CF52" s="6" t="s">
        <v>130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 t="s">
        <v>315</v>
      </c>
      <c r="CS52" s="6" t="s">
        <v>132</v>
      </c>
      <c r="CT52" s="6" t="s">
        <v>133</v>
      </c>
      <c r="CU52" s="6" t="s">
        <v>134</v>
      </c>
      <c r="CV52" s="6"/>
    </row>
    <row r="53" spans="1:100" x14ac:dyDescent="0.2">
      <c r="A53" s="128" t="b">
        <v>0</v>
      </c>
      <c r="B53" s="133" t="b">
        <v>0</v>
      </c>
      <c r="C53" s="133" t="b">
        <v>0</v>
      </c>
      <c r="D53" s="133" t="b">
        <v>0</v>
      </c>
      <c r="E53" s="133" t="b">
        <v>0</v>
      </c>
      <c r="F53" s="133" t="b">
        <v>1</v>
      </c>
      <c r="G53" s="6"/>
      <c r="H53" s="6" t="s">
        <v>1058</v>
      </c>
      <c r="I53" s="21" t="s">
        <v>1059</v>
      </c>
      <c r="J53" s="6" t="s">
        <v>898</v>
      </c>
      <c r="K53" s="6" t="s">
        <v>243</v>
      </c>
      <c r="L53" s="6" t="s">
        <v>258</v>
      </c>
      <c r="M53" s="6"/>
      <c r="N53" s="6" t="s">
        <v>245</v>
      </c>
      <c r="O53" s="6"/>
      <c r="P53" s="6"/>
      <c r="Q53" s="6"/>
      <c r="R53" s="6" t="s">
        <v>129</v>
      </c>
      <c r="S53" s="6"/>
      <c r="T53" s="6"/>
      <c r="U53" s="6"/>
      <c r="V53" s="6"/>
      <c r="W53" s="6" t="s">
        <v>247</v>
      </c>
      <c r="X53" s="6"/>
      <c r="Y53" s="6" t="s">
        <v>217</v>
      </c>
      <c r="Z53" s="6" t="s">
        <v>142</v>
      </c>
      <c r="AA53" s="6" t="s">
        <v>115</v>
      </c>
      <c r="AB53" s="6"/>
      <c r="AC53" s="6"/>
      <c r="AD53" s="6" t="s">
        <v>115</v>
      </c>
      <c r="AE53" s="6" t="s">
        <v>116</v>
      </c>
      <c r="AF53" s="6"/>
      <c r="AG53" s="6"/>
      <c r="AH53" s="6" t="s">
        <v>116</v>
      </c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 t="s">
        <v>950</v>
      </c>
      <c r="AU53" s="7" t="str">
        <f>IF($AT53="","",IFERROR(INDEX(InstructorMap!$B:$B, MATCH($AT53, InstructorMap!$A:$A, 0)),""))</f>
        <v>olariu@andrews.edu</v>
      </c>
      <c r="AV53" s="7" t="str">
        <f>IF($AT53="","",IFERROR(INDEX(InstructorMap!$C:$C, MATCH($AT53, InstructorMap!$A:$A, 0)),""))</f>
        <v>000163538</v>
      </c>
      <c r="AW53" s="6" t="s">
        <v>121</v>
      </c>
      <c r="AX53" s="6" t="s">
        <v>122</v>
      </c>
      <c r="AY53" s="6"/>
      <c r="AZ53" s="6"/>
      <c r="BA53" s="6"/>
      <c r="BB53" s="6"/>
      <c r="BC53" s="6"/>
      <c r="BD53" s="6"/>
      <c r="BE53" s="6"/>
      <c r="BF53" s="6"/>
      <c r="BG53" s="6"/>
      <c r="BH53" s="6" t="s">
        <v>898</v>
      </c>
      <c r="BI53" s="6" t="s">
        <v>124</v>
      </c>
      <c r="BJ53" s="6" t="s">
        <v>125</v>
      </c>
      <c r="BK53" s="6"/>
      <c r="BL53" s="6" t="s">
        <v>249</v>
      </c>
      <c r="BM53" s="6"/>
      <c r="BN53" s="6"/>
      <c r="BO53" s="6" t="s">
        <v>127</v>
      </c>
      <c r="BP53" s="6"/>
      <c r="BQ53" s="6"/>
      <c r="BR53" s="6"/>
      <c r="BS53" s="6"/>
      <c r="BT53" s="6" t="s">
        <v>128</v>
      </c>
      <c r="BU53" s="6" t="s">
        <v>129</v>
      </c>
      <c r="BV53" s="6" t="s">
        <v>129</v>
      </c>
      <c r="BW53" s="6" t="s">
        <v>130</v>
      </c>
      <c r="BX53" s="6"/>
      <c r="BY53" s="6"/>
      <c r="BZ53" s="6"/>
      <c r="CA53" s="6"/>
      <c r="CB53" s="6"/>
      <c r="CC53" s="6"/>
      <c r="CD53" s="6"/>
      <c r="CE53" s="6"/>
      <c r="CF53" s="6" t="s">
        <v>130</v>
      </c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 t="s">
        <v>315</v>
      </c>
      <c r="CS53" s="6" t="s">
        <v>132</v>
      </c>
      <c r="CT53" s="6" t="s">
        <v>133</v>
      </c>
      <c r="CU53" s="6" t="s">
        <v>134</v>
      </c>
      <c r="CV53" s="6"/>
    </row>
    <row r="54" spans="1:100" x14ac:dyDescent="0.2">
      <c r="A54" s="128" t="b">
        <v>0</v>
      </c>
      <c r="B54" s="133" t="b">
        <v>0</v>
      </c>
      <c r="C54" s="133" t="b">
        <v>0</v>
      </c>
      <c r="D54" s="133" t="b">
        <v>0</v>
      </c>
      <c r="E54" s="133" t="b">
        <v>0</v>
      </c>
      <c r="F54" s="133" t="b">
        <v>1</v>
      </c>
      <c r="G54" s="6"/>
      <c r="H54" s="6" t="s">
        <v>1060</v>
      </c>
      <c r="I54" s="21" t="s">
        <v>1061</v>
      </c>
      <c r="J54" s="6" t="s">
        <v>898</v>
      </c>
      <c r="K54" s="6" t="s">
        <v>243</v>
      </c>
      <c r="L54" s="6" t="s">
        <v>302</v>
      </c>
      <c r="M54" s="6"/>
      <c r="N54" s="6" t="s">
        <v>245</v>
      </c>
      <c r="O54" s="6"/>
      <c r="P54" s="6"/>
      <c r="Q54" s="6"/>
      <c r="R54" s="6" t="s">
        <v>129</v>
      </c>
      <c r="S54" s="6"/>
      <c r="T54" s="6"/>
      <c r="U54" s="6"/>
      <c r="V54" s="6"/>
      <c r="W54" s="6" t="s">
        <v>247</v>
      </c>
      <c r="X54" s="6"/>
      <c r="Y54" s="6" t="s">
        <v>217</v>
      </c>
      <c r="Z54" s="6" t="s">
        <v>142</v>
      </c>
      <c r="AA54" s="6" t="s">
        <v>115</v>
      </c>
      <c r="AB54" s="6"/>
      <c r="AC54" s="6"/>
      <c r="AD54" s="6" t="s">
        <v>115</v>
      </c>
      <c r="AE54" s="6" t="s">
        <v>116</v>
      </c>
      <c r="AF54" s="6"/>
      <c r="AG54" s="6"/>
      <c r="AH54" s="6" t="s">
        <v>116</v>
      </c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 t="s">
        <v>552</v>
      </c>
      <c r="AU54" s="7" t="str">
        <f>IF($AT54="","",IFERROR(INDEX(InstructorMap!$B:$B, MATCH($AT54, InstructorMap!$A:$A, 0)),""))</f>
        <v>skinnerj@andrews.edu</v>
      </c>
      <c r="AV54" s="7" t="str">
        <f>IF($AT54="","",IFERROR(INDEX(InstructorMap!$C:$C, MATCH($AT54, InstructorMap!$A:$A, 0)),""))</f>
        <v>000117063</v>
      </c>
      <c r="AW54" s="6" t="s">
        <v>121</v>
      </c>
      <c r="AX54" s="6" t="s">
        <v>122</v>
      </c>
      <c r="AY54" s="6"/>
      <c r="AZ54" s="6"/>
      <c r="BA54" s="6"/>
      <c r="BB54" s="6"/>
      <c r="BC54" s="6"/>
      <c r="BD54" s="6"/>
      <c r="BE54" s="6"/>
      <c r="BF54" s="6"/>
      <c r="BG54" s="6"/>
      <c r="BH54" s="6" t="s">
        <v>898</v>
      </c>
      <c r="BI54" s="6" t="s">
        <v>124</v>
      </c>
      <c r="BJ54" s="6" t="s">
        <v>125</v>
      </c>
      <c r="BK54" s="6"/>
      <c r="BL54" s="6" t="s">
        <v>249</v>
      </c>
      <c r="BM54" s="6"/>
      <c r="BN54" s="6"/>
      <c r="BO54" s="6" t="s">
        <v>127</v>
      </c>
      <c r="BP54" s="6"/>
      <c r="BQ54" s="6"/>
      <c r="BR54" s="6"/>
      <c r="BS54" s="6"/>
      <c r="BT54" s="6" t="s">
        <v>128</v>
      </c>
      <c r="BU54" s="6" t="s">
        <v>129</v>
      </c>
      <c r="BV54" s="6" t="s">
        <v>129</v>
      </c>
      <c r="BW54" s="6" t="s">
        <v>130</v>
      </c>
      <c r="BX54" s="6"/>
      <c r="BY54" s="6"/>
      <c r="BZ54" s="6"/>
      <c r="CA54" s="6"/>
      <c r="CB54" s="6"/>
      <c r="CC54" s="6"/>
      <c r="CD54" s="6"/>
      <c r="CE54" s="6"/>
      <c r="CF54" s="6" t="s">
        <v>130</v>
      </c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 t="s">
        <v>315</v>
      </c>
      <c r="CS54" s="6" t="s">
        <v>132</v>
      </c>
      <c r="CT54" s="6" t="s">
        <v>133</v>
      </c>
      <c r="CU54" s="6" t="s">
        <v>134</v>
      </c>
      <c r="CV54" s="6"/>
    </row>
    <row r="55" spans="1:100" x14ac:dyDescent="0.2">
      <c r="A55" s="128" t="b">
        <v>0</v>
      </c>
      <c r="B55" s="133" t="b">
        <v>0</v>
      </c>
      <c r="C55" s="133" t="b">
        <v>0</v>
      </c>
      <c r="D55" s="133" t="b">
        <v>0</v>
      </c>
      <c r="E55" s="133" t="b">
        <v>0</v>
      </c>
      <c r="F55" s="133" t="b">
        <v>1</v>
      </c>
      <c r="G55" s="6"/>
      <c r="H55" s="6" t="s">
        <v>1062</v>
      </c>
      <c r="I55" s="21" t="s">
        <v>1063</v>
      </c>
      <c r="J55" s="6" t="s">
        <v>898</v>
      </c>
      <c r="K55" s="6" t="s">
        <v>243</v>
      </c>
      <c r="L55" s="6" t="s">
        <v>880</v>
      </c>
      <c r="M55" s="6"/>
      <c r="N55" s="6" t="s">
        <v>245</v>
      </c>
      <c r="O55" s="6"/>
      <c r="P55" s="6"/>
      <c r="Q55" s="6"/>
      <c r="R55" s="6" t="s">
        <v>129</v>
      </c>
      <c r="S55" s="6"/>
      <c r="T55" s="6"/>
      <c r="U55" s="6"/>
      <c r="V55" s="6"/>
      <c r="W55" s="6" t="s">
        <v>247</v>
      </c>
      <c r="X55" s="6"/>
      <c r="Y55" s="6" t="s">
        <v>217</v>
      </c>
      <c r="Z55" s="6" t="s">
        <v>142</v>
      </c>
      <c r="AA55" s="6" t="s">
        <v>115</v>
      </c>
      <c r="AB55" s="6"/>
      <c r="AC55" s="6"/>
      <c r="AD55" s="6" t="s">
        <v>115</v>
      </c>
      <c r="AE55" s="6" t="s">
        <v>116</v>
      </c>
      <c r="AF55" s="6"/>
      <c r="AG55" s="6"/>
      <c r="AH55" s="6" t="s">
        <v>116</v>
      </c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 t="s">
        <v>652</v>
      </c>
      <c r="AU55" s="7" t="str">
        <f>IF($AT55="","",IFERROR(INDEX(InstructorMap!$B:$B, MATCH($AT55, InstructorMap!$A:$A, 0)),""))</f>
        <v>younker@andrews.edu</v>
      </c>
      <c r="AV55" s="7" t="str">
        <f>IF($AT55="","",IFERROR(INDEX(InstructorMap!$C:$C, MATCH($AT55, InstructorMap!$A:$A, 0)),""))</f>
        <v>000042559</v>
      </c>
      <c r="AW55" s="6" t="s">
        <v>121</v>
      </c>
      <c r="AX55" s="6" t="s">
        <v>160</v>
      </c>
      <c r="AY55" s="6"/>
      <c r="AZ55" s="6"/>
      <c r="BA55" s="6"/>
      <c r="BB55" s="6"/>
      <c r="BC55" s="6"/>
      <c r="BD55" s="6"/>
      <c r="BE55" s="6"/>
      <c r="BF55" s="6"/>
      <c r="BG55" s="6"/>
      <c r="BH55" s="6" t="s">
        <v>898</v>
      </c>
      <c r="BI55" s="6" t="s">
        <v>124</v>
      </c>
      <c r="BJ55" s="6" t="s">
        <v>125</v>
      </c>
      <c r="BK55" s="6"/>
      <c r="BL55" s="6" t="s">
        <v>249</v>
      </c>
      <c r="BM55" s="6"/>
      <c r="BN55" s="6"/>
      <c r="BO55" s="6" t="s">
        <v>127</v>
      </c>
      <c r="BP55" s="6"/>
      <c r="BQ55" s="6"/>
      <c r="BR55" s="6"/>
      <c r="BS55" s="6"/>
      <c r="BT55" s="6" t="s">
        <v>128</v>
      </c>
      <c r="BU55" s="6" t="s">
        <v>129</v>
      </c>
      <c r="BV55" s="6" t="s">
        <v>129</v>
      </c>
      <c r="BW55" s="6" t="s">
        <v>130</v>
      </c>
      <c r="BX55" s="6"/>
      <c r="BY55" s="6"/>
      <c r="BZ55" s="6"/>
      <c r="CA55" s="6"/>
      <c r="CB55" s="6"/>
      <c r="CC55" s="6"/>
      <c r="CD55" s="6"/>
      <c r="CE55" s="6"/>
      <c r="CF55" s="6" t="s">
        <v>130</v>
      </c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 t="s">
        <v>315</v>
      </c>
      <c r="CS55" s="6" t="s">
        <v>132</v>
      </c>
      <c r="CT55" s="6" t="s">
        <v>133</v>
      </c>
      <c r="CU55" s="6" t="s">
        <v>134</v>
      </c>
      <c r="CV55" s="6"/>
    </row>
    <row r="56" spans="1:100" x14ac:dyDescent="0.2">
      <c r="A56" s="35" t="b">
        <v>0</v>
      </c>
      <c r="B56" s="52" t="b">
        <v>0</v>
      </c>
      <c r="C56" s="52" t="b">
        <v>0</v>
      </c>
      <c r="D56" s="52" t="b">
        <v>0</v>
      </c>
      <c r="E56" s="52" t="b">
        <v>0</v>
      </c>
      <c r="F56" s="52" t="b">
        <v>1</v>
      </c>
      <c r="G56" s="29"/>
      <c r="H56" s="4" t="s">
        <v>1064</v>
      </c>
      <c r="I56" s="22" t="s">
        <v>1065</v>
      </c>
      <c r="J56" s="4" t="s">
        <v>898</v>
      </c>
      <c r="K56" s="4" t="s">
        <v>267</v>
      </c>
      <c r="L56" s="4" t="s">
        <v>560</v>
      </c>
      <c r="M56" s="4"/>
      <c r="N56" s="4" t="s">
        <v>1009</v>
      </c>
      <c r="O56" s="4" t="s">
        <v>1066</v>
      </c>
      <c r="P56" s="4" t="s">
        <v>1014</v>
      </c>
      <c r="Q56" s="4" t="s">
        <v>1010</v>
      </c>
      <c r="R56" s="4" t="s">
        <v>129</v>
      </c>
      <c r="S56" s="4"/>
      <c r="T56" s="4" t="s">
        <v>139</v>
      </c>
      <c r="U56" s="4" t="s">
        <v>140</v>
      </c>
      <c r="V56" s="4"/>
      <c r="W56" s="4" t="s">
        <v>247</v>
      </c>
      <c r="X56" s="4" t="s">
        <v>173</v>
      </c>
      <c r="Y56" s="4" t="s">
        <v>203</v>
      </c>
      <c r="Z56" s="4" t="s">
        <v>142</v>
      </c>
      <c r="AA56" s="4" t="s">
        <v>115</v>
      </c>
      <c r="AB56" s="4"/>
      <c r="AC56" s="4"/>
      <c r="AD56" s="4" t="s">
        <v>115</v>
      </c>
      <c r="AE56" s="4" t="s">
        <v>116</v>
      </c>
      <c r="AF56" s="4"/>
      <c r="AG56" s="4"/>
      <c r="AH56" s="4" t="s">
        <v>116</v>
      </c>
      <c r="AI56" s="4" t="s">
        <v>117</v>
      </c>
      <c r="AJ56" s="4" t="s">
        <v>194</v>
      </c>
      <c r="AK56" s="4"/>
      <c r="AL56" s="4"/>
      <c r="AM56" s="4"/>
      <c r="AN56" s="4" t="s">
        <v>177</v>
      </c>
      <c r="AO56" s="4"/>
      <c r="AP56" s="4"/>
      <c r="AQ56" s="4"/>
      <c r="AR56" s="4" t="s">
        <v>143</v>
      </c>
      <c r="AS56" s="4" t="s">
        <v>144</v>
      </c>
      <c r="AT56" s="4" t="s">
        <v>588</v>
      </c>
      <c r="AU56" s="5" t="str">
        <f>IF($AT56="","",IFERROR(INDEX(InstructorMap!$B:$B, MATCH($AT56, InstructorMap!$A:$A, 0)),""))</f>
        <v>gane@andrews.edu</v>
      </c>
      <c r="AV56" s="5" t="str">
        <f>IF($AT56="","",IFERROR(INDEX(InstructorMap!$C:$C, MATCH($AT56, InstructorMap!$A:$A, 0)),""))</f>
        <v>000008963</v>
      </c>
      <c r="AW56" s="4" t="s">
        <v>121</v>
      </c>
      <c r="AX56" s="4" t="s">
        <v>122</v>
      </c>
      <c r="AY56" s="4"/>
      <c r="AZ56" s="4"/>
      <c r="BA56" s="4"/>
      <c r="BB56" s="4"/>
      <c r="BC56" s="4"/>
      <c r="BD56" s="4"/>
      <c r="BE56" s="4"/>
      <c r="BF56" s="4"/>
      <c r="BG56" s="4"/>
      <c r="BH56" s="4" t="s">
        <v>898</v>
      </c>
      <c r="BI56" s="4" t="s">
        <v>124</v>
      </c>
      <c r="BJ56" s="4" t="s">
        <v>125</v>
      </c>
      <c r="BK56" s="4" t="s">
        <v>173</v>
      </c>
      <c r="BL56" s="4" t="s">
        <v>125</v>
      </c>
      <c r="BM56" s="4"/>
      <c r="BN56" s="4"/>
      <c r="BO56" s="4" t="s">
        <v>127</v>
      </c>
      <c r="BP56" s="4"/>
      <c r="BQ56" s="4"/>
      <c r="BR56" s="4"/>
      <c r="BS56" s="4"/>
      <c r="BT56" s="4" t="s">
        <v>128</v>
      </c>
      <c r="BU56" s="4" t="s">
        <v>129</v>
      </c>
      <c r="BV56" s="4" t="s">
        <v>129</v>
      </c>
      <c r="BW56" s="4" t="s">
        <v>130</v>
      </c>
      <c r="BX56" s="4" t="s">
        <v>131</v>
      </c>
      <c r="BY56" s="4"/>
      <c r="BZ56" s="4"/>
      <c r="CA56" s="4"/>
      <c r="CB56" s="4"/>
      <c r="CC56" s="4"/>
      <c r="CD56" s="4"/>
      <c r="CE56" s="4"/>
      <c r="CF56" s="4" t="s">
        <v>130</v>
      </c>
      <c r="CG56" s="4"/>
      <c r="CH56" s="4" t="s">
        <v>131</v>
      </c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 t="s">
        <v>146</v>
      </c>
      <c r="CT56" s="4" t="s">
        <v>133</v>
      </c>
      <c r="CU56" s="4" t="s">
        <v>134</v>
      </c>
      <c r="CV56" s="4"/>
    </row>
    <row r="57" spans="1:100" x14ac:dyDescent="0.2">
      <c r="A57" s="38" t="b">
        <v>0</v>
      </c>
      <c r="B57" s="39" t="b">
        <v>0</v>
      </c>
      <c r="C57" s="39" t="b">
        <v>0</v>
      </c>
      <c r="D57" s="39" t="b">
        <v>0</v>
      </c>
      <c r="E57" s="39" t="b">
        <v>0</v>
      </c>
      <c r="F57" s="38" t="b">
        <v>1</v>
      </c>
      <c r="G57" s="36"/>
      <c r="H57" s="6" t="s">
        <v>1067</v>
      </c>
      <c r="I57" s="21" t="s">
        <v>1068</v>
      </c>
      <c r="J57" s="6" t="s">
        <v>898</v>
      </c>
      <c r="K57" s="6" t="s">
        <v>267</v>
      </c>
      <c r="L57" s="6" t="s">
        <v>216</v>
      </c>
      <c r="M57" s="6"/>
      <c r="N57" s="6" t="s">
        <v>1069</v>
      </c>
      <c r="O57" s="6" t="s">
        <v>1070</v>
      </c>
      <c r="P57" s="6"/>
      <c r="Q57" s="6" t="s">
        <v>915</v>
      </c>
      <c r="R57" s="6" t="s">
        <v>129</v>
      </c>
      <c r="S57" s="6"/>
      <c r="T57" s="6"/>
      <c r="U57" s="6"/>
      <c r="V57" s="6"/>
      <c r="W57" s="6" t="s">
        <v>247</v>
      </c>
      <c r="X57" s="6" t="s">
        <v>173</v>
      </c>
      <c r="Y57" s="6" t="s">
        <v>203</v>
      </c>
      <c r="Z57" s="6" t="s">
        <v>142</v>
      </c>
      <c r="AA57" s="6" t="s">
        <v>115</v>
      </c>
      <c r="AB57" s="6"/>
      <c r="AC57" s="6"/>
      <c r="AD57" s="6" t="s">
        <v>115</v>
      </c>
      <c r="AE57" s="6" t="s">
        <v>116</v>
      </c>
      <c r="AF57" s="6"/>
      <c r="AG57" s="6"/>
      <c r="AH57" s="6" t="s">
        <v>116</v>
      </c>
      <c r="AI57" s="6" t="s">
        <v>175</v>
      </c>
      <c r="AJ57" s="6" t="s">
        <v>237</v>
      </c>
      <c r="AK57" s="6"/>
      <c r="AL57" s="6"/>
      <c r="AM57" s="6" t="s">
        <v>211</v>
      </c>
      <c r="AN57" s="6"/>
      <c r="AO57" s="6"/>
      <c r="AP57" s="6"/>
      <c r="AQ57" s="6"/>
      <c r="AR57" s="6"/>
      <c r="AS57" s="6" t="s">
        <v>144</v>
      </c>
      <c r="AT57" s="6" t="s">
        <v>588</v>
      </c>
      <c r="AU57" s="7" t="str">
        <f>IF($AT57="","",IFERROR(INDEX(InstructorMap!$B:$B, MATCH($AT57, InstructorMap!$A:$A, 0)),""))</f>
        <v>gane@andrews.edu</v>
      </c>
      <c r="AV57" s="7" t="str">
        <f>IF($AT57="","",IFERROR(INDEX(InstructorMap!$C:$C, MATCH($AT57, InstructorMap!$A:$A, 0)),""))</f>
        <v>000008963</v>
      </c>
      <c r="AW57" s="6" t="s">
        <v>121</v>
      </c>
      <c r="AX57" s="6" t="s">
        <v>122</v>
      </c>
      <c r="AY57" s="6"/>
      <c r="AZ57" s="6"/>
      <c r="BA57" s="6"/>
      <c r="BB57" s="6"/>
      <c r="BC57" s="6"/>
      <c r="BD57" s="6"/>
      <c r="BE57" s="6"/>
      <c r="BF57" s="6"/>
      <c r="BG57" s="6"/>
      <c r="BH57" s="6" t="s">
        <v>898</v>
      </c>
      <c r="BI57" s="6" t="s">
        <v>124</v>
      </c>
      <c r="BJ57" s="6" t="s">
        <v>125</v>
      </c>
      <c r="BK57" s="6" t="s">
        <v>173</v>
      </c>
      <c r="BL57" s="6" t="s">
        <v>125</v>
      </c>
      <c r="BM57" s="6"/>
      <c r="BN57" s="6"/>
      <c r="BO57" s="6" t="s">
        <v>127</v>
      </c>
      <c r="BP57" s="6"/>
      <c r="BQ57" s="6"/>
      <c r="BR57" s="6"/>
      <c r="BS57" s="6"/>
      <c r="BT57" s="6" t="s">
        <v>128</v>
      </c>
      <c r="BU57" s="6" t="s">
        <v>129</v>
      </c>
      <c r="BV57" s="6" t="s">
        <v>129</v>
      </c>
      <c r="BW57" s="6" t="s">
        <v>130</v>
      </c>
      <c r="BX57" s="6" t="s">
        <v>131</v>
      </c>
      <c r="BY57" s="6"/>
      <c r="BZ57" s="6"/>
      <c r="CA57" s="6"/>
      <c r="CB57" s="6"/>
      <c r="CC57" s="6"/>
      <c r="CD57" s="6"/>
      <c r="CE57" s="6"/>
      <c r="CF57" s="6" t="s">
        <v>130</v>
      </c>
      <c r="CG57" s="6"/>
      <c r="CH57" s="6" t="s">
        <v>131</v>
      </c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 t="s">
        <v>132</v>
      </c>
      <c r="CT57" s="6" t="s">
        <v>133</v>
      </c>
      <c r="CU57" s="6" t="s">
        <v>134</v>
      </c>
      <c r="CV57" s="6"/>
    </row>
    <row r="58" spans="1:100" x14ac:dyDescent="0.2">
      <c r="A58" s="38" t="b">
        <v>0</v>
      </c>
      <c r="B58" s="39" t="b">
        <v>0</v>
      </c>
      <c r="C58" s="39" t="b">
        <v>0</v>
      </c>
      <c r="D58" s="39" t="b">
        <v>0</v>
      </c>
      <c r="E58" s="39" t="b">
        <v>0</v>
      </c>
      <c r="F58" s="38" t="b">
        <v>1</v>
      </c>
      <c r="G58" s="36"/>
      <c r="H58" s="6" t="s">
        <v>1071</v>
      </c>
      <c r="I58" s="21" t="s">
        <v>1072</v>
      </c>
      <c r="J58" s="6" t="s">
        <v>898</v>
      </c>
      <c r="K58" s="6" t="s">
        <v>267</v>
      </c>
      <c r="L58" s="6" t="s">
        <v>234</v>
      </c>
      <c r="M58" s="6"/>
      <c r="N58" s="6" t="s">
        <v>1069</v>
      </c>
      <c r="O58" s="6" t="s">
        <v>1073</v>
      </c>
      <c r="P58" s="6"/>
      <c r="Q58" s="6" t="s">
        <v>276</v>
      </c>
      <c r="R58" s="6" t="s">
        <v>129</v>
      </c>
      <c r="S58" s="6"/>
      <c r="T58" s="6"/>
      <c r="U58" s="6"/>
      <c r="V58" s="6"/>
      <c r="W58" s="6" t="s">
        <v>247</v>
      </c>
      <c r="X58" s="6" t="s">
        <v>173</v>
      </c>
      <c r="Y58" s="6" t="s">
        <v>565</v>
      </c>
      <c r="Z58" s="6" t="s">
        <v>142</v>
      </c>
      <c r="AA58" s="6" t="s">
        <v>115</v>
      </c>
      <c r="AB58" s="6"/>
      <c r="AC58" s="6"/>
      <c r="AD58" s="6" t="s">
        <v>115</v>
      </c>
      <c r="AE58" s="6" t="s">
        <v>116</v>
      </c>
      <c r="AF58" s="6"/>
      <c r="AG58" s="6"/>
      <c r="AH58" s="6" t="s">
        <v>116</v>
      </c>
      <c r="AI58" s="6" t="s">
        <v>277</v>
      </c>
      <c r="AJ58" s="6" t="s">
        <v>278</v>
      </c>
      <c r="AK58" s="6"/>
      <c r="AL58" s="6"/>
      <c r="AM58" s="6"/>
      <c r="AN58" s="6"/>
      <c r="AO58" s="6" t="s">
        <v>221</v>
      </c>
      <c r="AP58" s="6"/>
      <c r="AQ58" s="6"/>
      <c r="AR58" s="6"/>
      <c r="AS58" s="6" t="s">
        <v>144</v>
      </c>
      <c r="AT58" s="6" t="s">
        <v>279</v>
      </c>
      <c r="AU58" s="7" t="str">
        <f>IF($AT58="","",IFERROR(INDEX(InstructorMap!$B:$B, MATCH($AT58, InstructorMap!$A:$A, 0)),""))</f>
        <v>davidson@andrews.edu</v>
      </c>
      <c r="AV58" s="7" t="str">
        <f>IF($AT58="","",IFERROR(INDEX(InstructorMap!$C:$C, MATCH($AT58, InstructorMap!$A:$A, 0)),""))</f>
        <v>000012107</v>
      </c>
      <c r="AW58" s="6" t="s">
        <v>121</v>
      </c>
      <c r="AX58" s="6" t="s">
        <v>160</v>
      </c>
      <c r="AY58" s="6" t="s">
        <v>180</v>
      </c>
      <c r="AZ58" s="6"/>
      <c r="BA58" s="6"/>
      <c r="BB58" s="6"/>
      <c r="BC58" s="6"/>
      <c r="BD58" s="6"/>
      <c r="BE58" s="6"/>
      <c r="BF58" s="6"/>
      <c r="BG58" s="6"/>
      <c r="BH58" s="6" t="s">
        <v>898</v>
      </c>
      <c r="BI58" s="6" t="s">
        <v>124</v>
      </c>
      <c r="BJ58" s="6" t="s">
        <v>125</v>
      </c>
      <c r="BK58" s="6" t="s">
        <v>173</v>
      </c>
      <c r="BL58" s="6" t="s">
        <v>125</v>
      </c>
      <c r="BM58" s="6"/>
      <c r="BN58" s="6"/>
      <c r="BO58" s="6" t="s">
        <v>127</v>
      </c>
      <c r="BP58" s="6"/>
      <c r="BQ58" s="6"/>
      <c r="BR58" s="6"/>
      <c r="BS58" s="6"/>
      <c r="BT58" s="6" t="s">
        <v>128</v>
      </c>
      <c r="BU58" s="6" t="s">
        <v>129</v>
      </c>
      <c r="BV58" s="6" t="s">
        <v>129</v>
      </c>
      <c r="BW58" s="6" t="s">
        <v>130</v>
      </c>
      <c r="BX58" s="6" t="s">
        <v>131</v>
      </c>
      <c r="BY58" s="6"/>
      <c r="BZ58" s="6"/>
      <c r="CA58" s="6"/>
      <c r="CB58" s="6"/>
      <c r="CC58" s="6"/>
      <c r="CD58" s="6"/>
      <c r="CE58" s="6"/>
      <c r="CF58" s="6" t="s">
        <v>130</v>
      </c>
      <c r="CG58" s="6"/>
      <c r="CH58" s="6" t="s">
        <v>131</v>
      </c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 t="s">
        <v>132</v>
      </c>
      <c r="CT58" s="6" t="s">
        <v>133</v>
      </c>
      <c r="CU58" s="6" t="s">
        <v>134</v>
      </c>
      <c r="CV58" s="6"/>
    </row>
    <row r="59" spans="1:100" x14ac:dyDescent="0.2">
      <c r="A59" s="38" t="b">
        <v>0</v>
      </c>
      <c r="B59" s="39" t="b">
        <v>0</v>
      </c>
      <c r="C59" s="39" t="b">
        <v>0</v>
      </c>
      <c r="D59" s="39" t="b">
        <v>0</v>
      </c>
      <c r="E59" s="39" t="b">
        <v>0</v>
      </c>
      <c r="F59" s="38" t="b">
        <v>1</v>
      </c>
      <c r="G59" s="36"/>
      <c r="H59" s="6" t="s">
        <v>1074</v>
      </c>
      <c r="I59" s="21" t="s">
        <v>1075</v>
      </c>
      <c r="J59" s="6" t="s">
        <v>898</v>
      </c>
      <c r="K59" s="6" t="s">
        <v>267</v>
      </c>
      <c r="L59" s="6" t="s">
        <v>538</v>
      </c>
      <c r="M59" s="6"/>
      <c r="N59" s="6" t="s">
        <v>1069</v>
      </c>
      <c r="O59" s="6" t="s">
        <v>1076</v>
      </c>
      <c r="P59" s="6"/>
      <c r="Q59" s="6" t="s">
        <v>906</v>
      </c>
      <c r="R59" s="6" t="s">
        <v>129</v>
      </c>
      <c r="S59" s="6"/>
      <c r="T59" s="6"/>
      <c r="U59" s="6"/>
      <c r="V59" s="6"/>
      <c r="W59" s="6" t="s">
        <v>247</v>
      </c>
      <c r="X59" s="6"/>
      <c r="Y59" s="6" t="s">
        <v>203</v>
      </c>
      <c r="Z59" s="6" t="s">
        <v>142</v>
      </c>
      <c r="AA59" s="6" t="s">
        <v>115</v>
      </c>
      <c r="AB59" s="6"/>
      <c r="AC59" s="6"/>
      <c r="AD59" s="6" t="s">
        <v>115</v>
      </c>
      <c r="AE59" s="6" t="s">
        <v>116</v>
      </c>
      <c r="AF59" s="6"/>
      <c r="AG59" s="6"/>
      <c r="AH59" s="6" t="s">
        <v>116</v>
      </c>
      <c r="AI59" s="6" t="s">
        <v>277</v>
      </c>
      <c r="AJ59" s="6" t="s">
        <v>194</v>
      </c>
      <c r="AK59" s="6"/>
      <c r="AL59" s="6"/>
      <c r="AM59" s="6" t="s">
        <v>211</v>
      </c>
      <c r="AN59" s="6"/>
      <c r="AO59" s="6"/>
      <c r="AP59" s="6"/>
      <c r="AQ59" s="6"/>
      <c r="AR59" s="6"/>
      <c r="AS59" s="6" t="s">
        <v>144</v>
      </c>
      <c r="AT59" s="6" t="s">
        <v>894</v>
      </c>
      <c r="AU59" s="7" t="str">
        <f>IF($AT59="","",IFERROR(INDEX(InstructorMap!$B:$B, MATCH($AT59, InstructorMap!$A:$A, 0)),""))</f>
        <v>bates@andrews.edu</v>
      </c>
      <c r="AV59" s="7" t="str">
        <f>IF($AT59="","",IFERROR(INDEX(InstructorMap!$C:$C, MATCH($AT59, InstructorMap!$A:$A, 0)),""))</f>
        <v>000095796</v>
      </c>
      <c r="AW59" s="6" t="s">
        <v>121</v>
      </c>
      <c r="AX59" s="6" t="s">
        <v>160</v>
      </c>
      <c r="AY59" s="6"/>
      <c r="AZ59" s="6"/>
      <c r="BA59" s="6"/>
      <c r="BB59" s="6"/>
      <c r="BC59" s="6"/>
      <c r="BD59" s="6"/>
      <c r="BE59" s="6"/>
      <c r="BF59" s="6"/>
      <c r="BG59" s="6"/>
      <c r="BH59" s="6" t="s">
        <v>898</v>
      </c>
      <c r="BI59" s="6" t="s">
        <v>124</v>
      </c>
      <c r="BJ59" s="6" t="s">
        <v>125</v>
      </c>
      <c r="BK59" s="6"/>
      <c r="BL59" s="6" t="s">
        <v>125</v>
      </c>
      <c r="BM59" s="6"/>
      <c r="BN59" s="6"/>
      <c r="BO59" s="6" t="s">
        <v>127</v>
      </c>
      <c r="BP59" s="6"/>
      <c r="BQ59" s="6"/>
      <c r="BR59" s="6"/>
      <c r="BS59" s="6"/>
      <c r="BT59" s="6" t="s">
        <v>128</v>
      </c>
      <c r="BU59" s="6" t="s">
        <v>129</v>
      </c>
      <c r="BV59" s="6" t="s">
        <v>129</v>
      </c>
      <c r="BW59" s="6"/>
      <c r="BX59" s="6"/>
      <c r="BY59" s="6"/>
      <c r="BZ59" s="6"/>
      <c r="CA59" s="6"/>
      <c r="CB59" s="6"/>
      <c r="CC59" s="6"/>
      <c r="CD59" s="6"/>
      <c r="CE59" s="6"/>
      <c r="CF59" s="6" t="s">
        <v>130</v>
      </c>
      <c r="CG59" s="6"/>
      <c r="CH59" s="6" t="s">
        <v>131</v>
      </c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 t="s">
        <v>132</v>
      </c>
      <c r="CT59" s="6" t="s">
        <v>133</v>
      </c>
      <c r="CU59" s="6" t="s">
        <v>134</v>
      </c>
      <c r="CV59" s="6"/>
    </row>
    <row r="60" spans="1:100" x14ac:dyDescent="0.2">
      <c r="A60" s="131" t="b">
        <v>0</v>
      </c>
      <c r="B60" s="135" t="b">
        <v>0</v>
      </c>
      <c r="C60" s="135" t="b">
        <v>0</v>
      </c>
      <c r="D60" s="135" t="b">
        <v>0</v>
      </c>
      <c r="E60" s="135" t="b">
        <v>0</v>
      </c>
      <c r="F60" s="131" t="b">
        <v>0</v>
      </c>
      <c r="G60" s="154" t="s">
        <v>1077</v>
      </c>
      <c r="H60" s="11"/>
      <c r="I60" s="20" t="s">
        <v>147</v>
      </c>
      <c r="J60" s="11" t="s">
        <v>898</v>
      </c>
      <c r="K60" s="11" t="s">
        <v>267</v>
      </c>
      <c r="L60" s="11" t="s">
        <v>255</v>
      </c>
      <c r="M60" s="11"/>
      <c r="N60" s="11" t="s">
        <v>909</v>
      </c>
      <c r="O60" s="11" t="s">
        <v>910</v>
      </c>
      <c r="P60" s="11" t="s">
        <v>911</v>
      </c>
      <c r="Q60" s="11"/>
      <c r="R60" s="11" t="s">
        <v>129</v>
      </c>
      <c r="S60" s="11"/>
      <c r="T60" s="11"/>
      <c r="U60" s="11"/>
      <c r="V60" s="11"/>
      <c r="W60" s="11"/>
      <c r="X60" s="12" t="s">
        <v>147</v>
      </c>
      <c r="Y60" s="12" t="s">
        <v>147</v>
      </c>
      <c r="Z60" s="11"/>
      <c r="AA60" s="11" t="s">
        <v>115</v>
      </c>
      <c r="AB60" s="11"/>
      <c r="AC60" s="11"/>
      <c r="AD60" s="11" t="s">
        <v>115</v>
      </c>
      <c r="AE60" s="11" t="s">
        <v>116</v>
      </c>
      <c r="AF60" s="11"/>
      <c r="AG60" s="11"/>
      <c r="AH60" s="11" t="s">
        <v>116</v>
      </c>
      <c r="AI60" s="12" t="s">
        <v>147</v>
      </c>
      <c r="AJ60" s="12" t="s">
        <v>147</v>
      </c>
      <c r="AK60" s="11"/>
      <c r="AL60" s="11"/>
      <c r="AM60" s="11" t="s">
        <v>211</v>
      </c>
      <c r="AN60" s="11"/>
      <c r="AO60" s="11"/>
      <c r="AP60" s="11"/>
      <c r="AQ60" s="11"/>
      <c r="AR60" s="11" t="s">
        <v>178</v>
      </c>
      <c r="AS60" s="11" t="s">
        <v>144</v>
      </c>
      <c r="AT60" s="11" t="s">
        <v>588</v>
      </c>
      <c r="AU60" s="13" t="str">
        <f>IF($AT60="","",IFERROR(INDEX(InstructorMap!$B:$B, MATCH($AT60, InstructorMap!$A:$A, 0)),""))</f>
        <v>gane@andrews.edu</v>
      </c>
      <c r="AV60" s="13" t="str">
        <f>IF($AT60="","",IFERROR(INDEX(InstructorMap!$C:$C, MATCH($AT60, InstructorMap!$A:$A, 0)),""))</f>
        <v>000008963</v>
      </c>
      <c r="AW60" s="11" t="s">
        <v>121</v>
      </c>
      <c r="AX60" s="11" t="s">
        <v>122</v>
      </c>
      <c r="AY60" s="11"/>
      <c r="AZ60" s="11"/>
      <c r="BA60" s="11"/>
      <c r="BB60" s="11"/>
      <c r="BC60" s="11"/>
      <c r="BD60" s="11"/>
      <c r="BE60" s="11"/>
      <c r="BF60" s="11"/>
      <c r="BG60" s="11"/>
      <c r="BH60" s="11" t="s">
        <v>898</v>
      </c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 t="s">
        <v>146</v>
      </c>
      <c r="CT60" s="11" t="s">
        <v>133</v>
      </c>
      <c r="CU60" s="11"/>
      <c r="CV60" s="11"/>
    </row>
    <row r="61" spans="1:100" x14ac:dyDescent="0.2">
      <c r="A61" s="38" t="b">
        <v>0</v>
      </c>
      <c r="B61" s="39" t="b">
        <v>0</v>
      </c>
      <c r="C61" s="39" t="b">
        <v>0</v>
      </c>
      <c r="D61" s="39" t="b">
        <v>0</v>
      </c>
      <c r="E61" s="39" t="b">
        <v>0</v>
      </c>
      <c r="F61" s="38" t="b">
        <v>1</v>
      </c>
      <c r="G61" s="36"/>
      <c r="H61" s="6" t="s">
        <v>1078</v>
      </c>
      <c r="I61" s="21" t="s">
        <v>1079</v>
      </c>
      <c r="J61" s="6" t="s">
        <v>898</v>
      </c>
      <c r="K61" s="6" t="s">
        <v>288</v>
      </c>
      <c r="L61" s="6" t="s">
        <v>255</v>
      </c>
      <c r="M61" s="6"/>
      <c r="N61" s="6" t="s">
        <v>1080</v>
      </c>
      <c r="O61" s="6" t="s">
        <v>1081</v>
      </c>
      <c r="P61" s="6"/>
      <c r="Q61" s="6"/>
      <c r="R61" s="6" t="s">
        <v>129</v>
      </c>
      <c r="S61" s="6"/>
      <c r="T61" s="6"/>
      <c r="U61" s="6"/>
      <c r="V61" s="6"/>
      <c r="W61" s="6" t="s">
        <v>290</v>
      </c>
      <c r="X61" s="6" t="s">
        <v>173</v>
      </c>
      <c r="Y61" s="6" t="s">
        <v>203</v>
      </c>
      <c r="Z61" s="6" t="s">
        <v>142</v>
      </c>
      <c r="AA61" s="6" t="s">
        <v>115</v>
      </c>
      <c r="AB61" s="6"/>
      <c r="AC61" s="6"/>
      <c r="AD61" s="6" t="s">
        <v>115</v>
      </c>
      <c r="AE61" s="6" t="s">
        <v>116</v>
      </c>
      <c r="AF61" s="6"/>
      <c r="AG61" s="6"/>
      <c r="AH61" s="6" t="s">
        <v>116</v>
      </c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 t="s">
        <v>588</v>
      </c>
      <c r="AU61" s="7" t="str">
        <f>IF($AT61="","",IFERROR(INDEX(InstructorMap!$B:$B, MATCH($AT61, InstructorMap!$A:$A, 0)),""))</f>
        <v>gane@andrews.edu</v>
      </c>
      <c r="AV61" s="7" t="str">
        <f>IF($AT61="","",IFERROR(INDEX(InstructorMap!$C:$C, MATCH($AT61, InstructorMap!$A:$A, 0)),""))</f>
        <v>000008963</v>
      </c>
      <c r="AW61" s="6" t="s">
        <v>121</v>
      </c>
      <c r="AX61" s="6" t="s">
        <v>122</v>
      </c>
      <c r="AY61" s="6"/>
      <c r="AZ61" s="6"/>
      <c r="BA61" s="6"/>
      <c r="BB61" s="6"/>
      <c r="BC61" s="6"/>
      <c r="BD61" s="6"/>
      <c r="BE61" s="6"/>
      <c r="BF61" s="6"/>
      <c r="BG61" s="6"/>
      <c r="BH61" s="6" t="s">
        <v>898</v>
      </c>
      <c r="BI61" s="6" t="s">
        <v>124</v>
      </c>
      <c r="BJ61" s="6" t="s">
        <v>125</v>
      </c>
      <c r="BK61" s="6" t="s">
        <v>173</v>
      </c>
      <c r="BL61" s="6" t="s">
        <v>249</v>
      </c>
      <c r="BM61" s="6"/>
      <c r="BN61" s="6"/>
      <c r="BO61" s="6" t="s">
        <v>127</v>
      </c>
      <c r="BP61" s="6"/>
      <c r="BQ61" s="6"/>
      <c r="BR61" s="6"/>
      <c r="BS61" s="6"/>
      <c r="BT61" s="6" t="s">
        <v>128</v>
      </c>
      <c r="BU61" s="6" t="s">
        <v>129</v>
      </c>
      <c r="BV61" s="6" t="s">
        <v>129</v>
      </c>
      <c r="BW61" s="6" t="s">
        <v>130</v>
      </c>
      <c r="BX61" s="6"/>
      <c r="BY61" s="6"/>
      <c r="BZ61" s="6"/>
      <c r="CA61" s="6"/>
      <c r="CB61" s="6"/>
      <c r="CC61" s="6"/>
      <c r="CD61" s="6"/>
      <c r="CE61" s="6"/>
      <c r="CF61" s="6" t="s">
        <v>130</v>
      </c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 t="s">
        <v>315</v>
      </c>
      <c r="CS61" s="6" t="s">
        <v>132</v>
      </c>
      <c r="CT61" s="6" t="s">
        <v>133</v>
      </c>
      <c r="CU61" s="6" t="s">
        <v>134</v>
      </c>
      <c r="CV61" s="6"/>
    </row>
    <row r="62" spans="1:100" x14ac:dyDescent="0.2">
      <c r="A62" s="128" t="b">
        <v>0</v>
      </c>
      <c r="B62" s="133" t="b">
        <v>0</v>
      </c>
      <c r="C62" s="133" t="b">
        <v>0</v>
      </c>
      <c r="D62" s="133" t="b">
        <v>0</v>
      </c>
      <c r="E62" s="133" t="b">
        <v>0</v>
      </c>
      <c r="F62" s="133" t="b">
        <v>1</v>
      </c>
      <c r="G62" s="6"/>
      <c r="H62" s="6" t="s">
        <v>1082</v>
      </c>
      <c r="I62" s="21" t="s">
        <v>1083</v>
      </c>
      <c r="J62" s="6" t="s">
        <v>898</v>
      </c>
      <c r="K62" s="6" t="s">
        <v>288</v>
      </c>
      <c r="L62" s="6" t="s">
        <v>252</v>
      </c>
      <c r="M62" s="6"/>
      <c r="N62" s="6" t="s">
        <v>1080</v>
      </c>
      <c r="O62" s="6" t="s">
        <v>1081</v>
      </c>
      <c r="P62" s="6"/>
      <c r="Q62" s="6"/>
      <c r="R62" s="6" t="s">
        <v>129</v>
      </c>
      <c r="S62" s="6"/>
      <c r="T62" s="6"/>
      <c r="U62" s="6"/>
      <c r="V62" s="6"/>
      <c r="W62" s="6" t="s">
        <v>290</v>
      </c>
      <c r="X62" s="6" t="s">
        <v>173</v>
      </c>
      <c r="Y62" s="6" t="s">
        <v>203</v>
      </c>
      <c r="Z62" s="6" t="s">
        <v>142</v>
      </c>
      <c r="AA62" s="6" t="s">
        <v>115</v>
      </c>
      <c r="AB62" s="6"/>
      <c r="AC62" s="6"/>
      <c r="AD62" s="6" t="s">
        <v>115</v>
      </c>
      <c r="AE62" s="6" t="s">
        <v>116</v>
      </c>
      <c r="AF62" s="6"/>
      <c r="AG62" s="6"/>
      <c r="AH62" s="6" t="s">
        <v>116</v>
      </c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 t="s">
        <v>588</v>
      </c>
      <c r="AU62" s="7" t="str">
        <f>IF($AT62="","",IFERROR(INDEX(InstructorMap!$B:$B, MATCH($AT62, InstructorMap!$A:$A, 0)),""))</f>
        <v>gane@andrews.edu</v>
      </c>
      <c r="AV62" s="7" t="str">
        <f>IF($AT62="","",IFERROR(INDEX(InstructorMap!$C:$C, MATCH($AT62, InstructorMap!$A:$A, 0)),""))</f>
        <v>000008963</v>
      </c>
      <c r="AW62" s="6" t="s">
        <v>121</v>
      </c>
      <c r="AX62" s="6" t="s">
        <v>122</v>
      </c>
      <c r="AY62" s="6"/>
      <c r="AZ62" s="6"/>
      <c r="BA62" s="6"/>
      <c r="BB62" s="6"/>
      <c r="BC62" s="6"/>
      <c r="BD62" s="6"/>
      <c r="BE62" s="6"/>
      <c r="BF62" s="6"/>
      <c r="BG62" s="6"/>
      <c r="BH62" s="6" t="s">
        <v>898</v>
      </c>
      <c r="BI62" s="6" t="s">
        <v>124</v>
      </c>
      <c r="BJ62" s="6" t="s">
        <v>125</v>
      </c>
      <c r="BK62" s="6" t="s">
        <v>173</v>
      </c>
      <c r="BL62" s="6" t="s">
        <v>249</v>
      </c>
      <c r="BM62" s="6"/>
      <c r="BN62" s="6"/>
      <c r="BO62" s="6" t="s">
        <v>127</v>
      </c>
      <c r="BP62" s="6"/>
      <c r="BQ62" s="6"/>
      <c r="BR62" s="6"/>
      <c r="BS62" s="6"/>
      <c r="BT62" s="6" t="s">
        <v>128</v>
      </c>
      <c r="BU62" s="6" t="s">
        <v>129</v>
      </c>
      <c r="BV62" s="6" t="s">
        <v>129</v>
      </c>
      <c r="BW62" s="6" t="s">
        <v>130</v>
      </c>
      <c r="BX62" s="6"/>
      <c r="BY62" s="6"/>
      <c r="BZ62" s="6"/>
      <c r="CA62" s="6"/>
      <c r="CB62" s="6"/>
      <c r="CC62" s="6"/>
      <c r="CD62" s="6"/>
      <c r="CE62" s="6"/>
      <c r="CF62" s="6" t="s">
        <v>130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 t="s">
        <v>315</v>
      </c>
      <c r="CS62" s="6" t="s">
        <v>132</v>
      </c>
      <c r="CT62" s="6" t="s">
        <v>133</v>
      </c>
      <c r="CU62" s="6" t="s">
        <v>134</v>
      </c>
      <c r="CV62" s="6"/>
    </row>
    <row r="63" spans="1:100" x14ac:dyDescent="0.2">
      <c r="A63" s="128" t="b">
        <v>0</v>
      </c>
      <c r="B63" s="133" t="b">
        <v>0</v>
      </c>
      <c r="C63" s="128" t="b">
        <v>0</v>
      </c>
      <c r="D63" s="133" t="b">
        <v>0</v>
      </c>
      <c r="E63" s="133" t="b">
        <v>0</v>
      </c>
      <c r="F63" s="130" t="b">
        <v>1</v>
      </c>
      <c r="G63" s="137"/>
      <c r="H63" s="6" t="s">
        <v>1084</v>
      </c>
      <c r="I63" s="21" t="s">
        <v>1085</v>
      </c>
      <c r="J63" s="6" t="s">
        <v>898</v>
      </c>
      <c r="K63" s="6" t="s">
        <v>288</v>
      </c>
      <c r="L63" s="6" t="s">
        <v>297</v>
      </c>
      <c r="M63" s="6"/>
      <c r="N63" s="6" t="s">
        <v>1080</v>
      </c>
      <c r="O63" s="6" t="s">
        <v>1086</v>
      </c>
      <c r="P63" s="6"/>
      <c r="Q63" s="6"/>
      <c r="R63" s="6" t="s">
        <v>129</v>
      </c>
      <c r="S63" s="6"/>
      <c r="T63" s="6"/>
      <c r="U63" s="6"/>
      <c r="V63" s="6"/>
      <c r="W63" s="6" t="s">
        <v>290</v>
      </c>
      <c r="X63" s="6"/>
      <c r="Y63" s="6" t="s">
        <v>203</v>
      </c>
      <c r="Z63" s="6" t="s">
        <v>142</v>
      </c>
      <c r="AA63" s="6" t="s">
        <v>115</v>
      </c>
      <c r="AB63" s="6"/>
      <c r="AC63" s="6"/>
      <c r="AD63" s="6" t="s">
        <v>115</v>
      </c>
      <c r="AE63" s="6" t="s">
        <v>116</v>
      </c>
      <c r="AF63" s="6"/>
      <c r="AG63" s="6"/>
      <c r="AH63" s="6" t="s">
        <v>116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 t="s">
        <v>799</v>
      </c>
      <c r="AU63" s="7" t="str">
        <f>IF($AT63="","",IFERROR(INDEX(InstructorMap!$B:$B, MATCH($AT63, InstructorMap!$A:$A, 0)),""))</f>
        <v>rayp@andrews.edu</v>
      </c>
      <c r="AV63" s="7" t="str">
        <f>IF($AT63="","",IFERROR(INDEX(InstructorMap!$C:$C, MATCH($AT63, InstructorMap!$A:$A, 0)),""))</f>
        <v>000029934</v>
      </c>
      <c r="AW63" s="6" t="s">
        <v>121</v>
      </c>
      <c r="AX63" s="6" t="s">
        <v>122</v>
      </c>
      <c r="AY63" s="6"/>
      <c r="AZ63" s="6"/>
      <c r="BA63" s="6"/>
      <c r="BB63" s="6"/>
      <c r="BC63" s="6"/>
      <c r="BD63" s="6"/>
      <c r="BE63" s="6"/>
      <c r="BF63" s="6"/>
      <c r="BG63" s="6"/>
      <c r="BH63" s="6" t="s">
        <v>898</v>
      </c>
      <c r="BI63" s="6" t="s">
        <v>124</v>
      </c>
      <c r="BJ63" s="6" t="s">
        <v>125</v>
      </c>
      <c r="BK63" s="6"/>
      <c r="BL63" s="6" t="s">
        <v>249</v>
      </c>
      <c r="BM63" s="6"/>
      <c r="BN63" s="6"/>
      <c r="BO63" s="6" t="s">
        <v>127</v>
      </c>
      <c r="BP63" s="6"/>
      <c r="BQ63" s="6"/>
      <c r="BR63" s="6"/>
      <c r="BS63" s="6"/>
      <c r="BT63" s="6" t="s">
        <v>128</v>
      </c>
      <c r="BU63" s="6" t="s">
        <v>129</v>
      </c>
      <c r="BV63" s="6" t="s">
        <v>129</v>
      </c>
      <c r="BW63" s="6" t="s">
        <v>130</v>
      </c>
      <c r="BX63" s="6"/>
      <c r="BY63" s="6"/>
      <c r="BZ63" s="6"/>
      <c r="CA63" s="6"/>
      <c r="CB63" s="6"/>
      <c r="CC63" s="6"/>
      <c r="CD63" s="6"/>
      <c r="CE63" s="6"/>
      <c r="CF63" s="6" t="s">
        <v>130</v>
      </c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 t="s">
        <v>249</v>
      </c>
      <c r="CS63" s="6" t="s">
        <v>132</v>
      </c>
      <c r="CT63" s="6" t="s">
        <v>133</v>
      </c>
      <c r="CU63" s="6" t="s">
        <v>134</v>
      </c>
      <c r="CV63" s="6"/>
    </row>
    <row r="64" spans="1:100" x14ac:dyDescent="0.2">
      <c r="A64" s="130" t="b">
        <v>0</v>
      </c>
      <c r="B64" s="130" t="b">
        <v>0</v>
      </c>
      <c r="C64" s="130" t="b">
        <v>0</v>
      </c>
      <c r="D64" s="130" t="b">
        <v>0</v>
      </c>
      <c r="E64" s="130" t="b">
        <v>0</v>
      </c>
      <c r="F64" s="130" t="b">
        <v>1</v>
      </c>
      <c r="G64" s="138"/>
      <c r="H64" s="6" t="s">
        <v>1087</v>
      </c>
      <c r="I64" s="21" t="s">
        <v>1088</v>
      </c>
      <c r="J64" s="6" t="s">
        <v>898</v>
      </c>
      <c r="K64" s="6" t="s">
        <v>288</v>
      </c>
      <c r="L64" s="6" t="s">
        <v>244</v>
      </c>
      <c r="M64" s="6"/>
      <c r="N64" s="6" t="s">
        <v>1080</v>
      </c>
      <c r="O64" s="6"/>
      <c r="P64" s="6"/>
      <c r="Q64" s="6"/>
      <c r="R64" s="6" t="s">
        <v>129</v>
      </c>
      <c r="S64" s="6"/>
      <c r="T64" s="6"/>
      <c r="U64" s="6"/>
      <c r="V64" s="6"/>
      <c r="W64" s="6" t="s">
        <v>290</v>
      </c>
      <c r="X64" s="6"/>
      <c r="Y64" s="6" t="s">
        <v>203</v>
      </c>
      <c r="Z64" s="6" t="s">
        <v>142</v>
      </c>
      <c r="AA64" s="6" t="s">
        <v>115</v>
      </c>
      <c r="AB64" s="6"/>
      <c r="AC64" s="6"/>
      <c r="AD64" s="6" t="s">
        <v>115</v>
      </c>
      <c r="AE64" s="6" t="s">
        <v>116</v>
      </c>
      <c r="AF64" s="6"/>
      <c r="AG64" s="6"/>
      <c r="AH64" s="6" t="s">
        <v>116</v>
      </c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 t="s">
        <v>552</v>
      </c>
      <c r="AU64" s="7" t="str">
        <f>IF($AT64="","",IFERROR(INDEX(InstructorMap!$B:$B, MATCH($AT64, InstructorMap!$A:$A, 0)),""))</f>
        <v>skinnerj@andrews.edu</v>
      </c>
      <c r="AV64" s="7" t="str">
        <f>IF($AT64="","",IFERROR(INDEX(InstructorMap!$C:$C, MATCH($AT64, InstructorMap!$A:$A, 0)),""))</f>
        <v>000117063</v>
      </c>
      <c r="AW64" s="6" t="s">
        <v>121</v>
      </c>
      <c r="AX64" s="6" t="s">
        <v>122</v>
      </c>
      <c r="AY64" s="6"/>
      <c r="AZ64" s="6"/>
      <c r="BA64" s="6"/>
      <c r="BB64" s="6"/>
      <c r="BC64" s="6"/>
      <c r="BD64" s="6"/>
      <c r="BE64" s="6"/>
      <c r="BF64" s="6"/>
      <c r="BG64" s="6"/>
      <c r="BH64" s="6" t="s">
        <v>898</v>
      </c>
      <c r="BI64" s="6" t="s">
        <v>124</v>
      </c>
      <c r="BJ64" s="6" t="s">
        <v>125</v>
      </c>
      <c r="BK64" s="6"/>
      <c r="BL64" s="6" t="s">
        <v>249</v>
      </c>
      <c r="BM64" s="6"/>
      <c r="BN64" s="6"/>
      <c r="BO64" s="6" t="s">
        <v>127</v>
      </c>
      <c r="BP64" s="6"/>
      <c r="BQ64" s="6"/>
      <c r="BR64" s="6"/>
      <c r="BS64" s="6"/>
      <c r="BT64" s="6" t="s">
        <v>128</v>
      </c>
      <c r="BU64" s="6" t="s">
        <v>129</v>
      </c>
      <c r="BV64" s="6" t="s">
        <v>129</v>
      </c>
      <c r="BW64" s="6" t="s">
        <v>130</v>
      </c>
      <c r="BX64" s="6"/>
      <c r="BY64" s="6"/>
      <c r="BZ64" s="6"/>
      <c r="CA64" s="6"/>
      <c r="CB64" s="6"/>
      <c r="CC64" s="6"/>
      <c r="CD64" s="6"/>
      <c r="CE64" s="6"/>
      <c r="CF64" s="6" t="s">
        <v>130</v>
      </c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 t="s">
        <v>132</v>
      </c>
      <c r="CT64" s="6" t="s">
        <v>133</v>
      </c>
      <c r="CU64" s="6" t="s">
        <v>134</v>
      </c>
      <c r="CV64" s="6"/>
    </row>
    <row r="65" spans="1:100" x14ac:dyDescent="0.2">
      <c r="A65" s="38" t="b">
        <v>0</v>
      </c>
      <c r="B65" s="39" t="b">
        <v>0</v>
      </c>
      <c r="C65" s="39" t="b">
        <v>0</v>
      </c>
      <c r="D65" s="39" t="b">
        <v>0</v>
      </c>
      <c r="E65" s="39" t="b">
        <v>0</v>
      </c>
      <c r="F65" s="38" t="b">
        <v>1</v>
      </c>
      <c r="G65" s="36"/>
      <c r="H65" s="6" t="s">
        <v>1089</v>
      </c>
      <c r="I65" s="21" t="s">
        <v>1090</v>
      </c>
      <c r="J65" s="6" t="s">
        <v>898</v>
      </c>
      <c r="K65" s="6" t="s">
        <v>288</v>
      </c>
      <c r="L65" s="6" t="s">
        <v>258</v>
      </c>
      <c r="M65" s="6"/>
      <c r="N65" s="6" t="s">
        <v>1080</v>
      </c>
      <c r="O65" s="6" t="s">
        <v>1091</v>
      </c>
      <c r="P65" s="6"/>
      <c r="Q65" s="6"/>
      <c r="R65" s="6" t="s">
        <v>129</v>
      </c>
      <c r="S65" s="6"/>
      <c r="T65" s="6"/>
      <c r="U65" s="6"/>
      <c r="V65" s="6"/>
      <c r="W65" s="6" t="s">
        <v>290</v>
      </c>
      <c r="X65" s="6"/>
      <c r="Y65" s="6" t="s">
        <v>203</v>
      </c>
      <c r="Z65" s="6" t="s">
        <v>142</v>
      </c>
      <c r="AA65" s="6" t="s">
        <v>115</v>
      </c>
      <c r="AB65" s="6"/>
      <c r="AC65" s="6"/>
      <c r="AD65" s="6" t="s">
        <v>115</v>
      </c>
      <c r="AE65" s="6" t="s">
        <v>116</v>
      </c>
      <c r="AF65" s="6"/>
      <c r="AG65" s="6"/>
      <c r="AH65" s="6" t="s">
        <v>116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 t="s">
        <v>552</v>
      </c>
      <c r="AU65" s="7" t="str">
        <f>IF($AT65="","",IFERROR(INDEX(InstructorMap!$B:$B, MATCH($AT65, InstructorMap!$A:$A, 0)),""))</f>
        <v>skinnerj@andrews.edu</v>
      </c>
      <c r="AV65" s="7" t="str">
        <f>IF($AT65="","",IFERROR(INDEX(InstructorMap!$C:$C, MATCH($AT65, InstructorMap!$A:$A, 0)),""))</f>
        <v>000117063</v>
      </c>
      <c r="AW65" s="6" t="s">
        <v>121</v>
      </c>
      <c r="AX65" s="6" t="s">
        <v>122</v>
      </c>
      <c r="AY65" s="6"/>
      <c r="AZ65" s="6"/>
      <c r="BA65" s="6"/>
      <c r="BB65" s="6"/>
      <c r="BC65" s="6"/>
      <c r="BD65" s="6"/>
      <c r="BE65" s="6"/>
      <c r="BF65" s="6"/>
      <c r="BG65" s="6"/>
      <c r="BH65" s="6" t="s">
        <v>898</v>
      </c>
      <c r="BI65" s="6" t="s">
        <v>124</v>
      </c>
      <c r="BJ65" s="6" t="s">
        <v>125</v>
      </c>
      <c r="BK65" s="6"/>
      <c r="BL65" s="6" t="s">
        <v>249</v>
      </c>
      <c r="BM65" s="6"/>
      <c r="BN65" s="6"/>
      <c r="BO65" s="6" t="s">
        <v>127</v>
      </c>
      <c r="BP65" s="6"/>
      <c r="BQ65" s="6"/>
      <c r="BR65" s="6"/>
      <c r="BS65" s="6"/>
      <c r="BT65" s="6" t="s">
        <v>128</v>
      </c>
      <c r="BU65" s="6" t="s">
        <v>129</v>
      </c>
      <c r="BV65" s="6" t="s">
        <v>129</v>
      </c>
      <c r="BW65" s="6" t="s">
        <v>130</v>
      </c>
      <c r="BX65" s="6"/>
      <c r="BY65" s="6"/>
      <c r="BZ65" s="6"/>
      <c r="CA65" s="6"/>
      <c r="CB65" s="6"/>
      <c r="CC65" s="6"/>
      <c r="CD65" s="6"/>
      <c r="CE65" s="6"/>
      <c r="CF65" s="6" t="s">
        <v>130</v>
      </c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 t="s">
        <v>132</v>
      </c>
      <c r="CT65" s="6" t="s">
        <v>133</v>
      </c>
      <c r="CU65" s="6" t="s">
        <v>134</v>
      </c>
      <c r="CV65" s="6"/>
    </row>
    <row r="66" spans="1:100" x14ac:dyDescent="0.2">
      <c r="A66" s="128" t="b">
        <v>0</v>
      </c>
      <c r="B66" s="133" t="b">
        <v>0</v>
      </c>
      <c r="C66" s="133" t="b">
        <v>0</v>
      </c>
      <c r="D66" s="133" t="b">
        <v>0</v>
      </c>
      <c r="E66" s="133" t="b">
        <v>0</v>
      </c>
      <c r="F66" s="133" t="b">
        <v>1</v>
      </c>
      <c r="G66" s="6"/>
      <c r="H66" s="6" t="s">
        <v>1092</v>
      </c>
      <c r="I66" s="21" t="s">
        <v>1093</v>
      </c>
      <c r="J66" s="6" t="s">
        <v>898</v>
      </c>
      <c r="K66" s="6" t="s">
        <v>288</v>
      </c>
      <c r="L66" s="6" t="s">
        <v>302</v>
      </c>
      <c r="M66" s="6"/>
      <c r="N66" s="6" t="s">
        <v>1080</v>
      </c>
      <c r="O66" s="6" t="s">
        <v>1094</v>
      </c>
      <c r="P66" s="6"/>
      <c r="Q66" s="6"/>
      <c r="R66" s="6" t="s">
        <v>129</v>
      </c>
      <c r="S66" s="6"/>
      <c r="T66" s="6"/>
      <c r="U66" s="6"/>
      <c r="V66" s="6"/>
      <c r="W66" s="6" t="s">
        <v>290</v>
      </c>
      <c r="X66" s="6"/>
      <c r="Y66" s="6" t="s">
        <v>203</v>
      </c>
      <c r="Z66" s="6" t="s">
        <v>142</v>
      </c>
      <c r="AA66" s="6" t="s">
        <v>115</v>
      </c>
      <c r="AB66" s="6"/>
      <c r="AC66" s="6"/>
      <c r="AD66" s="6" t="s">
        <v>115</v>
      </c>
      <c r="AE66" s="6" t="s">
        <v>116</v>
      </c>
      <c r="AF66" s="6"/>
      <c r="AG66" s="6"/>
      <c r="AH66" s="6" t="s">
        <v>116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 t="s">
        <v>1057</v>
      </c>
      <c r="AU66" s="7" t="str">
        <f>IF($AT66="","",IFERROR(INDEX(InstructorMap!$B:$B, MATCH($AT66, InstructorMap!$A:$A, 0)),""))</f>
        <v>pgregor@andrews.edu</v>
      </c>
      <c r="AV66" s="7" t="str">
        <f>IF($AT66="","",IFERROR(INDEX(InstructorMap!$C:$C, MATCH($AT66, InstructorMap!$A:$A, 0)),""))</f>
        <v>000052867</v>
      </c>
      <c r="AW66" s="6" t="s">
        <v>121</v>
      </c>
      <c r="AX66" s="6" t="s">
        <v>122</v>
      </c>
      <c r="AY66" s="6"/>
      <c r="AZ66" s="6"/>
      <c r="BA66" s="6"/>
      <c r="BB66" s="6"/>
      <c r="BC66" s="6"/>
      <c r="BD66" s="6"/>
      <c r="BE66" s="6"/>
      <c r="BF66" s="6"/>
      <c r="BG66" s="6"/>
      <c r="BH66" s="6" t="s">
        <v>898</v>
      </c>
      <c r="BI66" s="6" t="s">
        <v>124</v>
      </c>
      <c r="BJ66" s="6" t="s">
        <v>125</v>
      </c>
      <c r="BK66" s="6"/>
      <c r="BL66" s="6" t="s">
        <v>249</v>
      </c>
      <c r="BM66" s="6"/>
      <c r="BN66" s="6"/>
      <c r="BO66" s="6" t="s">
        <v>127</v>
      </c>
      <c r="BP66" s="6"/>
      <c r="BQ66" s="6"/>
      <c r="BR66" s="6"/>
      <c r="BS66" s="6"/>
      <c r="BT66" s="6" t="s">
        <v>128</v>
      </c>
      <c r="BU66" s="6" t="s">
        <v>129</v>
      </c>
      <c r="BV66" s="6" t="s">
        <v>129</v>
      </c>
      <c r="BW66" s="6" t="s">
        <v>130</v>
      </c>
      <c r="BX66" s="6"/>
      <c r="BY66" s="6"/>
      <c r="BZ66" s="6"/>
      <c r="CA66" s="6"/>
      <c r="CB66" s="6"/>
      <c r="CC66" s="6"/>
      <c r="CD66" s="6"/>
      <c r="CE66" s="6"/>
      <c r="CF66" s="6" t="s">
        <v>130</v>
      </c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 t="s">
        <v>132</v>
      </c>
      <c r="CT66" s="6" t="s">
        <v>133</v>
      </c>
      <c r="CU66" s="6" t="s">
        <v>134</v>
      </c>
      <c r="CV66" s="6"/>
    </row>
    <row r="67" spans="1:100" x14ac:dyDescent="0.2">
      <c r="A67" s="26" t="b">
        <v>0</v>
      </c>
      <c r="B67" s="26" t="b">
        <v>0</v>
      </c>
      <c r="C67" s="26" t="b">
        <v>0</v>
      </c>
      <c r="D67" s="26" t="b">
        <v>0</v>
      </c>
      <c r="E67" s="26" t="b">
        <v>0</v>
      </c>
      <c r="F67" s="26" t="b">
        <v>1</v>
      </c>
      <c r="G67" s="27"/>
      <c r="H67" s="4" t="s">
        <v>1095</v>
      </c>
      <c r="I67" s="22" t="s">
        <v>1096</v>
      </c>
      <c r="J67" s="4" t="s">
        <v>898</v>
      </c>
      <c r="K67" s="4" t="s">
        <v>238</v>
      </c>
      <c r="L67" s="4" t="s">
        <v>137</v>
      </c>
      <c r="M67" s="4"/>
      <c r="N67" s="4" t="s">
        <v>1025</v>
      </c>
      <c r="O67" s="4" t="s">
        <v>1097</v>
      </c>
      <c r="P67" s="4" t="s">
        <v>1030</v>
      </c>
      <c r="Q67" s="4" t="s">
        <v>1026</v>
      </c>
      <c r="R67" s="4" t="s">
        <v>129</v>
      </c>
      <c r="S67" s="4"/>
      <c r="T67" s="4" t="s">
        <v>139</v>
      </c>
      <c r="U67" s="4" t="s">
        <v>140</v>
      </c>
      <c r="V67" s="4"/>
      <c r="W67" s="4" t="s">
        <v>173</v>
      </c>
      <c r="X67" s="4" t="s">
        <v>173</v>
      </c>
      <c r="Y67" s="4" t="s">
        <v>203</v>
      </c>
      <c r="Z67" s="4" t="s">
        <v>142</v>
      </c>
      <c r="AA67" s="4" t="s">
        <v>115</v>
      </c>
      <c r="AB67" s="4"/>
      <c r="AC67" s="4"/>
      <c r="AD67" s="4" t="s">
        <v>115</v>
      </c>
      <c r="AE67" s="4" t="s">
        <v>116</v>
      </c>
      <c r="AF67" s="4"/>
      <c r="AG67" s="4"/>
      <c r="AH67" s="4" t="s">
        <v>116</v>
      </c>
      <c r="AI67" s="4" t="s">
        <v>175</v>
      </c>
      <c r="AJ67" s="4" t="s">
        <v>176</v>
      </c>
      <c r="AK67" s="4"/>
      <c r="AL67" s="4"/>
      <c r="AM67" s="4"/>
      <c r="AN67" s="4"/>
      <c r="AO67" s="4" t="s">
        <v>221</v>
      </c>
      <c r="AP67" s="4"/>
      <c r="AQ67" s="4"/>
      <c r="AR67" s="4" t="s">
        <v>143</v>
      </c>
      <c r="AS67" s="4" t="s">
        <v>144</v>
      </c>
      <c r="AT67" s="4" t="s">
        <v>588</v>
      </c>
      <c r="AU67" s="5" t="str">
        <f>IF($AT67="","",IFERROR(INDEX(InstructorMap!$B:$B, MATCH($AT67, InstructorMap!$A:$A, 0)),""))</f>
        <v>gane@andrews.edu</v>
      </c>
      <c r="AV67" s="5" t="str">
        <f>IF($AT67="","",IFERROR(INDEX(InstructorMap!$C:$C, MATCH($AT67, InstructorMap!$A:$A, 0)),""))</f>
        <v>000008963</v>
      </c>
      <c r="AW67" s="4" t="s">
        <v>121</v>
      </c>
      <c r="AX67" s="4" t="s">
        <v>122</v>
      </c>
      <c r="AY67" s="4"/>
      <c r="AZ67" s="4"/>
      <c r="BA67" s="4"/>
      <c r="BB67" s="4"/>
      <c r="BC67" s="4"/>
      <c r="BD67" s="4"/>
      <c r="BE67" s="4"/>
      <c r="BF67" s="4"/>
      <c r="BG67" s="4"/>
      <c r="BH67" s="4" t="s">
        <v>898</v>
      </c>
      <c r="BI67" s="4" t="s">
        <v>124</v>
      </c>
      <c r="BJ67" s="4" t="s">
        <v>125</v>
      </c>
      <c r="BK67" s="4"/>
      <c r="BL67" s="4" t="s">
        <v>119</v>
      </c>
      <c r="BM67" s="4" t="s">
        <v>1098</v>
      </c>
      <c r="BN67" s="4"/>
      <c r="BO67" s="4" t="s">
        <v>127</v>
      </c>
      <c r="BP67" s="4"/>
      <c r="BQ67" s="4" t="s">
        <v>816</v>
      </c>
      <c r="BR67" s="4"/>
      <c r="BS67" s="4"/>
      <c r="BT67" s="4" t="s">
        <v>128</v>
      </c>
      <c r="BU67" s="4" t="s">
        <v>129</v>
      </c>
      <c r="BV67" s="4" t="s">
        <v>129</v>
      </c>
      <c r="BW67" s="4" t="s">
        <v>130</v>
      </c>
      <c r="BX67" s="4" t="s">
        <v>131</v>
      </c>
      <c r="BY67" s="4"/>
      <c r="BZ67" s="4"/>
      <c r="CA67" s="4"/>
      <c r="CB67" s="4"/>
      <c r="CC67" s="4"/>
      <c r="CD67" s="4"/>
      <c r="CE67" s="4"/>
      <c r="CF67" s="4" t="s">
        <v>130</v>
      </c>
      <c r="CG67" s="4"/>
      <c r="CH67" s="4" t="s">
        <v>131</v>
      </c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 t="s">
        <v>146</v>
      </c>
      <c r="CT67" s="4" t="s">
        <v>133</v>
      </c>
      <c r="CU67" s="4" t="s">
        <v>134</v>
      </c>
      <c r="CV67" s="4"/>
    </row>
    <row r="68" spans="1:100" x14ac:dyDescent="0.2">
      <c r="A68" s="32" t="b">
        <v>0</v>
      </c>
      <c r="B68" s="32" t="b">
        <v>0</v>
      </c>
      <c r="C68" s="32" t="b">
        <v>0</v>
      </c>
      <c r="D68" s="32" t="b">
        <v>0</v>
      </c>
      <c r="E68" s="32" t="b">
        <v>0</v>
      </c>
      <c r="F68" s="32" t="b">
        <v>0</v>
      </c>
      <c r="G68" s="155" t="s">
        <v>765</v>
      </c>
      <c r="H68" s="11"/>
      <c r="I68" s="20" t="s">
        <v>199</v>
      </c>
      <c r="J68" s="11" t="s">
        <v>898</v>
      </c>
      <c r="K68" s="11" t="s">
        <v>238</v>
      </c>
      <c r="L68" s="11" t="s">
        <v>252</v>
      </c>
      <c r="M68" s="11"/>
      <c r="N68" s="11" t="s">
        <v>1042</v>
      </c>
      <c r="O68" s="11"/>
      <c r="P68" s="11" t="s">
        <v>1043</v>
      </c>
      <c r="Q68" s="11"/>
      <c r="R68" s="11" t="s">
        <v>129</v>
      </c>
      <c r="S68" s="11"/>
      <c r="T68" s="11"/>
      <c r="U68" s="11"/>
      <c r="V68" s="11"/>
      <c r="W68" s="11"/>
      <c r="X68" s="11" t="s">
        <v>173</v>
      </c>
      <c r="Y68" s="11" t="s">
        <v>203</v>
      </c>
      <c r="Z68" s="11"/>
      <c r="AA68" s="11" t="s">
        <v>115</v>
      </c>
      <c r="AB68" s="11"/>
      <c r="AC68" s="11"/>
      <c r="AD68" s="11" t="s">
        <v>115</v>
      </c>
      <c r="AE68" s="11" t="s">
        <v>116</v>
      </c>
      <c r="AF68" s="11"/>
      <c r="AG68" s="11"/>
      <c r="AH68" s="11" t="s">
        <v>116</v>
      </c>
      <c r="AI68" s="11" t="s">
        <v>357</v>
      </c>
      <c r="AJ68" s="11" t="s">
        <v>358</v>
      </c>
      <c r="AK68" s="11"/>
      <c r="AL68" s="11"/>
      <c r="AM68" s="11"/>
      <c r="AN68" s="11"/>
      <c r="AO68" s="11" t="s">
        <v>221</v>
      </c>
      <c r="AP68" s="11"/>
      <c r="AQ68" s="11"/>
      <c r="AR68" s="11" t="s">
        <v>725</v>
      </c>
      <c r="AS68" s="11" t="s">
        <v>144</v>
      </c>
      <c r="AT68" s="11" t="s">
        <v>950</v>
      </c>
      <c r="AU68" s="13" t="str">
        <f>IF($AT68="","",IFERROR(INDEX(InstructorMap!$B:$B, MATCH($AT68, InstructorMap!$A:$A, 0)),""))</f>
        <v>olariu@andrews.edu</v>
      </c>
      <c r="AV68" s="13" t="str">
        <f>IF($AT68="","",IFERROR(INDEX(InstructorMap!$C:$C, MATCH($AT68, InstructorMap!$A:$A, 0)),""))</f>
        <v>000163538</v>
      </c>
      <c r="AW68" s="11" t="s">
        <v>121</v>
      </c>
      <c r="AX68" s="11" t="s">
        <v>122</v>
      </c>
      <c r="AY68" s="11"/>
      <c r="AZ68" s="11"/>
      <c r="BA68" s="11"/>
      <c r="BB68" s="11"/>
      <c r="BC68" s="11"/>
      <c r="BD68" s="11"/>
      <c r="BE68" s="11"/>
      <c r="BF68" s="11"/>
      <c r="BG68" s="11"/>
      <c r="BH68" s="11" t="s">
        <v>898</v>
      </c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 t="s">
        <v>146</v>
      </c>
      <c r="CT68" s="11" t="s">
        <v>133</v>
      </c>
      <c r="CU68" s="11"/>
      <c r="CV68" s="11"/>
    </row>
    <row r="69" spans="1:100" x14ac:dyDescent="0.2">
      <c r="A69" s="45" t="b">
        <v>0</v>
      </c>
      <c r="B69" s="45" t="b">
        <v>0</v>
      </c>
      <c r="C69" s="45" t="b">
        <v>1</v>
      </c>
      <c r="D69" s="45" t="b">
        <v>0</v>
      </c>
      <c r="E69" s="45" t="b">
        <v>0</v>
      </c>
      <c r="F69" s="45" t="b">
        <v>0</v>
      </c>
      <c r="G69" s="46" t="s">
        <v>1099</v>
      </c>
      <c r="H69" s="4" t="s">
        <v>1100</v>
      </c>
      <c r="I69" s="22" t="s">
        <v>1101</v>
      </c>
      <c r="J69" s="4" t="s">
        <v>898</v>
      </c>
      <c r="K69" s="4" t="s">
        <v>1102</v>
      </c>
      <c r="L69" s="153" t="s">
        <v>255</v>
      </c>
      <c r="M69" s="4"/>
      <c r="N69" s="4" t="s">
        <v>1103</v>
      </c>
      <c r="O69" s="4"/>
      <c r="P69" s="4" t="s">
        <v>1104</v>
      </c>
      <c r="Q69" s="4" t="s">
        <v>1001</v>
      </c>
      <c r="R69" s="4" t="s">
        <v>129</v>
      </c>
      <c r="S69" s="4"/>
      <c r="T69" s="4" t="s">
        <v>139</v>
      </c>
      <c r="U69" s="4" t="s">
        <v>140</v>
      </c>
      <c r="V69" s="4"/>
      <c r="W69" s="4" t="s">
        <v>173</v>
      </c>
      <c r="X69" s="4" t="s">
        <v>173</v>
      </c>
      <c r="Y69" s="4" t="s">
        <v>203</v>
      </c>
      <c r="Z69" s="4" t="s">
        <v>142</v>
      </c>
      <c r="AA69" s="4" t="s">
        <v>115</v>
      </c>
      <c r="AB69" s="4"/>
      <c r="AC69" s="4"/>
      <c r="AD69" s="4" t="s">
        <v>115</v>
      </c>
      <c r="AE69" s="4" t="s">
        <v>116</v>
      </c>
      <c r="AF69" s="4"/>
      <c r="AG69" s="4"/>
      <c r="AH69" s="4" t="s">
        <v>116</v>
      </c>
      <c r="AI69" s="4" t="s">
        <v>366</v>
      </c>
      <c r="AJ69" s="4" t="s">
        <v>237</v>
      </c>
      <c r="AK69" s="4"/>
      <c r="AL69" s="4"/>
      <c r="AM69" s="59" t="s">
        <v>211</v>
      </c>
      <c r="AN69" s="118" t="s">
        <v>177</v>
      </c>
      <c r="AO69" s="4"/>
      <c r="AP69" s="4"/>
      <c r="AQ69" s="4"/>
      <c r="AR69" s="4" t="s">
        <v>232</v>
      </c>
      <c r="AS69" s="4" t="s">
        <v>144</v>
      </c>
      <c r="AT69" s="4" t="s">
        <v>950</v>
      </c>
      <c r="AU69" s="5" t="str">
        <f>IF($AT69="","",IFERROR(INDEX(InstructorMap!$B:$B, MATCH($AT69, InstructorMap!$A:$A, 0)),""))</f>
        <v>olariu@andrews.edu</v>
      </c>
      <c r="AV69" s="5" t="str">
        <f>IF($AT69="","",IFERROR(INDEX(InstructorMap!$C:$C, MATCH($AT69, InstructorMap!$A:$A, 0)),""))</f>
        <v>000163538</v>
      </c>
      <c r="AW69" s="4" t="s">
        <v>121</v>
      </c>
      <c r="AX69" s="4" t="s">
        <v>122</v>
      </c>
      <c r="AY69" s="4"/>
      <c r="AZ69" s="4"/>
      <c r="BA69" s="4"/>
      <c r="BB69" s="4"/>
      <c r="BC69" s="4"/>
      <c r="BD69" s="4"/>
      <c r="BE69" s="4"/>
      <c r="BF69" s="4"/>
      <c r="BG69" s="4"/>
      <c r="BH69" s="4" t="s">
        <v>898</v>
      </c>
      <c r="BI69" s="4" t="s">
        <v>124</v>
      </c>
      <c r="BJ69" s="4" t="s">
        <v>125</v>
      </c>
      <c r="BK69" s="4"/>
      <c r="BL69" s="4" t="s">
        <v>119</v>
      </c>
      <c r="BM69" s="4"/>
      <c r="BN69" s="4"/>
      <c r="BO69" s="4" t="s">
        <v>127</v>
      </c>
      <c r="BP69" s="4"/>
      <c r="BQ69" s="4" t="s">
        <v>198</v>
      </c>
      <c r="BR69" s="4"/>
      <c r="BS69" s="4"/>
      <c r="BT69" s="4" t="s">
        <v>128</v>
      </c>
      <c r="BU69" s="4" t="s">
        <v>129</v>
      </c>
      <c r="BV69" s="4" t="s">
        <v>129</v>
      </c>
      <c r="BW69" s="4" t="s">
        <v>130</v>
      </c>
      <c r="BX69" s="4" t="s">
        <v>131</v>
      </c>
      <c r="BY69" s="4"/>
      <c r="BZ69" s="4"/>
      <c r="CA69" s="4"/>
      <c r="CB69" s="4"/>
      <c r="CC69" s="4"/>
      <c r="CD69" s="4"/>
      <c r="CE69" s="4"/>
      <c r="CF69" s="4" t="s">
        <v>130</v>
      </c>
      <c r="CG69" s="4"/>
      <c r="CH69" s="4" t="s">
        <v>131</v>
      </c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 t="s">
        <v>146</v>
      </c>
      <c r="CT69" s="4" t="s">
        <v>133</v>
      </c>
      <c r="CU69" s="4" t="s">
        <v>134</v>
      </c>
      <c r="CV69" s="4"/>
    </row>
  </sheetData>
  <autoFilter ref="A1:CV69" xr:uid="{00000000-0009-0000-0000-000005000000}">
    <sortState xmlns:xlrd2="http://schemas.microsoft.com/office/spreadsheetml/2017/richdata2" ref="A2:CV69">
      <sortCondition ref="J1:J69"/>
    </sortState>
  </autoFilter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62">
        <x14:dataValidation type="list" allowBlank="1" xr:uid="{00000000-0002-0000-0500-00000C000000}">
          <x14:formula1>
            <xm:f>DropDownMenu!$N$2:$N$140</xm:f>
          </x14:formula1>
          <xm:sqref>O35 O18 O3 N70:N4975 N2:N47</xm:sqref>
        </x14:dataValidation>
        <x14:dataValidation type="list" allowBlank="1" xr:uid="{00000000-0002-0000-0500-00000D000000}">
          <x14:formula1>
            <xm:f>DropDownMenu!$O$2:$O$65</xm:f>
          </x14:formula1>
          <xm:sqref>O2 O36:O47 O70:O4975 O4:O17 O19:O34</xm:sqref>
        </x14:dataValidation>
        <x14:dataValidation type="list" allowBlank="1" showInputMessage="1" showErrorMessage="1" xr:uid="{00000000-0002-0000-0500-00005D000000}">
          <x14:formula1>
            <xm:f>DropDownMenu!$N$2:$N$140</xm:f>
          </x14:formula1>
          <xm:sqref>O35 O18 O3 N70:N4975 N2:N47</xm:sqref>
        </x14:dataValidation>
        <x14:dataValidation type="list" allowBlank="1" showInputMessage="1" showErrorMessage="1" xr:uid="{00000000-0002-0000-0500-00005E000000}">
          <x14:formula1>
            <xm:f>DropDownMenu!$O$2:$O$65</xm:f>
          </x14:formula1>
          <xm:sqref>O2 O36:O47 O70:O4975 O4:O17 O19:O34</xm:sqref>
        </x14:dataValidation>
        <x14:dataValidation type="list" allowBlank="1" xr:uid="{00000000-0002-0000-0500-000000000000}">
          <x14:formula1>
            <xm:f>DropDownMenu!$A$2:$A$3</xm:f>
          </x14:formula1>
          <xm:sqref>A70:A4975</xm:sqref>
        </x14:dataValidation>
        <x14:dataValidation type="list" allowBlank="1" xr:uid="{00000000-0002-0000-0500-000001000000}">
          <x14:formula1>
            <xm:f>DropDownMenu!$B$2:$B$3</xm:f>
          </x14:formula1>
          <xm:sqref>B70:B4975</xm:sqref>
        </x14:dataValidation>
        <x14:dataValidation type="list" allowBlank="1" xr:uid="{00000000-0002-0000-0500-000002000000}">
          <x14:formula1>
            <xm:f>DropDownMenu!$C$2:$C$3</xm:f>
          </x14:formula1>
          <xm:sqref>D70:D4975</xm:sqref>
        </x14:dataValidation>
        <x14:dataValidation type="list" allowBlank="1" xr:uid="{00000000-0002-0000-0500-000003000000}">
          <x14:formula1>
            <xm:f>DropDownMenu!$D$2:$D$3</xm:f>
          </x14:formula1>
          <xm:sqref>E70:E4975</xm:sqref>
        </x14:dataValidation>
        <x14:dataValidation type="list" allowBlank="1" xr:uid="{00000000-0002-0000-0500-000004000000}">
          <x14:formula1>
            <xm:f>DropDownMenu!$E$2:$E$3</xm:f>
          </x14:formula1>
          <xm:sqref>F70:F4975</xm:sqref>
        </x14:dataValidation>
        <x14:dataValidation type="list" allowBlank="1" xr:uid="{00000000-0002-0000-0500-000005000000}">
          <x14:formula1>
            <xm:f>DropDownMenu!$G$2:$G$19</xm:f>
          </x14:formula1>
          <xm:sqref>G43 G11:G18 G70:G4975 G49:G50 G5:G9 G25:G41 A33:F36</xm:sqref>
        </x14:dataValidation>
        <x14:dataValidation type="list" allowBlank="1" showInputMessage="1" showErrorMessage="1" xr:uid="{00000000-0002-0000-0500-000051000000}">
          <x14:formula1>
            <xm:f>DropDownMenu!$A$2:$A$3</xm:f>
          </x14:formula1>
          <xm:sqref>A70:A4975</xm:sqref>
        </x14:dataValidation>
        <x14:dataValidation type="list" allowBlank="1" showInputMessage="1" showErrorMessage="1" xr:uid="{00000000-0002-0000-0500-000052000000}">
          <x14:formula1>
            <xm:f>DropDownMenu!$B$2:$B$3</xm:f>
          </x14:formula1>
          <xm:sqref>B70:B4975</xm:sqref>
        </x14:dataValidation>
        <x14:dataValidation type="list" allowBlank="1" showInputMessage="1" showErrorMessage="1" xr:uid="{00000000-0002-0000-0500-000053000000}">
          <x14:formula1>
            <xm:f>DropDownMenu!$C$2:$C$3</xm:f>
          </x14:formula1>
          <xm:sqref>D70:D4975</xm:sqref>
        </x14:dataValidation>
        <x14:dataValidation type="list" allowBlank="1" showInputMessage="1" showErrorMessage="1" xr:uid="{00000000-0002-0000-0500-000054000000}">
          <x14:formula1>
            <xm:f>DropDownMenu!$D$2:$D$3</xm:f>
          </x14:formula1>
          <xm:sqref>E70:E4975</xm:sqref>
        </x14:dataValidation>
        <x14:dataValidation type="list" allowBlank="1" showInputMessage="1" showErrorMessage="1" xr:uid="{00000000-0002-0000-0500-000055000000}">
          <x14:formula1>
            <xm:f>DropDownMenu!$E$2:$E$3</xm:f>
          </x14:formula1>
          <xm:sqref>F70:F4975</xm:sqref>
        </x14:dataValidation>
        <x14:dataValidation type="list" allowBlank="1" showInputMessage="1" showErrorMessage="1" xr:uid="{00000000-0002-0000-0500-000056000000}">
          <x14:formula1>
            <xm:f>DropDownMenu!$G$2:$G$19</xm:f>
          </x14:formula1>
          <xm:sqref>G43 G11:G18 G70:G4975 G49:G50 G5:G9 G25:G41 A33:F36</xm:sqref>
        </x14:dataValidation>
        <x14:dataValidation type="list" allowBlank="1" xr:uid="{00000000-0002-0000-0500-000006000000}">
          <x14:formula1>
            <xm:f>DropDownMenu!$H$2:$H$564</xm:f>
          </x14:formula1>
          <xm:sqref>H70:H4975 H2:H47</xm:sqref>
        </x14:dataValidation>
        <x14:dataValidation type="list" allowBlank="1" xr:uid="{00000000-0002-0000-0500-000007000000}">
          <x14:formula1>
            <xm:f>DropDownMenu!$I$2:$I$352</xm:f>
          </x14:formula1>
          <xm:sqref>I70:I4975 I2:I47</xm:sqref>
        </x14:dataValidation>
        <x14:dataValidation type="list" allowBlank="1" xr:uid="{00000000-0002-0000-0500-000008000000}">
          <x14:formula1>
            <xm:f>DropDownMenu!$J$2:$J$10</xm:f>
          </x14:formula1>
          <xm:sqref>J70:J4975 J2:J47</xm:sqref>
        </x14:dataValidation>
        <x14:dataValidation type="list" allowBlank="1" xr:uid="{00000000-0002-0000-0500-000009000000}">
          <x14:formula1>
            <xm:f>DropDownMenu!$K$2:$K$101</xm:f>
          </x14:formula1>
          <xm:sqref>K70:K4975 K2:K47</xm:sqref>
        </x14:dataValidation>
        <x14:dataValidation type="list" allowBlank="1" xr:uid="{00000000-0002-0000-0500-00000A000000}">
          <x14:formula1>
            <xm:f>DropDownMenu!$L$2:$L$42</xm:f>
          </x14:formula1>
          <xm:sqref>L70:L4975 L2:L47</xm:sqref>
        </x14:dataValidation>
        <x14:dataValidation type="list" allowBlank="1" xr:uid="{00000000-0002-0000-0500-00000B000000}">
          <x14:formula1>
            <xm:f>DropDownMenu!$M$2:$M$16</xm:f>
          </x14:formula1>
          <xm:sqref>M70:M4975 M2:M47</xm:sqref>
        </x14:dataValidation>
        <x14:dataValidation type="list" allowBlank="1" xr:uid="{00000000-0002-0000-0500-00000E000000}">
          <x14:formula1>
            <xm:f>DropDownMenu!$P$2:$P$45</xm:f>
          </x14:formula1>
          <xm:sqref>Q70:Q4975 Q2:Q47</xm:sqref>
        </x14:dataValidation>
        <x14:dataValidation type="list" allowBlank="1" xr:uid="{00000000-0002-0000-0500-00000F000000}">
          <x14:formula1>
            <xm:f>DropDownMenu!$Q$2:$Q$5</xm:f>
          </x14:formula1>
          <xm:sqref>R70:R4975 R2:R47</xm:sqref>
        </x14:dataValidation>
        <x14:dataValidation type="list" allowBlank="1" xr:uid="{00000000-0002-0000-0500-000010000000}">
          <x14:formula1>
            <xm:f>DropDownMenu!$R$2:$R$7</xm:f>
          </x14:formula1>
          <xm:sqref>S70:S4975 S2:S47</xm:sqref>
        </x14:dataValidation>
        <x14:dataValidation type="list" allowBlank="1" xr:uid="{00000000-0002-0000-0500-000011000000}">
          <x14:formula1>
            <xm:f>DropDownMenu!$S$2:$S$11</xm:f>
          </x14:formula1>
          <xm:sqref>T69:T4975 T2:T47 T54 T67</xm:sqref>
        </x14:dataValidation>
        <x14:dataValidation type="list" allowBlank="1" xr:uid="{00000000-0002-0000-0500-000012000000}">
          <x14:formula1>
            <xm:f>DropDownMenu!$T$2:$T$13</xm:f>
          </x14:formula1>
          <xm:sqref>U69:U4975 U2:U47 U54 U67</xm:sqref>
        </x14:dataValidation>
        <x14:dataValidation type="list" allowBlank="1" xr:uid="{00000000-0002-0000-0500-000013000000}">
          <x14:formula1>
            <xm:f>DropDownMenu!$U$2:$U$5</xm:f>
          </x14:formula1>
          <xm:sqref>CR70:CR4975 CR2:CR47</xm:sqref>
        </x14:dataValidation>
        <x14:dataValidation type="list" allowBlank="1" xr:uid="{00000000-0002-0000-0500-000014000000}">
          <x14:formula1>
            <xm:f>DropDownMenu!$V$2:$V$4</xm:f>
          </x14:formula1>
          <xm:sqref>V70:V4975 V2:V47</xm:sqref>
        </x14:dataValidation>
        <x14:dataValidation type="list" allowBlank="1" xr:uid="{00000000-0002-0000-0500-000015000000}">
          <x14:formula1>
            <xm:f>DropDownMenu!$W$2:$W$6</xm:f>
          </x14:formula1>
          <xm:sqref>CU70:CU4975 CU2:CU47</xm:sqref>
        </x14:dataValidation>
        <x14:dataValidation type="list" allowBlank="1" xr:uid="{00000000-0002-0000-0500-000016000000}">
          <x14:formula1>
            <xm:f>DropDownMenu!$X$2:$X$26</xm:f>
          </x14:formula1>
          <xm:sqref>W70:W4975 W2:W47</xm:sqref>
        </x14:dataValidation>
        <x14:dataValidation type="list" allowBlank="1" xr:uid="{00000000-0002-0000-0500-000017000000}">
          <x14:formula1>
            <xm:f>DropDownMenu!$Y$2:$Y$7</xm:f>
          </x14:formula1>
          <xm:sqref>X70:X4975 X2:X47</xm:sqref>
        </x14:dataValidation>
        <x14:dataValidation type="list" allowBlank="1" xr:uid="{00000000-0002-0000-0500-000018000000}">
          <x14:formula1>
            <xm:f>DropDownMenu!$Z$2:$Z$15</xm:f>
          </x14:formula1>
          <xm:sqref>Y70:Y4975 Y2:Y47</xm:sqref>
        </x14:dataValidation>
        <x14:dataValidation type="list" allowBlank="1" xr:uid="{00000000-0002-0000-0500-000019000000}">
          <x14:formula1>
            <xm:f>DropDownMenu!$AA$2:$AA$6</xm:f>
          </x14:formula1>
          <xm:sqref>Z70:Z4975 Z2:Z47</xm:sqref>
        </x14:dataValidation>
        <x14:dataValidation type="list" allowBlank="1" xr:uid="{00000000-0002-0000-0500-00001A000000}">
          <x14:formula1>
            <xm:f>DropDownMenu!$AB$2:$AB$7</xm:f>
          </x14:formula1>
          <xm:sqref>AA70:AA4975 AA2:AA47</xm:sqref>
        </x14:dataValidation>
        <x14:dataValidation type="list" allowBlank="1" xr:uid="{00000000-0002-0000-0500-00001B000000}">
          <x14:formula1>
            <xm:f>DropDownMenu!$AC$2:$AC$49</xm:f>
          </x14:formula1>
          <xm:sqref>AD70:AD4975 AD2:AD47</xm:sqref>
        </x14:dataValidation>
        <x14:dataValidation type="list" allowBlank="1" xr:uid="{00000000-0002-0000-0500-00001C000000}">
          <x14:formula1>
            <xm:f>DropDownMenu!$AD$2:$AD$52</xm:f>
          </x14:formula1>
          <xm:sqref>AE70:AE4975 AE2:AE47</xm:sqref>
        </x14:dataValidation>
        <x14:dataValidation type="list" allowBlank="1" xr:uid="{00000000-0002-0000-0500-00001D000000}">
          <x14:formula1>
            <xm:f>DropDownMenu!$AE$2:$AE$9</xm:f>
          </x14:formula1>
          <xm:sqref>AH70:AH4975 AH2:AH47</xm:sqref>
        </x14:dataValidation>
        <x14:dataValidation type="list" allowBlank="1" xr:uid="{00000000-0002-0000-0500-00001E000000}">
          <x14:formula1>
            <xm:f>DropDownMenu!$AF$2:$AF$6</xm:f>
          </x14:formula1>
          <xm:sqref>AI70:AI4975 AI2:AI47</xm:sqref>
        </x14:dataValidation>
        <x14:dataValidation type="list" allowBlank="1" xr:uid="{00000000-0002-0000-0500-00001F000000}">
          <x14:formula1>
            <xm:f>DropDownMenu!$AG$2:$AG$11</xm:f>
          </x14:formula1>
          <xm:sqref>AJ70:AJ4975 AJ2:AJ47</xm:sqref>
        </x14:dataValidation>
        <x14:dataValidation type="list" allowBlank="1" xr:uid="{00000000-0002-0000-0500-000020000000}">
          <x14:formula1>
            <xm:f>DropDownMenu!$AH$2:$AH$2</xm:f>
          </x14:formula1>
          <xm:sqref>AK70:AK4975 AK2:AK47</xm:sqref>
        </x14:dataValidation>
        <x14:dataValidation type="list" allowBlank="1" xr:uid="{00000000-0002-0000-0500-000021000000}">
          <x14:formula1>
            <xm:f>DropDownMenu!$AI$2:$AI$2</xm:f>
          </x14:formula1>
          <xm:sqref>AL70:AL4975 AL2:AL47</xm:sqref>
        </x14:dataValidation>
        <x14:dataValidation type="list" allowBlank="1" xr:uid="{00000000-0002-0000-0500-000022000000}">
          <x14:formula1>
            <xm:f>DropDownMenu!$AJ$2:$AJ$2</xm:f>
          </x14:formula1>
          <xm:sqref>AM70:AM4975 AM2:AM47</xm:sqref>
        </x14:dataValidation>
        <x14:dataValidation type="list" allowBlank="1" xr:uid="{00000000-0002-0000-0500-000023000000}">
          <x14:formula1>
            <xm:f>DropDownMenu!$AK$2:$AK$2</xm:f>
          </x14:formula1>
          <xm:sqref>AN70:AN4975 AN2:AN47</xm:sqref>
        </x14:dataValidation>
        <x14:dataValidation type="list" allowBlank="1" xr:uid="{00000000-0002-0000-0500-000024000000}">
          <x14:formula1>
            <xm:f>DropDownMenu!$AL$2:$AL$2</xm:f>
          </x14:formula1>
          <xm:sqref>AO70:AO4975 AO2:AO47</xm:sqref>
        </x14:dataValidation>
        <x14:dataValidation type="list" allowBlank="1" xr:uid="{00000000-0002-0000-0500-000025000000}">
          <x14:formula1>
            <xm:f>DropDownMenu!$AM$2:$AM$5</xm:f>
          </x14:formula1>
          <xm:sqref>CS70:CS4975 CS2:CS47</xm:sqref>
        </x14:dataValidation>
        <x14:dataValidation type="list" allowBlank="1" xr:uid="{00000000-0002-0000-0500-000026000000}">
          <x14:formula1>
            <xm:f>DropDownMenu!$AN$2:$AN$13</xm:f>
          </x14:formula1>
          <xm:sqref>AR70:AR4975 AR2:AR47</xm:sqref>
        </x14:dataValidation>
        <x14:dataValidation type="list" allowBlank="1" xr:uid="{00000000-0002-0000-0500-000027000000}">
          <x14:formula1>
            <xm:f>DropDownMenu!$AO$2:$AO$40</xm:f>
          </x14:formula1>
          <xm:sqref>AS70:AS4975 AS2:AS47</xm:sqref>
        </x14:dataValidation>
        <x14:dataValidation type="list" allowBlank="1" xr:uid="{00000000-0002-0000-0500-000028000000}">
          <x14:formula1>
            <xm:f>DropDownMenu!$AP$2:$AP$274</xm:f>
          </x14:formula1>
          <xm:sqref>AT70:AT4975 AT2:AT47</xm:sqref>
        </x14:dataValidation>
        <x14:dataValidation type="list" allowBlank="1" xr:uid="{00000000-0002-0000-0500-000029000000}">
          <x14:formula1>
            <xm:f>DropDownMenu!$AQ$2:$AQ$9</xm:f>
          </x14:formula1>
          <xm:sqref>BB70:BB4975 BB2:BB47</xm:sqref>
        </x14:dataValidation>
        <x14:dataValidation type="list" allowBlank="1" xr:uid="{00000000-0002-0000-0500-00002A000000}">
          <x14:formula1>
            <xm:f>DropDownMenu!$AR$2:$AR$11</xm:f>
          </x14:formula1>
          <xm:sqref>BC70:BC4975 BC2:BC47</xm:sqref>
        </x14:dataValidation>
        <x14:dataValidation type="list" allowBlank="1" xr:uid="{00000000-0002-0000-0500-00002B000000}">
          <x14:formula1>
            <xm:f>DropDownMenu!$AS$2:$AS$3</xm:f>
          </x14:formula1>
          <xm:sqref>BD70:BD4975 BD2:BD47</xm:sqref>
        </x14:dataValidation>
        <x14:dataValidation type="list" allowBlank="1" xr:uid="{00000000-0002-0000-0500-00002C000000}">
          <x14:formula1>
            <xm:f>DropDownMenu!$AT$2:$AT$4</xm:f>
          </x14:formula1>
          <xm:sqref>BE70:BE4975 BE2:BE47</xm:sqref>
        </x14:dataValidation>
        <x14:dataValidation type="list" allowBlank="1" xr:uid="{00000000-0002-0000-0500-00002D000000}">
          <x14:formula1>
            <xm:f>DropDownMenu!$AU$2:$AU$2</xm:f>
          </x14:formula1>
          <xm:sqref>BG70:BG4975 BG2:BG47</xm:sqref>
        </x14:dataValidation>
        <x14:dataValidation type="list" allowBlank="1" xr:uid="{00000000-0002-0000-0500-00002E000000}">
          <x14:formula1>
            <xm:f>DropDownMenu!$AV$2:$AV$9</xm:f>
          </x14:formula1>
          <xm:sqref>BH70:BH4975 BH2:BH47</xm:sqref>
        </x14:dataValidation>
        <x14:dataValidation type="list" allowBlank="1" xr:uid="{00000000-0002-0000-0500-00002F000000}">
          <x14:formula1>
            <xm:f>DropDownMenu!$AW$2:$AW$81</xm:f>
          </x14:formula1>
          <xm:sqref>BI70:BI4975 BI2:BI47</xm:sqref>
        </x14:dataValidation>
        <x14:dataValidation type="list" allowBlank="1" xr:uid="{00000000-0002-0000-0500-000030000000}">
          <x14:formula1>
            <xm:f>DropDownMenu!$AX$2:$AX$3</xm:f>
          </x14:formula1>
          <xm:sqref>BJ70:BJ4975 BJ2:BJ47</xm:sqref>
        </x14:dataValidation>
        <x14:dataValidation type="list" allowBlank="1" xr:uid="{00000000-0002-0000-0500-000031000000}">
          <x14:formula1>
            <xm:f>DropDownMenu!$AY$2:$AY$7</xm:f>
          </x14:formula1>
          <xm:sqref>BK70:BK4975 BK2:BK47</xm:sqref>
        </x14:dataValidation>
        <x14:dataValidation type="list" allowBlank="1" xr:uid="{00000000-0002-0000-0500-000032000000}">
          <x14:formula1>
            <xm:f>DropDownMenu!$AZ$2:$AZ$9</xm:f>
          </x14:formula1>
          <xm:sqref>BL70:BL4975 BL2:BL47</xm:sqref>
        </x14:dataValidation>
        <x14:dataValidation type="list" allowBlank="1" xr:uid="{00000000-0002-0000-0500-000033000000}">
          <x14:formula1>
            <xm:f>DropDownMenu!$BA$2:$BA$9</xm:f>
          </x14:formula1>
          <xm:sqref>BM70:BM4975 BM2:BM47</xm:sqref>
        </x14:dataValidation>
        <x14:dataValidation type="list" allowBlank="1" xr:uid="{00000000-0002-0000-0500-000034000000}">
          <x14:formula1>
            <xm:f>DropDownMenu!$BB$2:$BB$3</xm:f>
          </x14:formula1>
          <xm:sqref>BN70:BN4975 BN2:BN47</xm:sqref>
        </x14:dataValidation>
        <x14:dataValidation type="list" allowBlank="1" xr:uid="{00000000-0002-0000-0500-000035000000}">
          <x14:formula1>
            <xm:f>DropDownMenu!$BC$2:$BC$2</xm:f>
          </x14:formula1>
          <xm:sqref>BO70:BO4975 BO2:BO47</xm:sqref>
        </x14:dataValidation>
        <x14:dataValidation type="list" allowBlank="1" xr:uid="{00000000-0002-0000-0500-000036000000}">
          <x14:formula1>
            <xm:f>DropDownMenu!$BD$2:$BD$29</xm:f>
          </x14:formula1>
          <xm:sqref>BQ70:BQ4975 BQ2:BQ47</xm:sqref>
        </x14:dataValidation>
        <x14:dataValidation type="list" allowBlank="1" xr:uid="{00000000-0002-0000-0500-000037000000}">
          <x14:formula1>
            <xm:f>DropDownMenu!$BE$2:$BE$2</xm:f>
          </x14:formula1>
          <xm:sqref>BT70:BT4975 BT2:BT47</xm:sqref>
        </x14:dataValidation>
        <x14:dataValidation type="list" allowBlank="1" xr:uid="{00000000-0002-0000-0500-000038000000}">
          <x14:formula1>
            <xm:f>DropDownMenu!$BF$2:$BF$33</xm:f>
          </x14:formula1>
          <xm:sqref>BU70:BU4975 BU2:BU47</xm:sqref>
        </x14:dataValidation>
        <x14:dataValidation type="list" allowBlank="1" xr:uid="{00000000-0002-0000-0500-000039000000}">
          <x14:formula1>
            <xm:f>DropDownMenu!$BG$2:$BG$2</xm:f>
          </x14:formula1>
          <xm:sqref>BV70:BV4975 BV2:BV47</xm:sqref>
        </x14:dataValidation>
        <x14:dataValidation type="list" allowBlank="1" xr:uid="{00000000-0002-0000-0500-00003A000000}">
          <x14:formula1>
            <xm:f>DropDownMenu!$BH$2:$BH$4</xm:f>
          </x14:formula1>
          <xm:sqref>AW70:AW4975 AW2:AW47</xm:sqref>
        </x14:dataValidation>
        <x14:dataValidation type="list" allowBlank="1" xr:uid="{00000000-0002-0000-0500-00003B000000}">
          <x14:formula1>
            <xm:f>DropDownMenu!$BI$2:$BI$2</xm:f>
          </x14:formula1>
          <xm:sqref>BW70:BW4975 BW2:BW47</xm:sqref>
        </x14:dataValidation>
        <x14:dataValidation type="list" allowBlank="1" xr:uid="{00000000-0002-0000-0500-00003C000000}">
          <x14:formula1>
            <xm:f>DropDownMenu!$BJ$2:$BJ$2</xm:f>
          </x14:formula1>
          <xm:sqref>BX70:BX4975 BX2:BX47</xm:sqref>
        </x14:dataValidation>
        <x14:dataValidation type="list" allowBlank="1" xr:uid="{00000000-0002-0000-0500-00003D000000}">
          <x14:formula1>
            <xm:f>DropDownMenu!$BK$2:$BK$2</xm:f>
          </x14:formula1>
          <xm:sqref>BY70:BY4975 BY2:BY47</xm:sqref>
        </x14:dataValidation>
        <x14:dataValidation type="list" allowBlank="1" xr:uid="{00000000-0002-0000-0500-00003E000000}">
          <x14:formula1>
            <xm:f>DropDownMenu!$BL$2:$BL$8</xm:f>
          </x14:formula1>
          <xm:sqref>BZ70:BZ4975 BZ2:BZ47</xm:sqref>
        </x14:dataValidation>
        <x14:dataValidation type="list" allowBlank="1" xr:uid="{00000000-0002-0000-0500-00003F000000}">
          <x14:formula1>
            <xm:f>DropDownMenu!$BM$2:$BM$8</xm:f>
          </x14:formula1>
          <xm:sqref>CA70:CA4975 CA2:CA47</xm:sqref>
        </x14:dataValidation>
        <x14:dataValidation type="list" allowBlank="1" xr:uid="{00000000-0002-0000-0500-000040000000}">
          <x14:formula1>
            <xm:f>DropDownMenu!$BN$2:$BN$8</xm:f>
          </x14:formula1>
          <xm:sqref>CB70:CB4975 CB2:CB47</xm:sqref>
        </x14:dataValidation>
        <x14:dataValidation type="list" allowBlank="1" xr:uid="{00000000-0002-0000-0500-000041000000}">
          <x14:formula1>
            <xm:f>DropDownMenu!$BO$2:$BO$6</xm:f>
          </x14:formula1>
          <xm:sqref>CC70:CC4975 CC2:CC47</xm:sqref>
        </x14:dataValidation>
        <x14:dataValidation type="list" allowBlank="1" xr:uid="{00000000-0002-0000-0500-000042000000}">
          <x14:formula1>
            <xm:f>DropDownMenu!$BP$2:$BP$2</xm:f>
          </x14:formula1>
          <xm:sqref>CD70:CD4975 CD2:CD47</xm:sqref>
        </x14:dataValidation>
        <x14:dataValidation type="list" allowBlank="1" xr:uid="{00000000-0002-0000-0500-000043000000}">
          <x14:formula1>
            <xm:f>DropDownMenu!$BQ$2:$BQ$2</xm:f>
          </x14:formula1>
          <xm:sqref>CE70:CE4975 CE2:CE47</xm:sqref>
        </x14:dataValidation>
        <x14:dataValidation type="list" allowBlank="1" xr:uid="{00000000-0002-0000-0500-000044000000}">
          <x14:formula1>
            <xm:f>DropDownMenu!$BR$2:$BR$2</xm:f>
          </x14:formula1>
          <xm:sqref>CF70:CF4975 CF2:CF47</xm:sqref>
        </x14:dataValidation>
        <x14:dataValidation type="list" allowBlank="1" xr:uid="{00000000-0002-0000-0500-000045000000}">
          <x14:formula1>
            <xm:f>DropDownMenu!$BS$2:$BS$2</xm:f>
          </x14:formula1>
          <xm:sqref>CG70:CG4975 CG2:CG47</xm:sqref>
        </x14:dataValidation>
        <x14:dataValidation type="list" allowBlank="1" xr:uid="{00000000-0002-0000-0500-000046000000}">
          <x14:formula1>
            <xm:f>DropDownMenu!$BT$2:$BT$2</xm:f>
          </x14:formula1>
          <xm:sqref>CH70:CH4975 CH2:CH47</xm:sqref>
        </x14:dataValidation>
        <x14:dataValidation type="list" allowBlank="1" xr:uid="{00000000-0002-0000-0500-000047000000}">
          <x14:formula1>
            <xm:f>DropDownMenu!$BU$2:$BU$2</xm:f>
          </x14:formula1>
          <xm:sqref>CN70:CN4975 CN2:CN47</xm:sqref>
        </x14:dataValidation>
        <x14:dataValidation type="list" allowBlank="1" xr:uid="{00000000-0002-0000-0500-000048000000}">
          <x14:formula1>
            <xm:f>DropDownMenu!$BV$2:$BV$2</xm:f>
          </x14:formula1>
          <xm:sqref>CO70:CO4975 CO2:CO47</xm:sqref>
        </x14:dataValidation>
        <x14:dataValidation type="list" allowBlank="1" xr:uid="{00000000-0002-0000-0500-000049000000}">
          <x14:formula1>
            <xm:f>DropDownMenu!$BW$2:$BW$2</xm:f>
          </x14:formula1>
          <xm:sqref>CQ70:CQ4975 CQ2:CQ47</xm:sqref>
        </x14:dataValidation>
        <x14:dataValidation type="list" allowBlank="1" xr:uid="{00000000-0002-0000-0500-00004A000000}">
          <x14:formula1>
            <xm:f>DropDownMenu!$BX$2:$BX$2</xm:f>
          </x14:formula1>
          <xm:sqref>CT70:CT4975 CT2:CT47</xm:sqref>
        </x14:dataValidation>
        <x14:dataValidation type="list" allowBlank="1" xr:uid="{00000000-0002-0000-0500-00004B000000}">
          <x14:formula1>
            <xm:f>DropDownMenu!$BY$2:$BY$77</xm:f>
          </x14:formula1>
          <xm:sqref>AU70:AU4975 AU2:AU47</xm:sqref>
        </x14:dataValidation>
        <x14:dataValidation type="list" allowBlank="1" xr:uid="{00000000-0002-0000-0500-00004C000000}">
          <x14:formula1>
            <xm:f>DropDownMenu!$BZ$2:$BZ$3</xm:f>
          </x14:formula1>
          <xm:sqref>CV70:CV4975 CV2:CV47</xm:sqref>
        </x14:dataValidation>
        <x14:dataValidation type="list" allowBlank="1" xr:uid="{00000000-0002-0000-0500-00004D000000}">
          <x14:formula1>
            <xm:f>DropDownMenu!$CA$2:$CA$77</xm:f>
          </x14:formula1>
          <xm:sqref>AV70:AV4975 AV2:AV47</xm:sqref>
        </x14:dataValidation>
        <x14:dataValidation type="list" allowBlank="1" xr:uid="{00000000-0002-0000-0500-00004E000000}">
          <x14:formula1>
            <xm:f>DropDownMenu!$CB$2:$CB$3</xm:f>
          </x14:formula1>
          <xm:sqref>AX70:AX4975 AX2:AX47</xm:sqref>
        </x14:dataValidation>
        <x14:dataValidation type="list" allowBlank="1" xr:uid="{00000000-0002-0000-0500-00004F000000}">
          <x14:formula1>
            <xm:f>DropDownMenu!$CC$2:$CC$3</xm:f>
          </x14:formula1>
          <xm:sqref>AY70:AY4975 AY2:AY47</xm:sqref>
        </x14:dataValidation>
        <x14:dataValidation type="list" allowBlank="1" xr:uid="{00000000-0002-0000-0500-000050000000}">
          <x14:formula1>
            <xm:f>DropDownMenu!$CD$2:$CD$10</xm:f>
          </x14:formula1>
          <xm:sqref>BA70:BA4975 BA2:BA47</xm:sqref>
        </x14:dataValidation>
        <x14:dataValidation type="list" allowBlank="1" showInputMessage="1" showErrorMessage="1" xr:uid="{00000000-0002-0000-0500-000057000000}">
          <x14:formula1>
            <xm:f>DropDownMenu!$H$2:$H$564</xm:f>
          </x14:formula1>
          <xm:sqref>H70:H4975 H2:H47</xm:sqref>
        </x14:dataValidation>
        <x14:dataValidation type="list" allowBlank="1" showInputMessage="1" showErrorMessage="1" xr:uid="{00000000-0002-0000-0500-000058000000}">
          <x14:formula1>
            <xm:f>DropDownMenu!$I$2:$I$352</xm:f>
          </x14:formula1>
          <xm:sqref>I70:I4975 I2:I47</xm:sqref>
        </x14:dataValidation>
        <x14:dataValidation type="list" allowBlank="1" showInputMessage="1" showErrorMessage="1" xr:uid="{00000000-0002-0000-0500-000059000000}">
          <x14:formula1>
            <xm:f>DropDownMenu!$J$2:$J$10</xm:f>
          </x14:formula1>
          <xm:sqref>J70:J4975 J2:J47</xm:sqref>
        </x14:dataValidation>
        <x14:dataValidation type="list" allowBlank="1" showInputMessage="1" showErrorMessage="1" xr:uid="{00000000-0002-0000-0500-00005A000000}">
          <x14:formula1>
            <xm:f>DropDownMenu!$K$2:$K$101</xm:f>
          </x14:formula1>
          <xm:sqref>K70:K4975 K2:K47</xm:sqref>
        </x14:dataValidation>
        <x14:dataValidation type="list" allowBlank="1" showInputMessage="1" showErrorMessage="1" xr:uid="{00000000-0002-0000-0500-00005B000000}">
          <x14:formula1>
            <xm:f>DropDownMenu!$L$2:$L$42</xm:f>
          </x14:formula1>
          <xm:sqref>L70:L4975 L2:L47</xm:sqref>
        </x14:dataValidation>
        <x14:dataValidation type="list" allowBlank="1" showInputMessage="1" showErrorMessage="1" xr:uid="{00000000-0002-0000-0500-00005C000000}">
          <x14:formula1>
            <xm:f>DropDownMenu!$M$2:$M$16</xm:f>
          </x14:formula1>
          <xm:sqref>M70:M4975 M2:M47</xm:sqref>
        </x14:dataValidation>
        <x14:dataValidation type="list" allowBlank="1" showInputMessage="1" showErrorMessage="1" xr:uid="{00000000-0002-0000-0500-00005F000000}">
          <x14:formula1>
            <xm:f>DropDownMenu!$P$2:$P$45</xm:f>
          </x14:formula1>
          <xm:sqref>Q70:Q4975 Q2:Q47</xm:sqref>
        </x14:dataValidation>
        <x14:dataValidation type="list" allowBlank="1" showInputMessage="1" showErrorMessage="1" xr:uid="{00000000-0002-0000-0500-000060000000}">
          <x14:formula1>
            <xm:f>DropDownMenu!$Q$2:$Q$5</xm:f>
          </x14:formula1>
          <xm:sqref>R70:R4975 R2:R47</xm:sqref>
        </x14:dataValidation>
        <x14:dataValidation type="list" allowBlank="1" showInputMessage="1" showErrorMessage="1" xr:uid="{00000000-0002-0000-0500-000061000000}">
          <x14:formula1>
            <xm:f>DropDownMenu!$R$2:$R$7</xm:f>
          </x14:formula1>
          <xm:sqref>S70:S4975 S2:S47</xm:sqref>
        </x14:dataValidation>
        <x14:dataValidation type="list" allowBlank="1" showInputMessage="1" showErrorMessage="1" xr:uid="{00000000-0002-0000-0500-000062000000}">
          <x14:formula1>
            <xm:f>DropDownMenu!$S$2:$S$11</xm:f>
          </x14:formula1>
          <xm:sqref>T69:T4975 T2:T47 T54 T67</xm:sqref>
        </x14:dataValidation>
        <x14:dataValidation type="list" allowBlank="1" showInputMessage="1" showErrorMessage="1" xr:uid="{00000000-0002-0000-0500-000063000000}">
          <x14:formula1>
            <xm:f>DropDownMenu!$T$2:$T$13</xm:f>
          </x14:formula1>
          <xm:sqref>U69:U4975 U2:U47 U54 U67</xm:sqref>
        </x14:dataValidation>
        <x14:dataValidation type="list" allowBlank="1" showInputMessage="1" showErrorMessage="1" xr:uid="{00000000-0002-0000-0500-000064000000}">
          <x14:formula1>
            <xm:f>DropDownMenu!$U$2:$U$5</xm:f>
          </x14:formula1>
          <xm:sqref>CR70:CR4975 CR2:CR47</xm:sqref>
        </x14:dataValidation>
        <x14:dataValidation type="list" allowBlank="1" showInputMessage="1" showErrorMessage="1" xr:uid="{00000000-0002-0000-0500-000065000000}">
          <x14:formula1>
            <xm:f>DropDownMenu!$V$2:$V$4</xm:f>
          </x14:formula1>
          <xm:sqref>V70:V4975 V2:V47</xm:sqref>
        </x14:dataValidation>
        <x14:dataValidation type="list" allowBlank="1" showInputMessage="1" showErrorMessage="1" xr:uid="{00000000-0002-0000-0500-000066000000}">
          <x14:formula1>
            <xm:f>DropDownMenu!$W$2:$W$6</xm:f>
          </x14:formula1>
          <xm:sqref>CU70:CU4975 CU2:CU47</xm:sqref>
        </x14:dataValidation>
        <x14:dataValidation type="list" allowBlank="1" showInputMessage="1" showErrorMessage="1" xr:uid="{00000000-0002-0000-0500-000067000000}">
          <x14:formula1>
            <xm:f>DropDownMenu!$X$2:$X$26</xm:f>
          </x14:formula1>
          <xm:sqref>W70:W4975 W2:W47</xm:sqref>
        </x14:dataValidation>
        <x14:dataValidation type="list" allowBlank="1" showInputMessage="1" showErrorMessage="1" xr:uid="{00000000-0002-0000-0500-000068000000}">
          <x14:formula1>
            <xm:f>DropDownMenu!$Y$2:$Y$7</xm:f>
          </x14:formula1>
          <xm:sqref>X70:X4975 X2:X47</xm:sqref>
        </x14:dataValidation>
        <x14:dataValidation type="list" allowBlank="1" showInputMessage="1" showErrorMessage="1" xr:uid="{00000000-0002-0000-0500-000069000000}">
          <x14:formula1>
            <xm:f>DropDownMenu!$Z$2:$Z$15</xm:f>
          </x14:formula1>
          <xm:sqref>Y70:Y4975 Y2:Y47</xm:sqref>
        </x14:dataValidation>
        <x14:dataValidation type="list" allowBlank="1" showInputMessage="1" showErrorMessage="1" xr:uid="{00000000-0002-0000-0500-00006A000000}">
          <x14:formula1>
            <xm:f>DropDownMenu!$AA$2:$AA$6</xm:f>
          </x14:formula1>
          <xm:sqref>Z70:Z4975 Z2:Z47</xm:sqref>
        </x14:dataValidation>
        <x14:dataValidation type="list" allowBlank="1" showInputMessage="1" showErrorMessage="1" xr:uid="{00000000-0002-0000-0500-00006B000000}">
          <x14:formula1>
            <xm:f>DropDownMenu!$AB$2:$AB$7</xm:f>
          </x14:formula1>
          <xm:sqref>AA70:AA4975 AA2:AA47</xm:sqref>
        </x14:dataValidation>
        <x14:dataValidation type="list" allowBlank="1" showInputMessage="1" showErrorMessage="1" xr:uid="{00000000-0002-0000-0500-00006C000000}">
          <x14:formula1>
            <xm:f>DropDownMenu!$AC$2:$AC$49</xm:f>
          </x14:formula1>
          <xm:sqref>AD70:AD4975 AD2:AD47</xm:sqref>
        </x14:dataValidation>
        <x14:dataValidation type="list" allowBlank="1" showInputMessage="1" showErrorMessage="1" xr:uid="{00000000-0002-0000-0500-00006D000000}">
          <x14:formula1>
            <xm:f>DropDownMenu!$AD$2:$AD$52</xm:f>
          </x14:formula1>
          <xm:sqref>AE70:AE4975 AE2:AE47</xm:sqref>
        </x14:dataValidation>
        <x14:dataValidation type="list" allowBlank="1" showInputMessage="1" showErrorMessage="1" xr:uid="{00000000-0002-0000-0500-00006E000000}">
          <x14:formula1>
            <xm:f>DropDownMenu!$AE$2:$AE$9</xm:f>
          </x14:formula1>
          <xm:sqref>AH70:AH4975 AH2:AH47</xm:sqref>
        </x14:dataValidation>
        <x14:dataValidation type="list" allowBlank="1" showInputMessage="1" showErrorMessage="1" xr:uid="{00000000-0002-0000-0500-00006F000000}">
          <x14:formula1>
            <xm:f>DropDownMenu!$AF$2:$AF$6</xm:f>
          </x14:formula1>
          <xm:sqref>AI70:AI4975 AI2:AI47</xm:sqref>
        </x14:dataValidation>
        <x14:dataValidation type="list" allowBlank="1" showInputMessage="1" showErrorMessage="1" xr:uid="{00000000-0002-0000-0500-000070000000}">
          <x14:formula1>
            <xm:f>DropDownMenu!$AG$2:$AG$11</xm:f>
          </x14:formula1>
          <xm:sqref>AJ70:AJ4975 AJ2:AJ47</xm:sqref>
        </x14:dataValidation>
        <x14:dataValidation type="list" allowBlank="1" showInputMessage="1" showErrorMessage="1" xr:uid="{00000000-0002-0000-0500-000071000000}">
          <x14:formula1>
            <xm:f>DropDownMenu!$AH$2:$AH$2</xm:f>
          </x14:formula1>
          <xm:sqref>AK70:AK4975 AK2:AK47</xm:sqref>
        </x14:dataValidation>
        <x14:dataValidation type="list" allowBlank="1" showInputMessage="1" showErrorMessage="1" xr:uid="{00000000-0002-0000-0500-000072000000}">
          <x14:formula1>
            <xm:f>DropDownMenu!$AI$2:$AI$2</xm:f>
          </x14:formula1>
          <xm:sqref>AL70:AL4975 AL2:AL47</xm:sqref>
        </x14:dataValidation>
        <x14:dataValidation type="list" allowBlank="1" showInputMessage="1" showErrorMessage="1" xr:uid="{00000000-0002-0000-0500-000073000000}">
          <x14:formula1>
            <xm:f>DropDownMenu!$AJ$2:$AJ$2</xm:f>
          </x14:formula1>
          <xm:sqref>AM70:AM4975 AM2:AM47</xm:sqref>
        </x14:dataValidation>
        <x14:dataValidation type="list" allowBlank="1" showInputMessage="1" showErrorMessage="1" xr:uid="{00000000-0002-0000-0500-000074000000}">
          <x14:formula1>
            <xm:f>DropDownMenu!$AK$2:$AK$2</xm:f>
          </x14:formula1>
          <xm:sqref>AN70:AN4975 AN2:AN47</xm:sqref>
        </x14:dataValidation>
        <x14:dataValidation type="list" allowBlank="1" showInputMessage="1" showErrorMessage="1" xr:uid="{00000000-0002-0000-0500-000075000000}">
          <x14:formula1>
            <xm:f>DropDownMenu!$AL$2:$AL$2</xm:f>
          </x14:formula1>
          <xm:sqref>AO70:AO4975 AO2:AO47</xm:sqref>
        </x14:dataValidation>
        <x14:dataValidation type="list" allowBlank="1" showInputMessage="1" showErrorMessage="1" xr:uid="{00000000-0002-0000-0500-000076000000}">
          <x14:formula1>
            <xm:f>DropDownMenu!$AM$2:$AM$5</xm:f>
          </x14:formula1>
          <xm:sqref>CS70:CS4975 CS2:CS47</xm:sqref>
        </x14:dataValidation>
        <x14:dataValidation type="list" allowBlank="1" showInputMessage="1" showErrorMessage="1" xr:uid="{00000000-0002-0000-0500-000077000000}">
          <x14:formula1>
            <xm:f>DropDownMenu!$AN$2:$AN$13</xm:f>
          </x14:formula1>
          <xm:sqref>AR70:AR4975 AR2:AR47</xm:sqref>
        </x14:dataValidation>
        <x14:dataValidation type="list" allowBlank="1" showInputMessage="1" showErrorMessage="1" xr:uid="{00000000-0002-0000-0500-000078000000}">
          <x14:formula1>
            <xm:f>DropDownMenu!$AO$2:$AO$40</xm:f>
          </x14:formula1>
          <xm:sqref>AS70:AS4975 AS2:AS47</xm:sqref>
        </x14:dataValidation>
        <x14:dataValidation type="list" allowBlank="1" showInputMessage="1" showErrorMessage="1" xr:uid="{00000000-0002-0000-0500-000079000000}">
          <x14:formula1>
            <xm:f>DropDownMenu!$AP$2:$AP$274</xm:f>
          </x14:formula1>
          <xm:sqref>AT70:AT4975 AT2:AT47</xm:sqref>
        </x14:dataValidation>
        <x14:dataValidation type="list" allowBlank="1" showInputMessage="1" showErrorMessage="1" xr:uid="{00000000-0002-0000-0500-00007A000000}">
          <x14:formula1>
            <xm:f>DropDownMenu!$AQ$2:$AQ$9</xm:f>
          </x14:formula1>
          <xm:sqref>BB70:BB4975 BB2:BB47</xm:sqref>
        </x14:dataValidation>
        <x14:dataValidation type="list" allowBlank="1" showInputMessage="1" showErrorMessage="1" xr:uid="{00000000-0002-0000-0500-00007B000000}">
          <x14:formula1>
            <xm:f>DropDownMenu!$AR$2:$AR$11</xm:f>
          </x14:formula1>
          <xm:sqref>BC70:BC4975 BC2:BC47</xm:sqref>
        </x14:dataValidation>
        <x14:dataValidation type="list" allowBlank="1" showInputMessage="1" showErrorMessage="1" xr:uid="{00000000-0002-0000-0500-00007C000000}">
          <x14:formula1>
            <xm:f>DropDownMenu!$AS$2:$AS$3</xm:f>
          </x14:formula1>
          <xm:sqref>BD70:BD4975 BD2:BD47</xm:sqref>
        </x14:dataValidation>
        <x14:dataValidation type="list" allowBlank="1" showInputMessage="1" showErrorMessage="1" xr:uid="{00000000-0002-0000-0500-00007D000000}">
          <x14:formula1>
            <xm:f>DropDownMenu!$AT$2:$AT$4</xm:f>
          </x14:formula1>
          <xm:sqref>BE70:BE4975 BE2:BE47</xm:sqref>
        </x14:dataValidation>
        <x14:dataValidation type="list" allowBlank="1" showInputMessage="1" showErrorMessage="1" xr:uid="{00000000-0002-0000-0500-00007E000000}">
          <x14:formula1>
            <xm:f>DropDownMenu!$AU$2:$AU$2</xm:f>
          </x14:formula1>
          <xm:sqref>BG70:BG4975 BG2:BG47</xm:sqref>
        </x14:dataValidation>
        <x14:dataValidation type="list" allowBlank="1" showInputMessage="1" showErrorMessage="1" xr:uid="{00000000-0002-0000-0500-00007F000000}">
          <x14:formula1>
            <xm:f>DropDownMenu!$AV$2:$AV$9</xm:f>
          </x14:formula1>
          <xm:sqref>BH70:BH4975 BH2:BH47</xm:sqref>
        </x14:dataValidation>
        <x14:dataValidation type="list" allowBlank="1" showInputMessage="1" showErrorMessage="1" xr:uid="{00000000-0002-0000-0500-000080000000}">
          <x14:formula1>
            <xm:f>DropDownMenu!$AW$2:$AW$81</xm:f>
          </x14:formula1>
          <xm:sqref>BI70:BI4975 BI2:BI47</xm:sqref>
        </x14:dataValidation>
        <x14:dataValidation type="list" allowBlank="1" showInputMessage="1" showErrorMessage="1" xr:uid="{00000000-0002-0000-0500-000081000000}">
          <x14:formula1>
            <xm:f>DropDownMenu!$AX$2:$AX$3</xm:f>
          </x14:formula1>
          <xm:sqref>BJ70:BJ4975 BJ2:BJ47</xm:sqref>
        </x14:dataValidation>
        <x14:dataValidation type="list" allowBlank="1" showInputMessage="1" showErrorMessage="1" xr:uid="{00000000-0002-0000-0500-000082000000}">
          <x14:formula1>
            <xm:f>DropDownMenu!$AY$2:$AY$7</xm:f>
          </x14:formula1>
          <xm:sqref>BK70:BK4975 BK2:BK47</xm:sqref>
        </x14:dataValidation>
        <x14:dataValidation type="list" allowBlank="1" showInputMessage="1" showErrorMessage="1" xr:uid="{00000000-0002-0000-0500-000083000000}">
          <x14:formula1>
            <xm:f>DropDownMenu!$AZ$2:$AZ$9</xm:f>
          </x14:formula1>
          <xm:sqref>BL70:BL4975 BL2:BL47</xm:sqref>
        </x14:dataValidation>
        <x14:dataValidation type="list" allowBlank="1" showInputMessage="1" showErrorMessage="1" xr:uid="{00000000-0002-0000-0500-000084000000}">
          <x14:formula1>
            <xm:f>DropDownMenu!$BA$2:$BA$9</xm:f>
          </x14:formula1>
          <xm:sqref>BM70:BM4975 BM2:BM47</xm:sqref>
        </x14:dataValidation>
        <x14:dataValidation type="list" allowBlank="1" showInputMessage="1" showErrorMessage="1" xr:uid="{00000000-0002-0000-0500-000085000000}">
          <x14:formula1>
            <xm:f>DropDownMenu!$BB$2:$BB$3</xm:f>
          </x14:formula1>
          <xm:sqref>BN70:BN4975 BN2:BN47</xm:sqref>
        </x14:dataValidation>
        <x14:dataValidation type="list" allowBlank="1" showInputMessage="1" showErrorMessage="1" xr:uid="{00000000-0002-0000-0500-000086000000}">
          <x14:formula1>
            <xm:f>DropDownMenu!$BC$2:$BC$2</xm:f>
          </x14:formula1>
          <xm:sqref>BO70:BO4975 BO2:BO47</xm:sqref>
        </x14:dataValidation>
        <x14:dataValidation type="list" allowBlank="1" showInputMessage="1" showErrorMessage="1" xr:uid="{00000000-0002-0000-0500-000087000000}">
          <x14:formula1>
            <xm:f>DropDownMenu!$BD$2:$BD$29</xm:f>
          </x14:formula1>
          <xm:sqref>BQ70:BQ4975 BQ2:BQ47</xm:sqref>
        </x14:dataValidation>
        <x14:dataValidation type="list" allowBlank="1" showInputMessage="1" showErrorMessage="1" xr:uid="{00000000-0002-0000-0500-000088000000}">
          <x14:formula1>
            <xm:f>DropDownMenu!$BE$2:$BE$2</xm:f>
          </x14:formula1>
          <xm:sqref>BT70:BT4975 BT2:BT47</xm:sqref>
        </x14:dataValidation>
        <x14:dataValidation type="list" allowBlank="1" showInputMessage="1" showErrorMessage="1" xr:uid="{00000000-0002-0000-0500-000089000000}">
          <x14:formula1>
            <xm:f>DropDownMenu!$BF$2:$BF$33</xm:f>
          </x14:formula1>
          <xm:sqref>BU70:BU4975 BU2:BU47</xm:sqref>
        </x14:dataValidation>
        <x14:dataValidation type="list" allowBlank="1" showInputMessage="1" showErrorMessage="1" xr:uid="{00000000-0002-0000-0500-00008A000000}">
          <x14:formula1>
            <xm:f>DropDownMenu!$BG$2:$BG$2</xm:f>
          </x14:formula1>
          <xm:sqref>BV70:BV4975 BV2:BV47</xm:sqref>
        </x14:dataValidation>
        <x14:dataValidation type="list" allowBlank="1" showInputMessage="1" showErrorMessage="1" xr:uid="{00000000-0002-0000-0500-00008B000000}">
          <x14:formula1>
            <xm:f>DropDownMenu!$BH$2:$BH$4</xm:f>
          </x14:formula1>
          <xm:sqref>AW70:AW4975 AW2:AW47</xm:sqref>
        </x14:dataValidation>
        <x14:dataValidation type="list" allowBlank="1" showInputMessage="1" showErrorMessage="1" xr:uid="{00000000-0002-0000-0500-00008C000000}">
          <x14:formula1>
            <xm:f>DropDownMenu!$BI$2:$BI$2</xm:f>
          </x14:formula1>
          <xm:sqref>BW70:BW4975 BW2:BW47</xm:sqref>
        </x14:dataValidation>
        <x14:dataValidation type="list" allowBlank="1" showInputMessage="1" showErrorMessage="1" xr:uid="{00000000-0002-0000-0500-00008D000000}">
          <x14:formula1>
            <xm:f>DropDownMenu!$BJ$2:$BJ$2</xm:f>
          </x14:formula1>
          <xm:sqref>BX70:BX4975 BX2:BX47</xm:sqref>
        </x14:dataValidation>
        <x14:dataValidation type="list" allowBlank="1" showInputMessage="1" showErrorMessage="1" xr:uid="{00000000-0002-0000-0500-00008E000000}">
          <x14:formula1>
            <xm:f>DropDownMenu!$BK$2:$BK$2</xm:f>
          </x14:formula1>
          <xm:sqref>BY70:BY4975 BY2:BY47</xm:sqref>
        </x14:dataValidation>
        <x14:dataValidation type="list" allowBlank="1" showInputMessage="1" showErrorMessage="1" xr:uid="{00000000-0002-0000-0500-00008F000000}">
          <x14:formula1>
            <xm:f>DropDownMenu!$BL$2:$BL$8</xm:f>
          </x14:formula1>
          <xm:sqref>BZ70:BZ4975 BZ2:BZ47</xm:sqref>
        </x14:dataValidation>
        <x14:dataValidation type="list" allowBlank="1" showInputMessage="1" showErrorMessage="1" xr:uid="{00000000-0002-0000-0500-000090000000}">
          <x14:formula1>
            <xm:f>DropDownMenu!$BM$2:$BM$8</xm:f>
          </x14:formula1>
          <xm:sqref>CA70:CA4975 CA2:CA47</xm:sqref>
        </x14:dataValidation>
        <x14:dataValidation type="list" allowBlank="1" showInputMessage="1" showErrorMessage="1" xr:uid="{00000000-0002-0000-0500-000091000000}">
          <x14:formula1>
            <xm:f>DropDownMenu!$BN$2:$BN$8</xm:f>
          </x14:formula1>
          <xm:sqref>CB70:CB4975 CB2:CB47</xm:sqref>
        </x14:dataValidation>
        <x14:dataValidation type="list" allowBlank="1" showInputMessage="1" showErrorMessage="1" xr:uid="{00000000-0002-0000-0500-000092000000}">
          <x14:formula1>
            <xm:f>DropDownMenu!$BO$2:$BO$6</xm:f>
          </x14:formula1>
          <xm:sqref>CC70:CC4975 CC2:CC47</xm:sqref>
        </x14:dataValidation>
        <x14:dataValidation type="list" allowBlank="1" showInputMessage="1" showErrorMessage="1" xr:uid="{00000000-0002-0000-0500-000093000000}">
          <x14:formula1>
            <xm:f>DropDownMenu!$BP$2:$BP$2</xm:f>
          </x14:formula1>
          <xm:sqref>CD70:CD4975 CD2:CD47</xm:sqref>
        </x14:dataValidation>
        <x14:dataValidation type="list" allowBlank="1" showInputMessage="1" showErrorMessage="1" xr:uid="{00000000-0002-0000-0500-000094000000}">
          <x14:formula1>
            <xm:f>DropDownMenu!$BQ$2:$BQ$2</xm:f>
          </x14:formula1>
          <xm:sqref>CE70:CE4975 CE2:CE47</xm:sqref>
        </x14:dataValidation>
        <x14:dataValidation type="list" allowBlank="1" showInputMessage="1" showErrorMessage="1" xr:uid="{00000000-0002-0000-0500-000095000000}">
          <x14:formula1>
            <xm:f>DropDownMenu!$BR$2:$BR$2</xm:f>
          </x14:formula1>
          <xm:sqref>CF70:CF4975 CF2:CF47</xm:sqref>
        </x14:dataValidation>
        <x14:dataValidation type="list" allowBlank="1" showInputMessage="1" showErrorMessage="1" xr:uid="{00000000-0002-0000-0500-000096000000}">
          <x14:formula1>
            <xm:f>DropDownMenu!$BS$2:$BS$2</xm:f>
          </x14:formula1>
          <xm:sqref>CG70:CG4975 CG2:CG47</xm:sqref>
        </x14:dataValidation>
        <x14:dataValidation type="list" allowBlank="1" showInputMessage="1" showErrorMessage="1" xr:uid="{00000000-0002-0000-0500-000097000000}">
          <x14:formula1>
            <xm:f>DropDownMenu!$BT$2:$BT$2</xm:f>
          </x14:formula1>
          <xm:sqref>CH70:CH4975 CH2:CH47</xm:sqref>
        </x14:dataValidation>
        <x14:dataValidation type="list" allowBlank="1" showInputMessage="1" showErrorMessage="1" xr:uid="{00000000-0002-0000-0500-000098000000}">
          <x14:formula1>
            <xm:f>DropDownMenu!$BU$2:$BU$2</xm:f>
          </x14:formula1>
          <xm:sqref>CN70:CN4975 CN2:CN47</xm:sqref>
        </x14:dataValidation>
        <x14:dataValidation type="list" allowBlank="1" showInputMessage="1" showErrorMessage="1" xr:uid="{00000000-0002-0000-0500-000099000000}">
          <x14:formula1>
            <xm:f>DropDownMenu!$BV$2:$BV$2</xm:f>
          </x14:formula1>
          <xm:sqref>CO70:CO4975 CO2:CO47</xm:sqref>
        </x14:dataValidation>
        <x14:dataValidation type="list" allowBlank="1" showInputMessage="1" showErrorMessage="1" xr:uid="{00000000-0002-0000-0500-00009A000000}">
          <x14:formula1>
            <xm:f>DropDownMenu!$BW$2:$BW$2</xm:f>
          </x14:formula1>
          <xm:sqref>CQ70:CQ4975 CQ2:CQ47</xm:sqref>
        </x14:dataValidation>
        <x14:dataValidation type="list" allowBlank="1" showInputMessage="1" showErrorMessage="1" xr:uid="{00000000-0002-0000-0500-00009B000000}">
          <x14:formula1>
            <xm:f>DropDownMenu!$BX$2:$BX$2</xm:f>
          </x14:formula1>
          <xm:sqref>CT70:CT4975 CT2:CT47</xm:sqref>
        </x14:dataValidation>
        <x14:dataValidation type="list" allowBlank="1" showInputMessage="1" showErrorMessage="1" xr:uid="{00000000-0002-0000-0500-00009C000000}">
          <x14:formula1>
            <xm:f>DropDownMenu!$BY$2:$BY$77</xm:f>
          </x14:formula1>
          <xm:sqref>AU70:AU4975 AU2:AU47</xm:sqref>
        </x14:dataValidation>
        <x14:dataValidation type="list" allowBlank="1" showInputMessage="1" showErrorMessage="1" xr:uid="{00000000-0002-0000-0500-00009D000000}">
          <x14:formula1>
            <xm:f>DropDownMenu!$BZ$2:$BZ$3</xm:f>
          </x14:formula1>
          <xm:sqref>CV70:CV4975 CV2:CV47</xm:sqref>
        </x14:dataValidation>
        <x14:dataValidation type="list" allowBlank="1" showInputMessage="1" showErrorMessage="1" xr:uid="{00000000-0002-0000-0500-00009E000000}">
          <x14:formula1>
            <xm:f>DropDownMenu!$CA$2:$CA$77</xm:f>
          </x14:formula1>
          <xm:sqref>AV70:AV4975 AV2:AV47</xm:sqref>
        </x14:dataValidation>
        <x14:dataValidation type="list" allowBlank="1" showInputMessage="1" showErrorMessage="1" xr:uid="{00000000-0002-0000-0500-00009F000000}">
          <x14:formula1>
            <xm:f>DropDownMenu!$CB$2:$CB$3</xm:f>
          </x14:formula1>
          <xm:sqref>AX70:AX4975 AX2:AX47</xm:sqref>
        </x14:dataValidation>
        <x14:dataValidation type="list" allowBlank="1" showInputMessage="1" showErrorMessage="1" xr:uid="{00000000-0002-0000-0500-0000A0000000}">
          <x14:formula1>
            <xm:f>DropDownMenu!$CC$2:$CC$3</xm:f>
          </x14:formula1>
          <xm:sqref>AY70:AY4975 AY2:AY47</xm:sqref>
        </x14:dataValidation>
        <x14:dataValidation type="list" allowBlank="1" showInputMessage="1" showErrorMessage="1" xr:uid="{00000000-0002-0000-0500-0000A1000000}">
          <x14:formula1>
            <xm:f>DropDownMenu!$CD$2:$CD$10</xm:f>
          </x14:formula1>
          <xm:sqref>BA70:BA4975 BA2:BA47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applyStyles="1" summaryRight="0"/>
  </sheetPr>
  <dimension ref="A1:CV93"/>
  <sheetViews>
    <sheetView workbookViewId="0">
      <pane xSplit="12" ySplit="1" topLeftCell="AG5" activePane="bottomRight" state="frozen"/>
      <selection pane="topRight"/>
      <selection pane="bottomLeft"/>
      <selection pane="bottomRight" activeCell="AT16" sqref="AT16"/>
    </sheetView>
  </sheetViews>
  <sheetFormatPr baseColWidth="10" defaultColWidth="8.83203125" defaultRowHeight="15" outlineLevelCol="1" x14ac:dyDescent="0.2"/>
  <cols>
    <col min="1" max="6" width="4" customWidth="1"/>
    <col min="7" max="7" width="40" customWidth="1"/>
    <col min="8" max="8" width="9" customWidth="1"/>
    <col min="9" max="10" width="6" customWidth="1"/>
    <col min="11" max="12" width="5" customWidth="1"/>
    <col min="13" max="13" width="4" customWidth="1"/>
    <col min="14" max="14" width="44" customWidth="1"/>
    <col min="15" max="15" width="32" customWidth="1"/>
    <col min="16" max="16" width="37" customWidth="1"/>
    <col min="17" max="17" width="5" customWidth="1" outlineLevel="1"/>
    <col min="18" max="20" width="4" customWidth="1" outlineLevel="1"/>
    <col min="21" max="21" width="7" customWidth="1" outlineLevel="1"/>
    <col min="22" max="22" width="4" customWidth="1" outlineLevel="1"/>
    <col min="23" max="23" width="6" customWidth="1"/>
    <col min="24" max="24" width="20" customWidth="1" outlineLevel="1"/>
    <col min="25" max="25" width="7" customWidth="1" outlineLevel="1"/>
    <col min="26" max="26" width="6" customWidth="1" outlineLevel="1"/>
    <col min="27" max="27" width="10" customWidth="1"/>
    <col min="28" max="34" width="10" customWidth="1" outlineLevel="1"/>
    <col min="35" max="35" width="6" customWidth="1"/>
    <col min="36" max="36" width="6" customWidth="1" outlineLevel="1"/>
    <col min="37" max="43" width="4" customWidth="1" outlineLevel="1"/>
    <col min="44" max="44" width="6" customWidth="1" outlineLevel="1"/>
    <col min="45" max="45" width="25" customWidth="1" outlineLevel="1"/>
    <col min="46" max="47" width="20" customWidth="1" outlineLevel="1"/>
    <col min="48" max="48" width="10" customWidth="1" outlineLevel="1"/>
    <col min="49" max="49" width="5" customWidth="1" outlineLevel="1"/>
    <col min="50" max="50" width="4" customWidth="1"/>
    <col min="51" max="52" width="4" customWidth="1" outlineLevel="1"/>
    <col min="53" max="53" width="20" customWidth="1" outlineLevel="1"/>
    <col min="54" max="54" width="4" customWidth="1"/>
    <col min="55" max="59" width="4" customWidth="1" outlineLevel="1"/>
    <col min="60" max="60" width="6" customWidth="1" outlineLevel="1"/>
    <col min="61" max="61" width="11" customWidth="1" outlineLevel="1"/>
    <col min="62" max="66" width="4" customWidth="1" outlineLevel="1"/>
    <col min="67" max="67" width="7" customWidth="1" outlineLevel="1"/>
    <col min="68" max="68" width="4" customWidth="1" outlineLevel="1"/>
    <col min="69" max="69" width="21" customWidth="1" outlineLevel="1"/>
    <col min="70" max="96" width="4" customWidth="1" outlineLevel="1"/>
    <col min="97" max="97" width="6" customWidth="1" outlineLevel="1"/>
    <col min="98" max="98" width="8" customWidth="1" outlineLevel="1"/>
    <col min="99" max="100" width="4" customWidth="1" outlineLevel="1"/>
  </cols>
  <sheetData>
    <row r="1" spans="1:100" ht="15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 t="s">
        <v>22</v>
      </c>
      <c r="X1" s="1" t="s">
        <v>23</v>
      </c>
      <c r="Y1" s="1" t="s">
        <v>24</v>
      </c>
      <c r="Z1" s="1" t="s">
        <v>25</v>
      </c>
      <c r="AA1" s="3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</row>
    <row r="2" spans="1:100" x14ac:dyDescent="0.2">
      <c r="A2" s="45" t="b">
        <v>0</v>
      </c>
      <c r="B2" s="45" t="b">
        <v>0</v>
      </c>
      <c r="C2" s="45" t="b">
        <v>1</v>
      </c>
      <c r="D2" s="45" t="b">
        <v>0</v>
      </c>
      <c r="E2" s="45" t="b">
        <v>0</v>
      </c>
      <c r="F2" s="45" t="b">
        <v>0</v>
      </c>
      <c r="G2" s="46" t="s">
        <v>1105</v>
      </c>
      <c r="H2" s="4" t="s">
        <v>1106</v>
      </c>
      <c r="I2" s="4" t="s">
        <v>1107</v>
      </c>
      <c r="J2" s="4" t="s">
        <v>1108</v>
      </c>
      <c r="K2" s="4" t="s">
        <v>520</v>
      </c>
      <c r="L2" s="4" t="s">
        <v>137</v>
      </c>
      <c r="M2" s="4"/>
      <c r="N2" s="4" t="s">
        <v>1109</v>
      </c>
      <c r="O2" s="4"/>
      <c r="P2" s="4"/>
      <c r="Q2" s="4"/>
      <c r="R2" s="4" t="s">
        <v>129</v>
      </c>
      <c r="S2" s="4"/>
      <c r="T2" s="4"/>
      <c r="U2" s="4"/>
      <c r="V2" s="4"/>
      <c r="W2" s="4" t="s">
        <v>150</v>
      </c>
      <c r="X2" s="4" t="s">
        <v>150</v>
      </c>
      <c r="Y2" s="4" t="s">
        <v>1110</v>
      </c>
      <c r="Z2" s="4" t="s">
        <v>142</v>
      </c>
      <c r="AA2" s="4" t="s">
        <v>115</v>
      </c>
      <c r="AB2" s="4"/>
      <c r="AC2" s="4"/>
      <c r="AD2" s="4" t="s">
        <v>115</v>
      </c>
      <c r="AE2" s="4" t="s">
        <v>116</v>
      </c>
      <c r="AF2" s="4"/>
      <c r="AG2" s="4"/>
      <c r="AH2" s="4" t="s">
        <v>116</v>
      </c>
      <c r="AI2" s="44" t="s">
        <v>1111</v>
      </c>
      <c r="AJ2" s="44" t="s">
        <v>1112</v>
      </c>
      <c r="AK2" s="4"/>
      <c r="AL2" s="4"/>
      <c r="AM2" s="4" t="s">
        <v>211</v>
      </c>
      <c r="AN2" s="4"/>
      <c r="AO2" s="4"/>
      <c r="AP2" s="4"/>
      <c r="AQ2" s="4"/>
      <c r="AR2" s="4" t="s">
        <v>1113</v>
      </c>
      <c r="AS2" s="4" t="s">
        <v>144</v>
      </c>
      <c r="AT2" s="4" t="s">
        <v>557</v>
      </c>
      <c r="AU2" s="5" t="str">
        <f>IF($AT2="","",IFERROR(INDEX(InstructorMap!$B:$B, MATCH($AT2, InstructorMap!$A:$A, 0)),""))</f>
        <v>kenley@andrews.edu</v>
      </c>
      <c r="AV2" s="5" t="str">
        <f>IF($AT2="","",IFERROR(INDEX(InstructorMap!$C:$C, MATCH($AT2, InstructorMap!$A:$A, 0)),""))</f>
        <v>000069431</v>
      </c>
      <c r="AW2" s="4" t="s">
        <v>121</v>
      </c>
      <c r="AX2" s="4"/>
      <c r="AY2" s="4"/>
      <c r="AZ2" s="4"/>
      <c r="BA2" s="4"/>
      <c r="BB2" s="4"/>
      <c r="BC2" s="4"/>
      <c r="BD2" s="4"/>
      <c r="BE2" s="4"/>
      <c r="BF2" s="4"/>
      <c r="BG2" s="4"/>
      <c r="BH2" s="4" t="s">
        <v>1108</v>
      </c>
      <c r="BI2" s="4" t="s">
        <v>124</v>
      </c>
      <c r="BJ2" s="4" t="s">
        <v>125</v>
      </c>
      <c r="BK2" s="4"/>
      <c r="BL2" s="4" t="s">
        <v>125</v>
      </c>
      <c r="BM2" s="4"/>
      <c r="BN2" s="4"/>
      <c r="BO2" s="4" t="s">
        <v>127</v>
      </c>
      <c r="BP2" s="4"/>
      <c r="BQ2" s="4" t="s">
        <v>1114</v>
      </c>
      <c r="BR2" s="4"/>
      <c r="BS2" s="4"/>
      <c r="BT2" s="4" t="s">
        <v>128</v>
      </c>
      <c r="BU2" s="4" t="s">
        <v>129</v>
      </c>
      <c r="BV2" s="4" t="s">
        <v>145</v>
      </c>
      <c r="BW2" s="4" t="s">
        <v>130</v>
      </c>
      <c r="BX2" s="4"/>
      <c r="BY2" s="4"/>
      <c r="BZ2" s="4"/>
      <c r="CA2" s="4"/>
      <c r="CB2" s="4"/>
      <c r="CC2" s="4"/>
      <c r="CD2" s="4"/>
      <c r="CE2" s="4"/>
      <c r="CF2" s="4" t="s">
        <v>130</v>
      </c>
      <c r="CG2" s="4"/>
      <c r="CH2" s="4" t="s">
        <v>131</v>
      </c>
      <c r="CI2" s="4"/>
      <c r="CJ2" s="4"/>
      <c r="CK2" s="4"/>
      <c r="CL2" s="4"/>
      <c r="CM2" s="4"/>
      <c r="CN2" s="4"/>
      <c r="CO2" s="4"/>
      <c r="CP2" s="4"/>
      <c r="CQ2" s="4"/>
      <c r="CR2" s="4"/>
      <c r="CS2" s="4" t="s">
        <v>146</v>
      </c>
      <c r="CT2" s="4" t="s">
        <v>133</v>
      </c>
      <c r="CU2" s="4" t="s">
        <v>134</v>
      </c>
      <c r="CV2" s="4"/>
    </row>
    <row r="3" spans="1:100" x14ac:dyDescent="0.2">
      <c r="A3" s="45" t="b">
        <v>0</v>
      </c>
      <c r="B3" s="45" t="b">
        <v>0</v>
      </c>
      <c r="C3" s="45" t="b">
        <v>1</v>
      </c>
      <c r="D3" s="45" t="b">
        <v>0</v>
      </c>
      <c r="E3" s="45" t="b">
        <v>0</v>
      </c>
      <c r="F3" s="45" t="b">
        <v>0</v>
      </c>
      <c r="G3" s="46" t="s">
        <v>1115</v>
      </c>
      <c r="H3" s="4" t="s">
        <v>1116</v>
      </c>
      <c r="I3" s="4" t="s">
        <v>1117</v>
      </c>
      <c r="J3" s="4" t="s">
        <v>1108</v>
      </c>
      <c r="K3" s="4" t="s">
        <v>785</v>
      </c>
      <c r="L3" s="4" t="s">
        <v>137</v>
      </c>
      <c r="M3" s="4"/>
      <c r="N3" s="4" t="s">
        <v>1118</v>
      </c>
      <c r="O3" s="4"/>
      <c r="P3" s="4"/>
      <c r="Q3" s="4" t="s">
        <v>1119</v>
      </c>
      <c r="R3" s="4" t="s">
        <v>129</v>
      </c>
      <c r="S3" s="4"/>
      <c r="T3" s="4"/>
      <c r="U3" s="4"/>
      <c r="V3" s="4"/>
      <c r="W3" s="4" t="s">
        <v>150</v>
      </c>
      <c r="X3" s="4" t="s">
        <v>150</v>
      </c>
      <c r="Y3" s="4" t="s">
        <v>132</v>
      </c>
      <c r="Z3" s="4" t="s">
        <v>142</v>
      </c>
      <c r="AA3" s="4" t="s">
        <v>115</v>
      </c>
      <c r="AB3" s="4"/>
      <c r="AC3" s="4"/>
      <c r="AD3" s="4" t="s">
        <v>115</v>
      </c>
      <c r="AE3" s="4" t="s">
        <v>116</v>
      </c>
      <c r="AF3" s="4"/>
      <c r="AG3" s="4"/>
      <c r="AH3" s="4" t="s">
        <v>116</v>
      </c>
      <c r="AI3" s="44" t="s">
        <v>175</v>
      </c>
      <c r="AJ3" s="44" t="s">
        <v>176</v>
      </c>
      <c r="AK3" s="4"/>
      <c r="AL3" s="4"/>
      <c r="AM3" s="4"/>
      <c r="AN3" s="4"/>
      <c r="AO3" s="44" t="s">
        <v>221</v>
      </c>
      <c r="AP3" s="4"/>
      <c r="AQ3" s="4"/>
      <c r="AR3" s="4" t="s">
        <v>1113</v>
      </c>
      <c r="AS3" s="4" t="s">
        <v>144</v>
      </c>
      <c r="AT3" s="44" t="s">
        <v>546</v>
      </c>
      <c r="AU3" s="47" t="str">
        <f>IF($AT3="","",IFERROR(INDEX(InstructorMap!$B:$B, MATCH($AT3, InstructorMap!$A:$A, 0)),""))</f>
        <v>royg@andrews.edu</v>
      </c>
      <c r="AV3" s="47" t="str">
        <f>IF($AT3="","",IFERROR(INDEX(InstructorMap!$C:$C, MATCH($AT3, InstructorMap!$A:$A, 0)),""))</f>
        <v>000048477</v>
      </c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 t="s">
        <v>1108</v>
      </c>
      <c r="BI3" s="4" t="s">
        <v>124</v>
      </c>
      <c r="BJ3" s="4" t="s">
        <v>125</v>
      </c>
      <c r="BK3" s="4"/>
      <c r="BL3" s="4" t="s">
        <v>125</v>
      </c>
      <c r="BM3" s="4"/>
      <c r="BN3" s="4"/>
      <c r="BO3" s="4" t="s">
        <v>127</v>
      </c>
      <c r="BP3" s="4"/>
      <c r="BQ3" s="4"/>
      <c r="BR3" s="4"/>
      <c r="BS3" s="4"/>
      <c r="BT3" s="4" t="s">
        <v>128</v>
      </c>
      <c r="BU3" s="4" t="s">
        <v>129</v>
      </c>
      <c r="BV3" s="4" t="s">
        <v>129</v>
      </c>
      <c r="BW3" s="4"/>
      <c r="BX3" s="4"/>
      <c r="BY3" s="4"/>
      <c r="BZ3" s="4"/>
      <c r="CA3" s="4"/>
      <c r="CB3" s="4"/>
      <c r="CC3" s="4"/>
      <c r="CD3" s="4"/>
      <c r="CE3" s="4"/>
      <c r="CF3" s="4" t="s">
        <v>130</v>
      </c>
      <c r="CG3" s="4"/>
      <c r="CH3" s="4" t="s">
        <v>131</v>
      </c>
      <c r="CI3" s="4"/>
      <c r="CJ3" s="4"/>
      <c r="CK3" s="4"/>
      <c r="CL3" s="4"/>
      <c r="CM3" s="4"/>
      <c r="CN3" s="4"/>
      <c r="CO3" s="4"/>
      <c r="CP3" s="4"/>
      <c r="CQ3" s="4"/>
      <c r="CR3" s="4"/>
      <c r="CS3" s="4" t="s">
        <v>146</v>
      </c>
      <c r="CT3" s="4" t="s">
        <v>133</v>
      </c>
      <c r="CU3" s="4" t="s">
        <v>134</v>
      </c>
      <c r="CV3" s="4"/>
    </row>
    <row r="4" spans="1:100" x14ac:dyDescent="0.2">
      <c r="A4" s="45" t="b">
        <v>0</v>
      </c>
      <c r="B4" s="45" t="b">
        <v>0</v>
      </c>
      <c r="C4" s="45" t="b">
        <v>0</v>
      </c>
      <c r="D4" s="45" t="b">
        <v>0</v>
      </c>
      <c r="E4" s="45" t="b">
        <v>0</v>
      </c>
      <c r="F4" s="45" t="b">
        <v>0</v>
      </c>
      <c r="G4" s="46" t="s">
        <v>1115</v>
      </c>
      <c r="H4" s="4" t="s">
        <v>1120</v>
      </c>
      <c r="I4" s="4" t="s">
        <v>1121</v>
      </c>
      <c r="J4" s="4" t="s">
        <v>1108</v>
      </c>
      <c r="K4" s="4" t="s">
        <v>785</v>
      </c>
      <c r="L4" s="4" t="s">
        <v>105</v>
      </c>
      <c r="M4" s="4"/>
      <c r="N4" s="4" t="s">
        <v>1122</v>
      </c>
      <c r="O4" s="4"/>
      <c r="P4" s="4"/>
      <c r="Q4" s="4"/>
      <c r="R4" s="4" t="s">
        <v>108</v>
      </c>
      <c r="S4" s="4"/>
      <c r="T4" s="4"/>
      <c r="U4" s="4" t="s">
        <v>110</v>
      </c>
      <c r="V4" s="4"/>
      <c r="W4" s="4" t="s">
        <v>150</v>
      </c>
      <c r="X4" s="4"/>
      <c r="Y4" s="4" t="s">
        <v>132</v>
      </c>
      <c r="Z4" s="4" t="s">
        <v>114</v>
      </c>
      <c r="AA4" s="4" t="s">
        <v>115</v>
      </c>
      <c r="AB4" s="4"/>
      <c r="AC4" s="4"/>
      <c r="AD4" s="4" t="s">
        <v>115</v>
      </c>
      <c r="AE4" s="4" t="s">
        <v>116</v>
      </c>
      <c r="AF4" s="4"/>
      <c r="AG4" s="4"/>
      <c r="AH4" s="4" t="s">
        <v>116</v>
      </c>
      <c r="AI4" s="44" t="s">
        <v>175</v>
      </c>
      <c r="AJ4" s="44" t="s">
        <v>176</v>
      </c>
      <c r="AK4" s="4"/>
      <c r="AL4" s="4"/>
      <c r="AM4" s="4"/>
      <c r="AN4" s="4"/>
      <c r="AO4" s="44" t="s">
        <v>221</v>
      </c>
      <c r="AP4" s="4"/>
      <c r="AQ4" s="4"/>
      <c r="AR4" s="4"/>
      <c r="AS4" s="4"/>
      <c r="AT4" s="44" t="s">
        <v>546</v>
      </c>
      <c r="AU4" s="47" t="str">
        <f>IF($AT4="","",IFERROR(INDEX(InstructorMap!$B:$B, MATCH($AT4, InstructorMap!$A:$A, 0)),""))</f>
        <v>royg@andrews.edu</v>
      </c>
      <c r="AV4" s="47" t="str">
        <f>IF($AT4="","",IFERROR(INDEX(InstructorMap!$C:$C, MATCH($AT4, InstructorMap!$A:$A, 0)),""))</f>
        <v>000048477</v>
      </c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 t="s">
        <v>351</v>
      </c>
      <c r="BI4" s="4" t="s">
        <v>124</v>
      </c>
      <c r="BJ4" s="4" t="s">
        <v>125</v>
      </c>
      <c r="BK4" s="4"/>
      <c r="BL4" s="4" t="s">
        <v>126</v>
      </c>
      <c r="BM4" s="4"/>
      <c r="BN4" s="4"/>
      <c r="BO4" s="4" t="s">
        <v>127</v>
      </c>
      <c r="BP4" s="4"/>
      <c r="BQ4" s="4"/>
      <c r="BR4" s="4"/>
      <c r="BS4" s="4"/>
      <c r="BT4" s="4" t="s">
        <v>128</v>
      </c>
      <c r="BU4" s="4" t="s">
        <v>129</v>
      </c>
      <c r="BV4" s="4" t="s">
        <v>129</v>
      </c>
      <c r="BW4" s="4"/>
      <c r="BX4" s="4"/>
      <c r="BY4" s="4"/>
      <c r="BZ4" s="4"/>
      <c r="CA4" s="4"/>
      <c r="CB4" s="4"/>
      <c r="CC4" s="4"/>
      <c r="CD4" s="4"/>
      <c r="CE4" s="4"/>
      <c r="CF4" s="4" t="s">
        <v>130</v>
      </c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 t="s">
        <v>132</v>
      </c>
      <c r="CT4" s="4" t="s">
        <v>133</v>
      </c>
      <c r="CU4" s="4" t="s">
        <v>134</v>
      </c>
      <c r="CV4" s="4"/>
    </row>
    <row r="5" spans="1:100" x14ac:dyDescent="0.2">
      <c r="A5" s="26" t="b">
        <v>0</v>
      </c>
      <c r="B5" s="26" t="b">
        <v>0</v>
      </c>
      <c r="C5" s="26" t="b">
        <v>0</v>
      </c>
      <c r="D5" s="26" t="b">
        <v>0</v>
      </c>
      <c r="E5" s="26" t="b">
        <v>0</v>
      </c>
      <c r="F5" s="26" t="b">
        <v>0</v>
      </c>
      <c r="G5" s="27"/>
      <c r="H5" s="4" t="s">
        <v>1123</v>
      </c>
      <c r="I5" s="4" t="s">
        <v>1124</v>
      </c>
      <c r="J5" s="4" t="s">
        <v>1108</v>
      </c>
      <c r="K5" s="4" t="s">
        <v>1125</v>
      </c>
      <c r="L5" s="4" t="s">
        <v>148</v>
      </c>
      <c r="M5" s="4"/>
      <c r="N5" s="4" t="s">
        <v>1126</v>
      </c>
      <c r="O5" s="4"/>
      <c r="P5" s="4"/>
      <c r="Q5" s="4"/>
      <c r="R5" s="4" t="s">
        <v>108</v>
      </c>
      <c r="S5" s="4"/>
      <c r="T5" s="4"/>
      <c r="U5" s="4" t="s">
        <v>149</v>
      </c>
      <c r="V5" s="4"/>
      <c r="W5" s="4" t="s">
        <v>150</v>
      </c>
      <c r="X5" s="4" t="s">
        <v>150</v>
      </c>
      <c r="Y5" s="4" t="s">
        <v>113</v>
      </c>
      <c r="Z5" s="4" t="s">
        <v>114</v>
      </c>
      <c r="AA5" s="4" t="s">
        <v>115</v>
      </c>
      <c r="AB5" s="4"/>
      <c r="AC5" s="4"/>
      <c r="AD5" s="4"/>
      <c r="AE5" s="4"/>
      <c r="AF5" s="4"/>
      <c r="AG5" s="4"/>
      <c r="AH5" s="4" t="s">
        <v>116</v>
      </c>
      <c r="AI5" s="10" t="s">
        <v>147</v>
      </c>
      <c r="AJ5" s="10" t="s">
        <v>147</v>
      </c>
      <c r="AK5" s="4"/>
      <c r="AL5" s="4"/>
      <c r="AM5" s="4"/>
      <c r="AN5" s="4"/>
      <c r="AO5" s="4"/>
      <c r="AP5" s="4"/>
      <c r="AQ5" s="4"/>
      <c r="AR5" s="4"/>
      <c r="AS5" s="4"/>
      <c r="AT5" s="4" t="s">
        <v>196</v>
      </c>
      <c r="AU5" s="5" t="str">
        <f>IF($AT5="","",IFERROR(INDEX(InstructorMap!$B:$B, MATCH($AT5, InstructorMap!$A:$A, 0)),""))</f>
        <v/>
      </c>
      <c r="AV5" s="5" t="str">
        <f>IF($AT5="","",IFERROR(INDEX(InstructorMap!$C:$C, MATCH($AT5, InstructorMap!$A:$A, 0)),""))</f>
        <v/>
      </c>
      <c r="AW5" s="4" t="s">
        <v>121</v>
      </c>
      <c r="AX5" s="4"/>
      <c r="AY5" s="4"/>
      <c r="AZ5" s="4"/>
      <c r="BA5" s="4"/>
      <c r="BB5" s="4"/>
      <c r="BC5" s="4"/>
      <c r="BD5" s="4"/>
      <c r="BE5" s="4"/>
      <c r="BF5" s="4"/>
      <c r="BG5" s="4"/>
      <c r="BH5" s="4" t="s">
        <v>1108</v>
      </c>
      <c r="BI5" s="4" t="s">
        <v>124</v>
      </c>
      <c r="BJ5" s="4" t="s">
        <v>125</v>
      </c>
      <c r="BK5" s="4"/>
      <c r="BL5" s="4" t="s">
        <v>126</v>
      </c>
      <c r="BM5" s="4"/>
      <c r="BN5" s="4"/>
      <c r="BO5" s="4" t="s">
        <v>127</v>
      </c>
      <c r="BP5" s="4"/>
      <c r="BQ5" s="4"/>
      <c r="BR5" s="4"/>
      <c r="BS5" s="4"/>
      <c r="BT5" s="4" t="s">
        <v>128</v>
      </c>
      <c r="BU5" s="4" t="s">
        <v>129</v>
      </c>
      <c r="BV5" s="4" t="s">
        <v>129</v>
      </c>
      <c r="BW5" s="4" t="s">
        <v>130</v>
      </c>
      <c r="BX5" s="4"/>
      <c r="BY5" s="4"/>
      <c r="BZ5" s="4"/>
      <c r="CA5" s="4"/>
      <c r="CB5" s="4"/>
      <c r="CC5" s="4"/>
      <c r="CD5" s="4"/>
      <c r="CE5" s="4"/>
      <c r="CF5" s="4" t="s">
        <v>130</v>
      </c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10" t="s">
        <v>147</v>
      </c>
      <c r="CT5" s="4" t="s">
        <v>133</v>
      </c>
      <c r="CU5" s="4" t="s">
        <v>134</v>
      </c>
      <c r="CV5" s="4"/>
    </row>
    <row r="6" spans="1:100" x14ac:dyDescent="0.2">
      <c r="A6" s="45" t="b">
        <v>0</v>
      </c>
      <c r="B6" s="45" t="b">
        <v>0</v>
      </c>
      <c r="C6" s="45" t="b">
        <v>1</v>
      </c>
      <c r="D6" s="45" t="b">
        <v>0</v>
      </c>
      <c r="E6" s="45" t="b">
        <v>0</v>
      </c>
      <c r="F6" s="45" t="b">
        <v>0</v>
      </c>
      <c r="G6" s="46" t="s">
        <v>1127</v>
      </c>
      <c r="H6" s="4" t="s">
        <v>1128</v>
      </c>
      <c r="I6" s="4" t="s">
        <v>981</v>
      </c>
      <c r="J6" s="4" t="s">
        <v>1108</v>
      </c>
      <c r="K6" s="4" t="s">
        <v>1129</v>
      </c>
      <c r="L6" s="4" t="s">
        <v>137</v>
      </c>
      <c r="M6" s="4"/>
      <c r="N6" s="4" t="s">
        <v>1130</v>
      </c>
      <c r="O6" s="4"/>
      <c r="P6" s="4"/>
      <c r="Q6" s="4" t="s">
        <v>1131</v>
      </c>
      <c r="R6" s="4" t="s">
        <v>129</v>
      </c>
      <c r="S6" s="4"/>
      <c r="T6" s="4"/>
      <c r="U6" s="4"/>
      <c r="V6" s="4"/>
      <c r="W6" s="4" t="s">
        <v>112</v>
      </c>
      <c r="X6" s="4" t="s">
        <v>112</v>
      </c>
      <c r="Y6" s="59" t="s">
        <v>128</v>
      </c>
      <c r="Z6" s="4" t="s">
        <v>142</v>
      </c>
      <c r="AA6" s="4" t="s">
        <v>115</v>
      </c>
      <c r="AB6" s="4"/>
      <c r="AC6" s="4"/>
      <c r="AD6" s="4" t="s">
        <v>115</v>
      </c>
      <c r="AE6" s="4" t="s">
        <v>116</v>
      </c>
      <c r="AF6" s="4"/>
      <c r="AG6" s="4"/>
      <c r="AH6" s="4" t="s">
        <v>116</v>
      </c>
      <c r="AI6" s="4" t="s">
        <v>357</v>
      </c>
      <c r="AJ6" s="4" t="s">
        <v>358</v>
      </c>
      <c r="AK6" s="4"/>
      <c r="AL6" s="4"/>
      <c r="AM6" s="4"/>
      <c r="AN6" s="4" t="s">
        <v>177</v>
      </c>
      <c r="AO6" s="4"/>
      <c r="AP6" s="4"/>
      <c r="AQ6" s="4"/>
      <c r="AR6" s="4" t="s">
        <v>195</v>
      </c>
      <c r="AS6" s="4" t="s">
        <v>144</v>
      </c>
      <c r="AT6" s="4" t="s">
        <v>233</v>
      </c>
      <c r="AU6" s="5" t="str">
        <f>IF($AT6="","",IFERROR(INDEX(InstructorMap!$B:$B, MATCH($AT6, InstructorMap!$A:$A, 0)),""))</f>
        <v>wdavid@andrews.edu</v>
      </c>
      <c r="AV6" s="5" t="str">
        <f>IF($AT6="","",IFERROR(INDEX(InstructorMap!$C:$C, MATCH($AT6, InstructorMap!$A:$A, 0)),""))</f>
        <v>000124996</v>
      </c>
      <c r="AW6" s="4" t="s">
        <v>121</v>
      </c>
      <c r="AX6" s="4"/>
      <c r="AY6" s="4"/>
      <c r="AZ6" s="4"/>
      <c r="BA6" s="4"/>
      <c r="BB6" s="4"/>
      <c r="BC6" s="4"/>
      <c r="BD6" s="4"/>
      <c r="BE6" s="4"/>
      <c r="BF6" s="4"/>
      <c r="BG6" s="4"/>
      <c r="BH6" s="4" t="s">
        <v>1108</v>
      </c>
      <c r="BI6" s="4" t="s">
        <v>124</v>
      </c>
      <c r="BJ6" s="4" t="s">
        <v>125</v>
      </c>
      <c r="BK6" s="4"/>
      <c r="BL6" s="4" t="s">
        <v>177</v>
      </c>
      <c r="BM6" s="4"/>
      <c r="BN6" s="4"/>
      <c r="BO6" s="4" t="s">
        <v>127</v>
      </c>
      <c r="BP6" s="4"/>
      <c r="BQ6" s="4" t="s">
        <v>1132</v>
      </c>
      <c r="BR6" s="4"/>
      <c r="BS6" s="4"/>
      <c r="BT6" s="4" t="s">
        <v>128</v>
      </c>
      <c r="BU6" s="4" t="s">
        <v>129</v>
      </c>
      <c r="BV6" s="4" t="s">
        <v>145</v>
      </c>
      <c r="BW6" s="4" t="s">
        <v>130</v>
      </c>
      <c r="BX6" s="4"/>
      <c r="BY6" s="4"/>
      <c r="BZ6" s="4"/>
      <c r="CA6" s="4"/>
      <c r="CB6" s="4"/>
      <c r="CC6" s="4"/>
      <c r="CD6" s="4"/>
      <c r="CE6" s="4"/>
      <c r="CF6" s="4" t="s">
        <v>130</v>
      </c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 t="s">
        <v>146</v>
      </c>
      <c r="CT6" s="4" t="s">
        <v>133</v>
      </c>
      <c r="CU6" s="4" t="s">
        <v>134</v>
      </c>
      <c r="CV6" s="4"/>
    </row>
    <row r="7" spans="1:100" x14ac:dyDescent="0.2">
      <c r="A7" s="45" t="b">
        <v>0</v>
      </c>
      <c r="B7" s="45" t="b">
        <v>0</v>
      </c>
      <c r="C7" s="45" t="b">
        <v>1</v>
      </c>
      <c r="D7" s="45" t="b">
        <v>0</v>
      </c>
      <c r="E7" s="45" t="b">
        <v>0</v>
      </c>
      <c r="F7" s="45" t="b">
        <v>0</v>
      </c>
      <c r="G7" s="46" t="s">
        <v>1133</v>
      </c>
      <c r="H7" s="4" t="s">
        <v>1134</v>
      </c>
      <c r="I7" s="4" t="s">
        <v>1135</v>
      </c>
      <c r="J7" s="4" t="s">
        <v>1108</v>
      </c>
      <c r="K7" s="4" t="s">
        <v>1129</v>
      </c>
      <c r="L7" s="4" t="s">
        <v>105</v>
      </c>
      <c r="M7" s="4"/>
      <c r="N7" s="4" t="s">
        <v>1136</v>
      </c>
      <c r="O7" s="4"/>
      <c r="P7" s="4"/>
      <c r="Q7" s="4" t="s">
        <v>1131</v>
      </c>
      <c r="R7" s="4" t="s">
        <v>108</v>
      </c>
      <c r="S7" s="4"/>
      <c r="T7" s="4"/>
      <c r="U7" s="4" t="s">
        <v>110</v>
      </c>
      <c r="V7" s="4"/>
      <c r="W7" s="4" t="s">
        <v>112</v>
      </c>
      <c r="X7" s="4"/>
      <c r="Y7" s="59" t="s">
        <v>217</v>
      </c>
      <c r="Z7" s="4" t="s">
        <v>114</v>
      </c>
      <c r="AA7" s="4" t="s">
        <v>115</v>
      </c>
      <c r="AB7" s="4"/>
      <c r="AC7" s="4"/>
      <c r="AD7" s="4" t="s">
        <v>115</v>
      </c>
      <c r="AE7" s="4" t="s">
        <v>116</v>
      </c>
      <c r="AF7" s="4"/>
      <c r="AG7" s="4"/>
      <c r="AH7" s="4" t="s">
        <v>116</v>
      </c>
      <c r="AI7" s="4" t="s">
        <v>357</v>
      </c>
      <c r="AJ7" s="4" t="s">
        <v>358</v>
      </c>
      <c r="AK7" s="4"/>
      <c r="AL7" s="4"/>
      <c r="AM7" s="4"/>
      <c r="AN7" s="4"/>
      <c r="AO7" s="4" t="s">
        <v>221</v>
      </c>
      <c r="AP7" s="4"/>
      <c r="AQ7" s="4"/>
      <c r="AR7" s="4"/>
      <c r="AS7" s="4"/>
      <c r="AT7" s="4" t="s">
        <v>233</v>
      </c>
      <c r="AU7" s="5" t="str">
        <f>IF($AT7="","",IFERROR(INDEX(InstructorMap!$B:$B, MATCH($AT7, InstructorMap!$A:$A, 0)),""))</f>
        <v>wdavid@andrews.edu</v>
      </c>
      <c r="AV7" s="5" t="str">
        <f>IF($AT7="","",IFERROR(INDEX(InstructorMap!$C:$C, MATCH($AT7, InstructorMap!$A:$A, 0)),""))</f>
        <v>000124996</v>
      </c>
      <c r="AW7" s="4" t="s">
        <v>121</v>
      </c>
      <c r="AX7" s="4"/>
      <c r="AY7" s="4"/>
      <c r="AZ7" s="4"/>
      <c r="BA7" s="4"/>
      <c r="BB7" s="4"/>
      <c r="BC7" s="4"/>
      <c r="BD7" s="4"/>
      <c r="BE7" s="4"/>
      <c r="BF7" s="4"/>
      <c r="BG7" s="4"/>
      <c r="BH7" s="4" t="s">
        <v>351</v>
      </c>
      <c r="BI7" s="4" t="s">
        <v>124</v>
      </c>
      <c r="BJ7" s="4" t="s">
        <v>125</v>
      </c>
      <c r="BK7" s="4"/>
      <c r="BL7" s="4" t="s">
        <v>126</v>
      </c>
      <c r="BM7" s="4"/>
      <c r="BN7" s="4"/>
      <c r="BO7" s="4" t="s">
        <v>127</v>
      </c>
      <c r="BP7" s="4"/>
      <c r="BQ7" s="4" t="s">
        <v>1132</v>
      </c>
      <c r="BR7" s="4"/>
      <c r="BS7" s="4"/>
      <c r="BT7" s="4" t="s">
        <v>128</v>
      </c>
      <c r="BU7" s="4" t="s">
        <v>129</v>
      </c>
      <c r="BV7" s="4" t="s">
        <v>129</v>
      </c>
      <c r="BW7" s="4" t="s">
        <v>130</v>
      </c>
      <c r="BX7" s="4" t="s">
        <v>131</v>
      </c>
      <c r="BY7" s="4"/>
      <c r="BZ7" s="4"/>
      <c r="CA7" s="4"/>
      <c r="CB7" s="4"/>
      <c r="CC7" s="4"/>
      <c r="CD7" s="4"/>
      <c r="CE7" s="4"/>
      <c r="CF7" s="4" t="s">
        <v>130</v>
      </c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 t="s">
        <v>132</v>
      </c>
      <c r="CT7" s="4" t="s">
        <v>133</v>
      </c>
      <c r="CU7" s="4" t="s">
        <v>134</v>
      </c>
      <c r="CV7" s="4"/>
    </row>
    <row r="8" spans="1:100" x14ac:dyDescent="0.2">
      <c r="A8" s="26" t="b">
        <v>0</v>
      </c>
      <c r="B8" s="26" t="b">
        <v>0</v>
      </c>
      <c r="C8" s="26" t="b">
        <v>1</v>
      </c>
      <c r="D8" s="26" t="b">
        <v>0</v>
      </c>
      <c r="E8" s="26" t="b">
        <v>0</v>
      </c>
      <c r="F8" s="26" t="b">
        <v>0</v>
      </c>
      <c r="G8" s="27"/>
      <c r="H8" s="4" t="s">
        <v>1137</v>
      </c>
      <c r="I8" s="4" t="s">
        <v>1138</v>
      </c>
      <c r="J8" s="4" t="s">
        <v>1108</v>
      </c>
      <c r="K8" s="4" t="s">
        <v>1129</v>
      </c>
      <c r="L8" s="4" t="s">
        <v>148</v>
      </c>
      <c r="M8" s="4"/>
      <c r="N8" s="4" t="s">
        <v>1130</v>
      </c>
      <c r="O8" s="4"/>
      <c r="P8" s="4"/>
      <c r="Q8" s="4" t="s">
        <v>1131</v>
      </c>
      <c r="R8" s="4" t="s">
        <v>108</v>
      </c>
      <c r="S8" s="4"/>
      <c r="T8" s="4"/>
      <c r="U8" s="4" t="s">
        <v>149</v>
      </c>
      <c r="V8" s="4"/>
      <c r="W8" s="4" t="s">
        <v>112</v>
      </c>
      <c r="X8" s="4" t="s">
        <v>112</v>
      </c>
      <c r="Y8" s="4" t="s">
        <v>217</v>
      </c>
      <c r="Z8" s="4" t="s">
        <v>114</v>
      </c>
      <c r="AA8" s="4" t="s">
        <v>115</v>
      </c>
      <c r="AB8" s="4"/>
      <c r="AC8" s="4"/>
      <c r="AD8" s="4"/>
      <c r="AE8" s="4"/>
      <c r="AF8" s="4"/>
      <c r="AG8" s="4"/>
      <c r="AH8" s="4" t="s">
        <v>116</v>
      </c>
      <c r="AI8" s="10" t="s">
        <v>147</v>
      </c>
      <c r="AJ8" s="10" t="s">
        <v>147</v>
      </c>
      <c r="AK8" s="4"/>
      <c r="AL8" s="4"/>
      <c r="AM8" s="4"/>
      <c r="AN8" s="4"/>
      <c r="AO8" s="4"/>
      <c r="AP8" s="4"/>
      <c r="AQ8" s="4"/>
      <c r="AR8" s="4"/>
      <c r="AS8" s="4"/>
      <c r="AT8" s="4" t="s">
        <v>233</v>
      </c>
      <c r="AU8" s="5" t="str">
        <f>IF($AT8="","",IFERROR(INDEX(InstructorMap!$B:$B, MATCH($AT8, InstructorMap!$A:$A, 0)),""))</f>
        <v>wdavid@andrews.edu</v>
      </c>
      <c r="AV8" s="5" t="str">
        <f>IF($AT8="","",IFERROR(INDEX(InstructorMap!$C:$C, MATCH($AT8, InstructorMap!$A:$A, 0)),""))</f>
        <v>000124996</v>
      </c>
      <c r="AW8" s="4" t="s">
        <v>121</v>
      </c>
      <c r="AX8" s="4"/>
      <c r="AY8" s="4"/>
      <c r="AZ8" s="4"/>
      <c r="BA8" s="4"/>
      <c r="BB8" s="4"/>
      <c r="BC8" s="4"/>
      <c r="BD8" s="4"/>
      <c r="BE8" s="4"/>
      <c r="BF8" s="4"/>
      <c r="BG8" s="4"/>
      <c r="BH8" s="4" t="s">
        <v>1108</v>
      </c>
      <c r="BI8" s="4" t="s">
        <v>124</v>
      </c>
      <c r="BJ8" s="4" t="s">
        <v>125</v>
      </c>
      <c r="BK8" s="4"/>
      <c r="BL8" s="4" t="s">
        <v>126</v>
      </c>
      <c r="BM8" s="4"/>
      <c r="BN8" s="4"/>
      <c r="BO8" s="4" t="s">
        <v>127</v>
      </c>
      <c r="BP8" s="4"/>
      <c r="BQ8" s="4" t="s">
        <v>1132</v>
      </c>
      <c r="BR8" s="4"/>
      <c r="BS8" s="4"/>
      <c r="BT8" s="4" t="s">
        <v>128</v>
      </c>
      <c r="BU8" s="4" t="s">
        <v>129</v>
      </c>
      <c r="BV8" s="4" t="s">
        <v>145</v>
      </c>
      <c r="BW8" s="4" t="s">
        <v>130</v>
      </c>
      <c r="BX8" s="4"/>
      <c r="BY8" s="4"/>
      <c r="BZ8" s="4"/>
      <c r="CA8" s="4"/>
      <c r="CB8" s="4"/>
      <c r="CC8" s="4"/>
      <c r="CD8" s="4"/>
      <c r="CE8" s="4"/>
      <c r="CF8" s="4" t="s">
        <v>130</v>
      </c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10" t="s">
        <v>147</v>
      </c>
      <c r="CT8" s="4" t="s">
        <v>133</v>
      </c>
      <c r="CU8" s="4" t="s">
        <v>134</v>
      </c>
      <c r="CV8" s="4"/>
    </row>
    <row r="9" spans="1:100" x14ac:dyDescent="0.2">
      <c r="A9" s="26" t="b">
        <v>0</v>
      </c>
      <c r="B9" s="26" t="b">
        <v>0</v>
      </c>
      <c r="C9" s="26" t="b">
        <v>1</v>
      </c>
      <c r="D9" s="26" t="b">
        <v>0</v>
      </c>
      <c r="E9" s="26" t="b">
        <v>0</v>
      </c>
      <c r="F9" s="26" t="b">
        <v>0</v>
      </c>
      <c r="G9" s="27"/>
      <c r="H9" s="4" t="s">
        <v>1139</v>
      </c>
      <c r="I9" s="4" t="s">
        <v>1140</v>
      </c>
      <c r="J9" s="4" t="s">
        <v>1108</v>
      </c>
      <c r="K9" s="4" t="s">
        <v>1141</v>
      </c>
      <c r="L9" s="4" t="s">
        <v>148</v>
      </c>
      <c r="M9" s="4"/>
      <c r="N9" s="4" t="s">
        <v>1142</v>
      </c>
      <c r="O9" s="4"/>
      <c r="P9" s="4"/>
      <c r="Q9" s="4"/>
      <c r="R9" s="4" t="s">
        <v>108</v>
      </c>
      <c r="S9" s="4"/>
      <c r="T9" s="4"/>
      <c r="U9" s="4" t="s">
        <v>149</v>
      </c>
      <c r="V9" s="4"/>
      <c r="W9" s="4" t="s">
        <v>112</v>
      </c>
      <c r="X9" s="4" t="s">
        <v>112</v>
      </c>
      <c r="Y9" s="4" t="s">
        <v>113</v>
      </c>
      <c r="Z9" s="4" t="s">
        <v>114</v>
      </c>
      <c r="AA9" s="4" t="s">
        <v>115</v>
      </c>
      <c r="AB9" s="4"/>
      <c r="AC9" s="4"/>
      <c r="AD9" s="4"/>
      <c r="AE9" s="4"/>
      <c r="AF9" s="4"/>
      <c r="AG9" s="4"/>
      <c r="AH9" s="4" t="s">
        <v>116</v>
      </c>
      <c r="AI9" s="10" t="s">
        <v>147</v>
      </c>
      <c r="AJ9" s="10" t="s">
        <v>147</v>
      </c>
      <c r="AK9" s="4"/>
      <c r="AL9" s="4"/>
      <c r="AM9" s="4"/>
      <c r="AN9" s="4"/>
      <c r="AO9" s="4"/>
      <c r="AP9" s="4"/>
      <c r="AQ9" s="4"/>
      <c r="AR9" s="4"/>
      <c r="AS9" s="4"/>
      <c r="AT9" s="4" t="s">
        <v>575</v>
      </c>
      <c r="AU9" s="5" t="str">
        <f>IF($AT9="","",IFERROR(INDEX(InstructorMap!$B:$B, MATCH($AT9, InstructorMap!$A:$A, 0)),""))</f>
        <v>coralie@andrews.edu</v>
      </c>
      <c r="AV9" s="5" t="str">
        <f>IF($AT9="","",IFERROR(INDEX(InstructorMap!$C:$C, MATCH($AT9, InstructorMap!$A:$A, 0)),""))</f>
        <v>000076162</v>
      </c>
      <c r="AW9" s="4" t="s">
        <v>121</v>
      </c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1108</v>
      </c>
      <c r="BI9" s="4" t="s">
        <v>124</v>
      </c>
      <c r="BJ9" s="4" t="s">
        <v>125</v>
      </c>
      <c r="BK9" s="4"/>
      <c r="BL9" s="4" t="s">
        <v>126</v>
      </c>
      <c r="BM9" s="4"/>
      <c r="BN9" s="4"/>
      <c r="BO9" s="4" t="s">
        <v>127</v>
      </c>
      <c r="BP9" s="4"/>
      <c r="BQ9" s="4" t="s">
        <v>1143</v>
      </c>
      <c r="BR9" s="4"/>
      <c r="BS9" s="4"/>
      <c r="BT9" s="4" t="s">
        <v>128</v>
      </c>
      <c r="BU9" s="4" t="s">
        <v>129</v>
      </c>
      <c r="BV9" s="4" t="s">
        <v>129</v>
      </c>
      <c r="BW9" s="4" t="s">
        <v>130</v>
      </c>
      <c r="BX9" s="4"/>
      <c r="BY9" s="4"/>
      <c r="BZ9" s="4"/>
      <c r="CA9" s="4"/>
      <c r="CB9" s="4"/>
      <c r="CC9" s="4"/>
      <c r="CD9" s="4"/>
      <c r="CE9" s="4"/>
      <c r="CF9" s="4" t="s">
        <v>130</v>
      </c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10" t="s">
        <v>147</v>
      </c>
      <c r="CT9" s="4" t="s">
        <v>133</v>
      </c>
      <c r="CU9" s="4" t="s">
        <v>134</v>
      </c>
      <c r="CV9" s="4"/>
    </row>
    <row r="10" spans="1:100" x14ac:dyDescent="0.2">
      <c r="A10" s="45" t="b">
        <v>0</v>
      </c>
      <c r="B10" s="45" t="b">
        <v>0</v>
      </c>
      <c r="C10" s="45" t="b">
        <v>1</v>
      </c>
      <c r="D10" s="45" t="b">
        <v>0</v>
      </c>
      <c r="E10" s="45" t="b">
        <v>0</v>
      </c>
      <c r="F10" s="45" t="b">
        <v>0</v>
      </c>
      <c r="G10" s="46" t="s">
        <v>1144</v>
      </c>
      <c r="H10" s="4" t="s">
        <v>1145</v>
      </c>
      <c r="I10" s="4" t="s">
        <v>1146</v>
      </c>
      <c r="J10" s="4" t="s">
        <v>1108</v>
      </c>
      <c r="K10" s="4" t="s">
        <v>1147</v>
      </c>
      <c r="L10" s="4" t="s">
        <v>148</v>
      </c>
      <c r="M10" s="4"/>
      <c r="N10" s="4" t="s">
        <v>1148</v>
      </c>
      <c r="O10" s="4"/>
      <c r="P10" s="4"/>
      <c r="Q10" s="4" t="s">
        <v>1149</v>
      </c>
      <c r="R10" s="4" t="s">
        <v>108</v>
      </c>
      <c r="S10" s="4"/>
      <c r="T10" s="4"/>
      <c r="U10" s="4" t="s">
        <v>149</v>
      </c>
      <c r="V10" s="4"/>
      <c r="W10" s="4" t="s">
        <v>112</v>
      </c>
      <c r="X10" s="4" t="s">
        <v>150</v>
      </c>
      <c r="Y10" s="59" t="s">
        <v>1110</v>
      </c>
      <c r="Z10" s="4" t="s">
        <v>114</v>
      </c>
      <c r="AA10" s="4" t="s">
        <v>115</v>
      </c>
      <c r="AB10" s="4"/>
      <c r="AC10" s="4"/>
      <c r="AD10" s="4"/>
      <c r="AE10" s="4"/>
      <c r="AF10" s="4"/>
      <c r="AG10" s="4"/>
      <c r="AH10" s="4" t="s">
        <v>116</v>
      </c>
      <c r="AI10" s="10" t="s">
        <v>147</v>
      </c>
      <c r="AJ10" s="10" t="s">
        <v>147</v>
      </c>
      <c r="AK10" s="4"/>
      <c r="AL10" s="4"/>
      <c r="AM10" s="4"/>
      <c r="AN10" s="4"/>
      <c r="AO10" s="4"/>
      <c r="AP10" s="4"/>
      <c r="AQ10" s="4"/>
      <c r="AR10" s="4"/>
      <c r="AS10" s="4"/>
      <c r="AT10" s="59" t="s">
        <v>196</v>
      </c>
      <c r="AU10" s="5" t="str">
        <f>IF($AT10="","",IFERROR(INDEX(InstructorMap!$B:$B, MATCH($AT10, InstructorMap!$A:$A, 0)),""))</f>
        <v/>
      </c>
      <c r="AV10" s="5" t="str">
        <f>IF($AT10="","",IFERROR(INDEX(InstructorMap!$C:$C, MATCH($AT10, InstructorMap!$A:$A, 0)),""))</f>
        <v/>
      </c>
      <c r="AW10" s="4" t="s">
        <v>121</v>
      </c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1108</v>
      </c>
      <c r="BI10" s="4" t="s">
        <v>124</v>
      </c>
      <c r="BJ10" s="4" t="s">
        <v>125</v>
      </c>
      <c r="BK10" s="4" t="s">
        <v>150</v>
      </c>
      <c r="BL10" s="4" t="s">
        <v>126</v>
      </c>
      <c r="BM10" s="4"/>
      <c r="BN10" s="4"/>
      <c r="BO10" s="4" t="s">
        <v>127</v>
      </c>
      <c r="BP10" s="4"/>
      <c r="BQ10" s="4" t="s">
        <v>1150</v>
      </c>
      <c r="BR10" s="4"/>
      <c r="BS10" s="4"/>
      <c r="BT10" s="4" t="s">
        <v>128</v>
      </c>
      <c r="BU10" s="4" t="s">
        <v>129</v>
      </c>
      <c r="BV10" s="4" t="s">
        <v>145</v>
      </c>
      <c r="BW10" s="4" t="s">
        <v>130</v>
      </c>
      <c r="BX10" s="4"/>
      <c r="BY10" s="4"/>
      <c r="BZ10" s="4"/>
      <c r="CA10" s="4"/>
      <c r="CB10" s="4"/>
      <c r="CC10" s="4"/>
      <c r="CD10" s="4"/>
      <c r="CE10" s="4"/>
      <c r="CF10" s="4" t="s">
        <v>130</v>
      </c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10" t="s">
        <v>147</v>
      </c>
      <c r="CT10" s="4" t="s">
        <v>133</v>
      </c>
      <c r="CU10" s="4" t="s">
        <v>134</v>
      </c>
      <c r="CV10" s="4"/>
    </row>
    <row r="11" spans="1:100" x14ac:dyDescent="0.2">
      <c r="A11" s="45" t="b">
        <v>0</v>
      </c>
      <c r="B11" s="45" t="b">
        <v>0</v>
      </c>
      <c r="C11" s="45" t="b">
        <v>1</v>
      </c>
      <c r="D11" s="45" t="b">
        <v>0</v>
      </c>
      <c r="E11" s="45" t="b">
        <v>0</v>
      </c>
      <c r="F11" s="45" t="b">
        <v>0</v>
      </c>
      <c r="G11" s="46" t="s">
        <v>1144</v>
      </c>
      <c r="H11" s="4" t="s">
        <v>1151</v>
      </c>
      <c r="I11" s="4" t="s">
        <v>1152</v>
      </c>
      <c r="J11" s="4" t="s">
        <v>1108</v>
      </c>
      <c r="K11" s="4" t="s">
        <v>1153</v>
      </c>
      <c r="L11" s="4" t="s">
        <v>148</v>
      </c>
      <c r="M11" s="4"/>
      <c r="N11" s="4" t="s">
        <v>1154</v>
      </c>
      <c r="O11" s="4"/>
      <c r="P11" s="4"/>
      <c r="Q11" s="4"/>
      <c r="R11" s="4" t="s">
        <v>108</v>
      </c>
      <c r="S11" s="4"/>
      <c r="T11" s="4"/>
      <c r="U11" s="4" t="s">
        <v>149</v>
      </c>
      <c r="V11" s="4"/>
      <c r="W11" s="4" t="s">
        <v>173</v>
      </c>
      <c r="X11" s="4" t="s">
        <v>173</v>
      </c>
      <c r="Y11" s="59" t="s">
        <v>591</v>
      </c>
      <c r="Z11" s="4" t="s">
        <v>114</v>
      </c>
      <c r="AA11" s="4" t="s">
        <v>115</v>
      </c>
      <c r="AB11" s="4"/>
      <c r="AC11" s="4"/>
      <c r="AD11" s="4"/>
      <c r="AE11" s="4"/>
      <c r="AF11" s="4"/>
      <c r="AG11" s="4"/>
      <c r="AH11" s="4" t="s">
        <v>116</v>
      </c>
      <c r="AI11" s="10" t="s">
        <v>147</v>
      </c>
      <c r="AJ11" s="10" t="s">
        <v>147</v>
      </c>
      <c r="AK11" s="4"/>
      <c r="AL11" s="4"/>
      <c r="AM11" s="4"/>
      <c r="AN11" s="4"/>
      <c r="AO11" s="4"/>
      <c r="AP11" s="4"/>
      <c r="AQ11" s="4"/>
      <c r="AR11" s="4"/>
      <c r="AS11" s="4"/>
      <c r="AT11" s="59" t="s">
        <v>1155</v>
      </c>
      <c r="AU11" s="5" t="str">
        <f>IF($AT11="","",IFERROR(INDEX(InstructorMap!$B:$B, MATCH($AT11, InstructorMap!$A:$A, 0)),""))</f>
        <v/>
      </c>
      <c r="AV11" s="5" t="str">
        <f>IF($AT11="","",IFERROR(INDEX(InstructorMap!$C:$C, MATCH($AT11, InstructorMap!$A:$A, 0)),""))</f>
        <v/>
      </c>
      <c r="AW11" s="4" t="s">
        <v>121</v>
      </c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 t="s">
        <v>1108</v>
      </c>
      <c r="BI11" s="4" t="s">
        <v>124</v>
      </c>
      <c r="BJ11" s="4" t="s">
        <v>125</v>
      </c>
      <c r="BK11" s="4"/>
      <c r="BL11" s="4" t="s">
        <v>126</v>
      </c>
      <c r="BM11" s="4"/>
      <c r="BN11" s="4"/>
      <c r="BO11" s="4" t="s">
        <v>127</v>
      </c>
      <c r="BP11" s="4"/>
      <c r="BQ11" s="4" t="s">
        <v>1150</v>
      </c>
      <c r="BR11" s="4"/>
      <c r="BS11" s="4"/>
      <c r="BT11" s="4" t="s">
        <v>128</v>
      </c>
      <c r="BU11" s="4" t="s">
        <v>129</v>
      </c>
      <c r="BV11" s="4" t="s">
        <v>145</v>
      </c>
      <c r="BW11" s="4" t="s">
        <v>130</v>
      </c>
      <c r="BX11" s="4"/>
      <c r="BY11" s="4"/>
      <c r="BZ11" s="4"/>
      <c r="CA11" s="4"/>
      <c r="CB11" s="4"/>
      <c r="CC11" s="4"/>
      <c r="CD11" s="4"/>
      <c r="CE11" s="4"/>
      <c r="CF11" s="4" t="s">
        <v>130</v>
      </c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10" t="s">
        <v>147</v>
      </c>
      <c r="CT11" s="4" t="s">
        <v>133</v>
      </c>
      <c r="CU11" s="4" t="s">
        <v>134</v>
      </c>
      <c r="CV11" s="4"/>
    </row>
    <row r="12" spans="1:100" x14ac:dyDescent="0.2">
      <c r="A12" s="45" t="b">
        <v>0</v>
      </c>
      <c r="B12" s="45" t="b">
        <v>0</v>
      </c>
      <c r="C12" s="45" t="b">
        <v>1</v>
      </c>
      <c r="D12" s="45" t="b">
        <v>0</v>
      </c>
      <c r="E12" s="45" t="b">
        <v>0</v>
      </c>
      <c r="F12" s="45" t="b">
        <v>0</v>
      </c>
      <c r="G12" s="46" t="s">
        <v>1156</v>
      </c>
      <c r="H12" s="4" t="s">
        <v>1157</v>
      </c>
      <c r="I12" s="4" t="s">
        <v>1158</v>
      </c>
      <c r="J12" s="4" t="s">
        <v>1108</v>
      </c>
      <c r="K12" s="4" t="s">
        <v>1159</v>
      </c>
      <c r="L12" s="4" t="s">
        <v>137</v>
      </c>
      <c r="M12" s="4"/>
      <c r="N12" s="4" t="s">
        <v>1160</v>
      </c>
      <c r="O12" s="4"/>
      <c r="P12" s="4"/>
      <c r="Q12" s="4" t="s">
        <v>1161</v>
      </c>
      <c r="R12" s="4" t="s">
        <v>129</v>
      </c>
      <c r="S12" s="4"/>
      <c r="T12" s="4"/>
      <c r="U12" s="4"/>
      <c r="V12" s="4"/>
      <c r="W12" s="4" t="s">
        <v>112</v>
      </c>
      <c r="X12" s="4" t="s">
        <v>112</v>
      </c>
      <c r="Y12" s="59" t="s">
        <v>141</v>
      </c>
      <c r="Z12" s="4" t="s">
        <v>142</v>
      </c>
      <c r="AA12" s="4" t="s">
        <v>115</v>
      </c>
      <c r="AB12" s="4"/>
      <c r="AC12" s="4"/>
      <c r="AD12" s="4" t="s">
        <v>115</v>
      </c>
      <c r="AE12" s="4" t="s">
        <v>116</v>
      </c>
      <c r="AF12" s="4"/>
      <c r="AG12" s="4"/>
      <c r="AH12" s="4" t="s">
        <v>116</v>
      </c>
      <c r="AI12" s="59" t="s">
        <v>175</v>
      </c>
      <c r="AJ12" s="59" t="s">
        <v>176</v>
      </c>
      <c r="AK12" s="4"/>
      <c r="AL12" s="4"/>
      <c r="AM12" s="4"/>
      <c r="AN12" s="4"/>
      <c r="AO12" s="59" t="s">
        <v>221</v>
      </c>
      <c r="AP12" s="4"/>
      <c r="AQ12" s="4"/>
      <c r="AR12" s="4" t="s">
        <v>195</v>
      </c>
      <c r="AS12" s="4" t="s">
        <v>144</v>
      </c>
      <c r="AT12" s="4" t="s">
        <v>575</v>
      </c>
      <c r="AU12" s="5" t="str">
        <f>IF($AT12="","",IFERROR(INDEX(InstructorMap!$B:$B, MATCH($AT12, InstructorMap!$A:$A, 0)),""))</f>
        <v>coralie@andrews.edu</v>
      </c>
      <c r="AV12" s="5" t="str">
        <f>IF($AT12="","",IFERROR(INDEX(InstructorMap!$C:$C, MATCH($AT12, InstructorMap!$A:$A, 0)),""))</f>
        <v>000076162</v>
      </c>
      <c r="AW12" s="4" t="s">
        <v>121</v>
      </c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 t="s">
        <v>1108</v>
      </c>
      <c r="BI12" s="4" t="s">
        <v>124</v>
      </c>
      <c r="BJ12" s="4" t="s">
        <v>125</v>
      </c>
      <c r="BK12" s="4"/>
      <c r="BL12" s="4" t="s">
        <v>125</v>
      </c>
      <c r="BM12" s="4"/>
      <c r="BN12" s="4"/>
      <c r="BO12" s="4" t="s">
        <v>127</v>
      </c>
      <c r="BP12" s="4"/>
      <c r="BQ12" s="4" t="s">
        <v>1162</v>
      </c>
      <c r="BR12" s="4"/>
      <c r="BS12" s="4"/>
      <c r="BT12" s="4" t="s">
        <v>128</v>
      </c>
      <c r="BU12" s="4" t="s">
        <v>129</v>
      </c>
      <c r="BV12" s="4" t="s">
        <v>129</v>
      </c>
      <c r="BW12" s="4" t="s">
        <v>130</v>
      </c>
      <c r="BX12" s="4" t="s">
        <v>131</v>
      </c>
      <c r="BY12" s="4"/>
      <c r="BZ12" s="4"/>
      <c r="CA12" s="4"/>
      <c r="CB12" s="4"/>
      <c r="CC12" s="4"/>
      <c r="CD12" s="4"/>
      <c r="CE12" s="4"/>
      <c r="CF12" s="4" t="s">
        <v>130</v>
      </c>
      <c r="CG12" s="4"/>
      <c r="CH12" s="4" t="s">
        <v>131</v>
      </c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 t="s">
        <v>146</v>
      </c>
      <c r="CT12" s="4" t="s">
        <v>133</v>
      </c>
      <c r="CU12" s="4" t="s">
        <v>134</v>
      </c>
      <c r="CV12" s="4"/>
    </row>
    <row r="13" spans="1:100" x14ac:dyDescent="0.2">
      <c r="A13" s="45" t="b">
        <v>0</v>
      </c>
      <c r="B13" s="45" t="b">
        <v>0</v>
      </c>
      <c r="C13" s="45" t="b">
        <v>1</v>
      </c>
      <c r="D13" s="45" t="b">
        <v>0</v>
      </c>
      <c r="E13" s="45" t="b">
        <v>0</v>
      </c>
      <c r="F13" s="45" t="b">
        <v>0</v>
      </c>
      <c r="G13" s="46" t="s">
        <v>1163</v>
      </c>
      <c r="H13" s="4" t="s">
        <v>1164</v>
      </c>
      <c r="I13" s="4" t="s">
        <v>1165</v>
      </c>
      <c r="J13" s="4" t="s">
        <v>1108</v>
      </c>
      <c r="K13" s="4" t="s">
        <v>1159</v>
      </c>
      <c r="L13" s="4" t="s">
        <v>105</v>
      </c>
      <c r="M13" s="4"/>
      <c r="N13" s="4" t="s">
        <v>1166</v>
      </c>
      <c r="O13" s="4"/>
      <c r="P13" s="4"/>
      <c r="Q13" s="4" t="s">
        <v>1161</v>
      </c>
      <c r="R13" s="4" t="s">
        <v>108</v>
      </c>
      <c r="S13" s="4"/>
      <c r="T13" s="4"/>
      <c r="U13" s="4" t="s">
        <v>110</v>
      </c>
      <c r="V13" s="4"/>
      <c r="W13" s="4" t="s">
        <v>112</v>
      </c>
      <c r="X13" s="4"/>
      <c r="Y13" s="4" t="s">
        <v>217</v>
      </c>
      <c r="Z13" s="4" t="s">
        <v>114</v>
      </c>
      <c r="AA13" s="4" t="s">
        <v>115</v>
      </c>
      <c r="AB13" s="4"/>
      <c r="AC13" s="4"/>
      <c r="AD13" s="4" t="s">
        <v>115</v>
      </c>
      <c r="AE13" s="4" t="s">
        <v>116</v>
      </c>
      <c r="AF13" s="4"/>
      <c r="AG13" s="4"/>
      <c r="AH13" s="4" t="s">
        <v>116</v>
      </c>
      <c r="AI13" s="59" t="s">
        <v>175</v>
      </c>
      <c r="AJ13" s="59" t="s">
        <v>176</v>
      </c>
      <c r="AK13" s="4"/>
      <c r="AL13" s="4"/>
      <c r="AM13" s="4"/>
      <c r="AN13" s="4"/>
      <c r="AO13" s="59" t="s">
        <v>221</v>
      </c>
      <c r="AP13" s="4"/>
      <c r="AQ13" s="4"/>
      <c r="AR13" s="4"/>
      <c r="AS13" s="4"/>
      <c r="AT13" s="4" t="s">
        <v>575</v>
      </c>
      <c r="AU13" s="5" t="str">
        <f>IF($AT13="","",IFERROR(INDEX(InstructorMap!$B:$B, MATCH($AT13, InstructorMap!$A:$A, 0)),""))</f>
        <v>coralie@andrews.edu</v>
      </c>
      <c r="AV13" s="5" t="str">
        <f>IF($AT13="","",IFERROR(INDEX(InstructorMap!$C:$C, MATCH($AT13, InstructorMap!$A:$A, 0)),""))</f>
        <v>000076162</v>
      </c>
      <c r="AW13" s="4" t="s">
        <v>121</v>
      </c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 t="s">
        <v>351</v>
      </c>
      <c r="BI13" s="4" t="s">
        <v>124</v>
      </c>
      <c r="BJ13" s="4" t="s">
        <v>125</v>
      </c>
      <c r="BK13" s="4"/>
      <c r="BL13" s="4" t="s">
        <v>126</v>
      </c>
      <c r="BM13" s="4"/>
      <c r="BN13" s="4"/>
      <c r="BO13" s="4" t="s">
        <v>127</v>
      </c>
      <c r="BP13" s="4"/>
      <c r="BQ13" s="4" t="s">
        <v>1162</v>
      </c>
      <c r="BR13" s="4"/>
      <c r="BS13" s="4"/>
      <c r="BT13" s="4" t="s">
        <v>128</v>
      </c>
      <c r="BU13" s="4" t="s">
        <v>129</v>
      </c>
      <c r="BV13" s="4" t="s">
        <v>129</v>
      </c>
      <c r="BW13" s="4" t="s">
        <v>130</v>
      </c>
      <c r="BX13" s="4" t="s">
        <v>131</v>
      </c>
      <c r="BY13" s="4"/>
      <c r="BZ13" s="4"/>
      <c r="CA13" s="4"/>
      <c r="CB13" s="4"/>
      <c r="CC13" s="4"/>
      <c r="CD13" s="4"/>
      <c r="CE13" s="4"/>
      <c r="CF13" s="4" t="s">
        <v>130</v>
      </c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 t="s">
        <v>132</v>
      </c>
      <c r="CT13" s="4" t="s">
        <v>133</v>
      </c>
      <c r="CU13" s="4" t="s">
        <v>134</v>
      </c>
      <c r="CV13" s="4"/>
    </row>
    <row r="14" spans="1:100" x14ac:dyDescent="0.2">
      <c r="A14" s="45" t="b">
        <v>0</v>
      </c>
      <c r="B14" s="45" t="b">
        <v>0</v>
      </c>
      <c r="C14" s="45" t="b">
        <v>1</v>
      </c>
      <c r="D14" s="45" t="b">
        <v>0</v>
      </c>
      <c r="E14" s="45" t="b">
        <v>0</v>
      </c>
      <c r="F14" s="45" t="b">
        <v>0</v>
      </c>
      <c r="G14" s="46" t="s">
        <v>1167</v>
      </c>
      <c r="H14" s="4" t="s">
        <v>1168</v>
      </c>
      <c r="I14" s="4" t="s">
        <v>1169</v>
      </c>
      <c r="J14" s="4" t="s">
        <v>1108</v>
      </c>
      <c r="K14" s="4" t="s">
        <v>790</v>
      </c>
      <c r="L14" s="4" t="s">
        <v>137</v>
      </c>
      <c r="M14" s="4"/>
      <c r="N14" s="4" t="s">
        <v>1170</v>
      </c>
      <c r="O14" s="4"/>
      <c r="P14" s="4"/>
      <c r="Q14" s="4" t="s">
        <v>1171</v>
      </c>
      <c r="R14" s="4" t="s">
        <v>129</v>
      </c>
      <c r="S14" s="4"/>
      <c r="T14" s="4"/>
      <c r="U14" s="4"/>
      <c r="V14" s="4"/>
      <c r="W14" s="4" t="s">
        <v>150</v>
      </c>
      <c r="X14" s="4" t="s">
        <v>150</v>
      </c>
      <c r="Y14" s="4" t="s">
        <v>151</v>
      </c>
      <c r="Z14" s="4" t="s">
        <v>142</v>
      </c>
      <c r="AA14" s="4" t="s">
        <v>115</v>
      </c>
      <c r="AB14" s="4"/>
      <c r="AC14" s="4"/>
      <c r="AD14" s="4" t="s">
        <v>115</v>
      </c>
      <c r="AE14" s="4" t="s">
        <v>116</v>
      </c>
      <c r="AF14" s="4"/>
      <c r="AG14" s="4"/>
      <c r="AH14" s="4" t="s">
        <v>116</v>
      </c>
      <c r="AI14" s="59" t="s">
        <v>357</v>
      </c>
      <c r="AJ14" s="59" t="s">
        <v>358</v>
      </c>
      <c r="AK14" s="4"/>
      <c r="AL14" s="4"/>
      <c r="AM14" s="4"/>
      <c r="AN14" s="59" t="s">
        <v>177</v>
      </c>
      <c r="AO14" s="4"/>
      <c r="AP14" s="4"/>
      <c r="AQ14" s="4"/>
      <c r="AR14" s="59" t="s">
        <v>143</v>
      </c>
      <c r="AS14" s="4" t="s">
        <v>144</v>
      </c>
      <c r="AT14" s="4" t="s">
        <v>374</v>
      </c>
      <c r="AU14" s="5" t="str">
        <f>IF($AT14="","",IFERROR(INDEX(InstructorMap!$B:$B, MATCH($AT14, InstructorMap!$A:$A, 0)),""))</f>
        <v>kiddersj@andrews.edu</v>
      </c>
      <c r="AV14" s="5" t="str">
        <f>IF($AT14="","",IFERROR(INDEX(InstructorMap!$C:$C, MATCH($AT14, InstructorMap!$A:$A, 0)),""))</f>
        <v>000039170</v>
      </c>
      <c r="AW14" s="4" t="s">
        <v>121</v>
      </c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 t="s">
        <v>1108</v>
      </c>
      <c r="BI14" s="4" t="s">
        <v>124</v>
      </c>
      <c r="BJ14" s="4" t="s">
        <v>125</v>
      </c>
      <c r="BK14" s="4"/>
      <c r="BL14" s="4" t="s">
        <v>125</v>
      </c>
      <c r="BM14" s="4"/>
      <c r="BN14" s="4"/>
      <c r="BO14" s="4" t="s">
        <v>127</v>
      </c>
      <c r="BP14" s="4"/>
      <c r="BQ14" s="4" t="s">
        <v>1162</v>
      </c>
      <c r="BR14" s="4"/>
      <c r="BS14" s="4"/>
      <c r="BT14" s="4" t="s">
        <v>128</v>
      </c>
      <c r="BU14" s="4" t="s">
        <v>129</v>
      </c>
      <c r="BV14" s="4" t="s">
        <v>129</v>
      </c>
      <c r="BW14" s="4" t="s">
        <v>130</v>
      </c>
      <c r="BX14" s="4" t="s">
        <v>131</v>
      </c>
      <c r="BY14" s="4"/>
      <c r="BZ14" s="4"/>
      <c r="CA14" s="4"/>
      <c r="CB14" s="4"/>
      <c r="CC14" s="4"/>
      <c r="CD14" s="4"/>
      <c r="CE14" s="4"/>
      <c r="CF14" s="4" t="s">
        <v>130</v>
      </c>
      <c r="CG14" s="4"/>
      <c r="CH14" s="4" t="s">
        <v>131</v>
      </c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 t="s">
        <v>146</v>
      </c>
      <c r="CT14" s="4" t="s">
        <v>133</v>
      </c>
      <c r="CU14" s="4" t="s">
        <v>134</v>
      </c>
      <c r="CV14" s="4"/>
    </row>
    <row r="15" spans="1:100" x14ac:dyDescent="0.2">
      <c r="A15" s="45" t="b">
        <v>0</v>
      </c>
      <c r="B15" s="45" t="b">
        <v>0</v>
      </c>
      <c r="C15" s="45" t="b">
        <v>1</v>
      </c>
      <c r="D15" s="45" t="b">
        <v>0</v>
      </c>
      <c r="E15" s="45" t="b">
        <v>0</v>
      </c>
      <c r="F15" s="45" t="b">
        <v>0</v>
      </c>
      <c r="G15" s="46" t="s">
        <v>1172</v>
      </c>
      <c r="H15" s="4" t="s">
        <v>1173</v>
      </c>
      <c r="I15" s="4" t="s">
        <v>1174</v>
      </c>
      <c r="J15" s="4" t="s">
        <v>1108</v>
      </c>
      <c r="K15" s="4" t="s">
        <v>790</v>
      </c>
      <c r="L15" s="4" t="s">
        <v>105</v>
      </c>
      <c r="M15" s="4"/>
      <c r="N15" s="4" t="s">
        <v>1175</v>
      </c>
      <c r="O15" s="4"/>
      <c r="P15" s="4"/>
      <c r="Q15" s="4" t="s">
        <v>1171</v>
      </c>
      <c r="R15" s="4" t="s">
        <v>108</v>
      </c>
      <c r="S15" s="4"/>
      <c r="T15" s="4"/>
      <c r="U15" s="4" t="s">
        <v>110</v>
      </c>
      <c r="V15" s="4"/>
      <c r="W15" s="4" t="s">
        <v>150</v>
      </c>
      <c r="X15" s="4"/>
      <c r="Y15" s="59" t="s">
        <v>217</v>
      </c>
      <c r="Z15" s="4" t="s">
        <v>114</v>
      </c>
      <c r="AA15" s="4" t="s">
        <v>115</v>
      </c>
      <c r="AC15" s="4"/>
      <c r="AD15" s="4" t="s">
        <v>115</v>
      </c>
      <c r="AE15" s="4" t="s">
        <v>116</v>
      </c>
      <c r="AF15" s="4"/>
      <c r="AG15" s="4"/>
      <c r="AH15" s="4" t="s">
        <v>116</v>
      </c>
      <c r="AI15" s="59" t="s">
        <v>357</v>
      </c>
      <c r="AJ15" s="59" t="s">
        <v>358</v>
      </c>
      <c r="AK15" s="4"/>
      <c r="AL15" s="4"/>
      <c r="AM15" s="4"/>
      <c r="AN15" s="59" t="s">
        <v>177</v>
      </c>
      <c r="AO15" s="4"/>
      <c r="AP15" s="4"/>
      <c r="AQ15" s="4"/>
      <c r="AR15" s="4"/>
      <c r="AS15" s="4"/>
      <c r="AT15" s="4" t="s">
        <v>374</v>
      </c>
      <c r="AU15" s="5" t="str">
        <f>IF($AT15="","",IFERROR(INDEX(InstructorMap!$B:$B, MATCH($AT15, InstructorMap!$A:$A, 0)),""))</f>
        <v>kiddersj@andrews.edu</v>
      </c>
      <c r="AV15" s="5" t="str">
        <f>IF($AT15="","",IFERROR(INDEX(InstructorMap!$C:$C, MATCH($AT15, InstructorMap!$A:$A, 0)),""))</f>
        <v>000039170</v>
      </c>
      <c r="AW15" s="4" t="s">
        <v>121</v>
      </c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 t="s">
        <v>351</v>
      </c>
      <c r="BI15" s="4" t="s">
        <v>124</v>
      </c>
      <c r="BJ15" s="4" t="s">
        <v>125</v>
      </c>
      <c r="BK15" s="4"/>
      <c r="BL15" s="4" t="s">
        <v>126</v>
      </c>
      <c r="BM15" s="4"/>
      <c r="BN15" s="4"/>
      <c r="BO15" s="4" t="s">
        <v>127</v>
      </c>
      <c r="BP15" s="4"/>
      <c r="BQ15" s="4" t="s">
        <v>1162</v>
      </c>
      <c r="BR15" s="4"/>
      <c r="BS15" s="4"/>
      <c r="BT15" s="4" t="s">
        <v>128</v>
      </c>
      <c r="BU15" s="4" t="s">
        <v>129</v>
      </c>
      <c r="BV15" s="4" t="s">
        <v>129</v>
      </c>
      <c r="BW15" s="4" t="s">
        <v>130</v>
      </c>
      <c r="BX15" s="4" t="s">
        <v>131</v>
      </c>
      <c r="BY15" s="4"/>
      <c r="BZ15" s="4"/>
      <c r="CA15" s="4"/>
      <c r="CB15" s="4"/>
      <c r="CC15" s="4"/>
      <c r="CD15" s="4"/>
      <c r="CE15" s="4"/>
      <c r="CF15" s="4" t="s">
        <v>130</v>
      </c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 t="s">
        <v>132</v>
      </c>
      <c r="CT15" s="4" t="s">
        <v>133</v>
      </c>
      <c r="CU15" s="4" t="s">
        <v>134</v>
      </c>
      <c r="CV15" s="4"/>
    </row>
    <row r="16" spans="1:100" x14ac:dyDescent="0.2">
      <c r="A16" s="45" t="b">
        <v>0</v>
      </c>
      <c r="B16" s="45" t="b">
        <v>0</v>
      </c>
      <c r="C16" s="45" t="b">
        <v>1</v>
      </c>
      <c r="D16" s="45" t="b">
        <v>0</v>
      </c>
      <c r="E16" s="45" t="b">
        <v>0</v>
      </c>
      <c r="F16" s="45" t="b">
        <v>0</v>
      </c>
      <c r="G16" s="46" t="s">
        <v>1176</v>
      </c>
      <c r="H16" s="4" t="s">
        <v>1177</v>
      </c>
      <c r="I16" s="4" t="s">
        <v>1178</v>
      </c>
      <c r="J16" s="4" t="s">
        <v>1108</v>
      </c>
      <c r="K16" s="4" t="s">
        <v>790</v>
      </c>
      <c r="L16" s="4" t="s">
        <v>148</v>
      </c>
      <c r="M16" s="4"/>
      <c r="N16" s="4" t="s">
        <v>1179</v>
      </c>
      <c r="O16" s="4"/>
      <c r="P16" s="4"/>
      <c r="Q16" s="4" t="s">
        <v>1171</v>
      </c>
      <c r="R16" s="4" t="s">
        <v>108</v>
      </c>
      <c r="S16" s="4"/>
      <c r="T16" s="4"/>
      <c r="U16" s="4" t="s">
        <v>149</v>
      </c>
      <c r="V16" s="4"/>
      <c r="W16" s="4" t="s">
        <v>150</v>
      </c>
      <c r="X16" s="4" t="s">
        <v>150</v>
      </c>
      <c r="Y16" s="59" t="s">
        <v>217</v>
      </c>
      <c r="Z16" s="4" t="s">
        <v>114</v>
      </c>
      <c r="AA16" s="4" t="s">
        <v>115</v>
      </c>
      <c r="AB16" s="4"/>
      <c r="AC16" s="4"/>
      <c r="AD16" s="4"/>
      <c r="AE16" s="4"/>
      <c r="AF16" s="4"/>
      <c r="AG16" s="4"/>
      <c r="AH16" s="4" t="s">
        <v>116</v>
      </c>
      <c r="AI16" s="10" t="s">
        <v>147</v>
      </c>
      <c r="AJ16" s="10" t="s">
        <v>147</v>
      </c>
      <c r="AK16" s="4"/>
      <c r="AL16" s="4"/>
      <c r="AM16" s="4"/>
      <c r="AN16" s="4"/>
      <c r="AO16" s="4"/>
      <c r="AP16" s="4"/>
      <c r="AQ16" s="4"/>
      <c r="AR16" s="4"/>
      <c r="AS16" s="4"/>
      <c r="AT16" s="4" t="s">
        <v>374</v>
      </c>
      <c r="AU16" s="5" t="str">
        <f>IF($AT16="","",IFERROR(INDEX(InstructorMap!$B:$B, MATCH($AT16, InstructorMap!$A:$A, 0)),""))</f>
        <v>kiddersj@andrews.edu</v>
      </c>
      <c r="AV16" s="5" t="str">
        <f>IF($AT16="","",IFERROR(INDEX(InstructorMap!$C:$C, MATCH($AT16, InstructorMap!$A:$A, 0)),""))</f>
        <v>000039170</v>
      </c>
      <c r="AW16" s="4" t="s">
        <v>121</v>
      </c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 t="s">
        <v>1108</v>
      </c>
      <c r="BI16" s="4" t="s">
        <v>124</v>
      </c>
      <c r="BJ16" s="4" t="s">
        <v>125</v>
      </c>
      <c r="BK16" s="4"/>
      <c r="BL16" s="4" t="s">
        <v>126</v>
      </c>
      <c r="BM16" s="4"/>
      <c r="BN16" s="4"/>
      <c r="BO16" s="4" t="s">
        <v>127</v>
      </c>
      <c r="BP16" s="4"/>
      <c r="BQ16" s="4" t="s">
        <v>1162</v>
      </c>
      <c r="BR16" s="4"/>
      <c r="BS16" s="4"/>
      <c r="BT16" s="4" t="s">
        <v>128</v>
      </c>
      <c r="BU16" s="4" t="s">
        <v>129</v>
      </c>
      <c r="BV16" s="4" t="s">
        <v>145</v>
      </c>
      <c r="BW16" s="4" t="s">
        <v>130</v>
      </c>
      <c r="BX16" s="4"/>
      <c r="BY16" s="4"/>
      <c r="BZ16" s="4"/>
      <c r="CA16" s="4"/>
      <c r="CB16" s="4"/>
      <c r="CC16" s="4"/>
      <c r="CD16" s="4"/>
      <c r="CE16" s="4"/>
      <c r="CF16" s="4" t="s">
        <v>130</v>
      </c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10" t="s">
        <v>147</v>
      </c>
      <c r="CT16" s="4" t="s">
        <v>133</v>
      </c>
      <c r="CU16" s="4" t="s">
        <v>134</v>
      </c>
      <c r="CV16" s="4"/>
    </row>
    <row r="17" spans="1:100" x14ac:dyDescent="0.2">
      <c r="A17" s="45" t="b">
        <v>0</v>
      </c>
      <c r="B17" s="45" t="b">
        <v>0</v>
      </c>
      <c r="C17" s="45" t="b">
        <v>0</v>
      </c>
      <c r="D17" s="45" t="b">
        <v>0</v>
      </c>
      <c r="E17" s="45" t="b">
        <v>0</v>
      </c>
      <c r="F17" s="45" t="b">
        <v>0</v>
      </c>
      <c r="G17" s="46" t="s">
        <v>1180</v>
      </c>
      <c r="H17" s="4" t="s">
        <v>1181</v>
      </c>
      <c r="I17" s="4" t="s">
        <v>1182</v>
      </c>
      <c r="J17" s="4" t="s">
        <v>1108</v>
      </c>
      <c r="K17" s="4" t="s">
        <v>1183</v>
      </c>
      <c r="L17" s="4" t="s">
        <v>255</v>
      </c>
      <c r="M17" s="4"/>
      <c r="N17" s="4" t="s">
        <v>1184</v>
      </c>
      <c r="O17" s="4"/>
      <c r="P17" s="4"/>
      <c r="Q17" s="4"/>
      <c r="R17" s="4" t="s">
        <v>129</v>
      </c>
      <c r="S17" s="4"/>
      <c r="T17" s="4"/>
      <c r="U17" s="4"/>
      <c r="V17" s="4"/>
      <c r="W17" s="4" t="s">
        <v>1185</v>
      </c>
      <c r="X17" s="4" t="s">
        <v>1186</v>
      </c>
      <c r="Y17" s="4" t="s">
        <v>1186</v>
      </c>
      <c r="Z17" s="4" t="s">
        <v>142</v>
      </c>
      <c r="AA17" s="4" t="s">
        <v>115</v>
      </c>
      <c r="AB17" s="4"/>
      <c r="AC17" s="4"/>
      <c r="AD17" s="4" t="s">
        <v>115</v>
      </c>
      <c r="AE17" s="4" t="s">
        <v>116</v>
      </c>
      <c r="AF17" s="4"/>
      <c r="AG17" s="4"/>
      <c r="AH17" s="4" t="s">
        <v>116</v>
      </c>
      <c r="AI17" s="59" t="s">
        <v>1187</v>
      </c>
      <c r="AJ17" s="59" t="s">
        <v>534</v>
      </c>
      <c r="AK17" s="4"/>
      <c r="AL17" s="59" t="s">
        <v>119</v>
      </c>
      <c r="AM17" s="4"/>
      <c r="AN17" s="4"/>
      <c r="AO17" s="4"/>
      <c r="AP17" s="4"/>
      <c r="AQ17" s="4"/>
      <c r="AR17" s="4" t="s">
        <v>1113</v>
      </c>
      <c r="AS17" s="4" t="s">
        <v>144</v>
      </c>
      <c r="AT17" s="4" t="s">
        <v>1188</v>
      </c>
      <c r="AU17" s="5" t="str">
        <f>IF($AT17="","",IFERROR(INDEX(InstructorMap!$B:$B, MATCH($AT17, InstructorMap!$A:$A, 0)),""))</f>
        <v/>
      </c>
      <c r="AV17" s="5" t="str">
        <f>IF($AT17="","",IFERROR(INDEX(InstructorMap!$C:$C, MATCH($AT17, InstructorMap!$A:$A, 0)),""))</f>
        <v/>
      </c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 t="s">
        <v>1108</v>
      </c>
      <c r="BI17" s="4" t="s">
        <v>124</v>
      </c>
      <c r="BJ17" s="4" t="s">
        <v>125</v>
      </c>
      <c r="BK17" s="4"/>
      <c r="BL17" s="4" t="s">
        <v>481</v>
      </c>
      <c r="BM17" s="4"/>
      <c r="BN17" s="4"/>
      <c r="BO17" s="4" t="s">
        <v>127</v>
      </c>
      <c r="BP17" s="4"/>
      <c r="BQ17" s="4"/>
      <c r="BR17" s="4"/>
      <c r="BS17" s="4"/>
      <c r="BT17" s="4" t="s">
        <v>128</v>
      </c>
      <c r="BU17" s="4" t="s">
        <v>129</v>
      </c>
      <c r="BV17" s="4" t="s">
        <v>145</v>
      </c>
      <c r="BW17" s="4"/>
      <c r="BX17" s="4"/>
      <c r="BY17" s="4"/>
      <c r="BZ17" s="4"/>
      <c r="CA17" s="4"/>
      <c r="CB17" s="4"/>
      <c r="CC17" s="4"/>
      <c r="CD17" s="4"/>
      <c r="CE17" s="4"/>
      <c r="CF17" s="4" t="s">
        <v>130</v>
      </c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 t="s">
        <v>249</v>
      </c>
      <c r="CS17" s="4" t="s">
        <v>146</v>
      </c>
      <c r="CT17" s="4" t="s">
        <v>133</v>
      </c>
      <c r="CU17" s="4" t="s">
        <v>134</v>
      </c>
      <c r="CV17" s="4"/>
    </row>
    <row r="18" spans="1:100" x14ac:dyDescent="0.2">
      <c r="A18" s="45" t="b">
        <v>0</v>
      </c>
      <c r="B18" s="45" t="b">
        <v>0</v>
      </c>
      <c r="C18" s="45" t="b">
        <v>0</v>
      </c>
      <c r="D18" s="45" t="b">
        <v>0</v>
      </c>
      <c r="E18" s="45" t="b">
        <v>0</v>
      </c>
      <c r="F18" s="45" t="b">
        <v>0</v>
      </c>
      <c r="G18" s="46" t="s">
        <v>1180</v>
      </c>
      <c r="H18" s="4" t="s">
        <v>1189</v>
      </c>
      <c r="I18" s="4" t="s">
        <v>1190</v>
      </c>
      <c r="J18" s="4" t="s">
        <v>1108</v>
      </c>
      <c r="K18" s="4" t="s">
        <v>1183</v>
      </c>
      <c r="L18" s="4" t="s">
        <v>252</v>
      </c>
      <c r="M18" s="4"/>
      <c r="N18" s="4" t="s">
        <v>1184</v>
      </c>
      <c r="O18" s="4"/>
      <c r="P18" s="4" t="s">
        <v>1191</v>
      </c>
      <c r="Q18" s="4"/>
      <c r="R18" s="4" t="s">
        <v>129</v>
      </c>
      <c r="S18" s="4"/>
      <c r="T18" s="4"/>
      <c r="U18" s="4"/>
      <c r="V18" s="4"/>
      <c r="W18" s="4" t="s">
        <v>1185</v>
      </c>
      <c r="X18" s="4" t="s">
        <v>1186</v>
      </c>
      <c r="Y18" s="4" t="s">
        <v>1186</v>
      </c>
      <c r="Z18" s="4" t="s">
        <v>142</v>
      </c>
      <c r="AA18" s="4" t="s">
        <v>115</v>
      </c>
      <c r="AB18" s="4"/>
      <c r="AC18" s="4"/>
      <c r="AD18" s="4" t="s">
        <v>115</v>
      </c>
      <c r="AE18" s="4" t="s">
        <v>116</v>
      </c>
      <c r="AF18" s="4"/>
      <c r="AG18" s="4"/>
      <c r="AH18" s="4" t="s">
        <v>116</v>
      </c>
      <c r="AI18" s="59" t="s">
        <v>540</v>
      </c>
      <c r="AJ18" s="59" t="s">
        <v>644</v>
      </c>
      <c r="AK18" s="4"/>
      <c r="AL18" s="59" t="s">
        <v>119</v>
      </c>
      <c r="AM18" s="4"/>
      <c r="AN18" s="4"/>
      <c r="AO18" s="68"/>
      <c r="AP18" s="68"/>
      <c r="AQ18" s="4"/>
      <c r="AR18" s="4" t="s">
        <v>1113</v>
      </c>
      <c r="AS18" s="4" t="s">
        <v>144</v>
      </c>
      <c r="AT18" s="4" t="s">
        <v>1188</v>
      </c>
      <c r="AU18" s="5" t="str">
        <f>IF($AT18="","",IFERROR(INDEX(InstructorMap!$B:$B, MATCH($AT18, InstructorMap!$A:$A, 0)),""))</f>
        <v/>
      </c>
      <c r="AV18" s="5" t="str">
        <f>IF($AT18="","",IFERROR(INDEX(InstructorMap!$C:$C, MATCH($AT18, InstructorMap!$A:$A, 0)),""))</f>
        <v/>
      </c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 t="s">
        <v>1108</v>
      </c>
      <c r="BI18" s="4" t="s">
        <v>124</v>
      </c>
      <c r="BJ18" s="4" t="s">
        <v>125</v>
      </c>
      <c r="BK18" s="4"/>
      <c r="BL18" s="4" t="s">
        <v>481</v>
      </c>
      <c r="BM18" s="4"/>
      <c r="BN18" s="4"/>
      <c r="BO18" s="4" t="s">
        <v>127</v>
      </c>
      <c r="BP18" s="4"/>
      <c r="BQ18" s="4"/>
      <c r="BR18" s="4"/>
      <c r="BS18" s="4"/>
      <c r="BT18" s="4" t="s">
        <v>128</v>
      </c>
      <c r="BU18" s="4" t="s">
        <v>129</v>
      </c>
      <c r="BV18" s="4" t="s">
        <v>129</v>
      </c>
      <c r="BW18" s="4"/>
      <c r="BX18" s="4"/>
      <c r="BY18" s="4"/>
      <c r="BZ18" s="4"/>
      <c r="CA18" s="4"/>
      <c r="CB18" s="4"/>
      <c r="CC18" s="4"/>
      <c r="CD18" s="4"/>
      <c r="CE18" s="4"/>
      <c r="CF18" s="4" t="s">
        <v>130</v>
      </c>
      <c r="CG18" s="4"/>
      <c r="CH18" s="4" t="s">
        <v>131</v>
      </c>
      <c r="CI18" s="4"/>
      <c r="CJ18" s="4"/>
      <c r="CK18" s="4"/>
      <c r="CL18" s="4"/>
      <c r="CM18" s="4"/>
      <c r="CN18" s="4"/>
      <c r="CO18" s="4"/>
      <c r="CP18" s="4"/>
      <c r="CQ18" s="4"/>
      <c r="CR18" s="4" t="s">
        <v>249</v>
      </c>
      <c r="CS18" s="4" t="s">
        <v>146</v>
      </c>
      <c r="CT18" s="4" t="s">
        <v>133</v>
      </c>
      <c r="CU18" s="4" t="s">
        <v>134</v>
      </c>
      <c r="CV18" s="4"/>
    </row>
    <row r="19" spans="1:100" s="76" customFormat="1" x14ac:dyDescent="0.2">
      <c r="A19" s="69" t="b">
        <v>0</v>
      </c>
      <c r="B19" s="70" t="b">
        <v>0</v>
      </c>
      <c r="C19" s="69" t="b">
        <v>0</v>
      </c>
      <c r="D19" s="70" t="b">
        <v>0</v>
      </c>
      <c r="E19" s="70" t="b">
        <v>0</v>
      </c>
      <c r="F19" s="71" t="b">
        <v>0</v>
      </c>
      <c r="G19" s="72" t="s">
        <v>765</v>
      </c>
      <c r="H19" s="73"/>
      <c r="I19" s="12" t="s">
        <v>199</v>
      </c>
      <c r="J19" s="73" t="s">
        <v>1108</v>
      </c>
      <c r="K19" s="73" t="s">
        <v>1183</v>
      </c>
      <c r="L19" s="73" t="s">
        <v>297</v>
      </c>
      <c r="M19" s="73"/>
      <c r="N19" s="73" t="s">
        <v>1184</v>
      </c>
      <c r="O19" s="73"/>
      <c r="P19" s="73" t="s">
        <v>1191</v>
      </c>
      <c r="Q19" s="73"/>
      <c r="R19" s="73"/>
      <c r="S19" s="73"/>
      <c r="T19" s="73"/>
      <c r="U19" s="73"/>
      <c r="V19" s="73"/>
      <c r="W19" s="73"/>
      <c r="X19" s="73" t="s">
        <v>1186</v>
      </c>
      <c r="Y19" s="73" t="s">
        <v>1186</v>
      </c>
      <c r="Z19" s="73"/>
      <c r="AA19" s="73" t="s">
        <v>115</v>
      </c>
      <c r="AB19" s="73"/>
      <c r="AC19" s="73"/>
      <c r="AD19" s="73" t="s">
        <v>115</v>
      </c>
      <c r="AE19" s="73" t="s">
        <v>116</v>
      </c>
      <c r="AF19" s="73"/>
      <c r="AG19" s="73"/>
      <c r="AH19" s="73" t="s">
        <v>116</v>
      </c>
      <c r="AI19" s="74" t="s">
        <v>540</v>
      </c>
      <c r="AJ19" s="74" t="s">
        <v>644</v>
      </c>
      <c r="AK19" s="73"/>
      <c r="AL19" s="74" t="s">
        <v>119</v>
      </c>
      <c r="AM19" s="73"/>
      <c r="AN19" s="73"/>
      <c r="AO19" s="73"/>
      <c r="AP19" s="73"/>
      <c r="AQ19" s="73"/>
      <c r="AR19" s="73" t="s">
        <v>1113</v>
      </c>
      <c r="AS19" s="73" t="s">
        <v>144</v>
      </c>
      <c r="AT19" s="73" t="s">
        <v>1188</v>
      </c>
      <c r="AU19" s="75" t="str">
        <f>IF($AT19="","",IFERROR(INDEX(InstructorMap!$B:$B, MATCH($AT19, InstructorMap!$A:$A, 0)),""))</f>
        <v/>
      </c>
      <c r="AV19" s="75" t="str">
        <f>IF($AT19="","",IFERROR(INDEX(InstructorMap!$C:$C, MATCH($AT19, InstructorMap!$A:$A, 0)),""))</f>
        <v/>
      </c>
      <c r="AW19" s="73"/>
      <c r="AX19" s="73"/>
      <c r="AY19" s="73"/>
      <c r="AZ19" s="73"/>
      <c r="BA19" s="73"/>
      <c r="BB19" s="73"/>
      <c r="BC19" s="73"/>
      <c r="BD19" s="73"/>
      <c r="BE19" s="73"/>
      <c r="BF19" s="73"/>
      <c r="BG19" s="73"/>
      <c r="BH19" s="73" t="s">
        <v>1108</v>
      </c>
      <c r="BI19" s="73"/>
      <c r="BJ19" s="73"/>
      <c r="BK19" s="73"/>
      <c r="BL19" s="73"/>
      <c r="BM19" s="73"/>
      <c r="BN19" s="73"/>
      <c r="BO19" s="73"/>
      <c r="BP19" s="73"/>
      <c r="BQ19" s="73"/>
      <c r="BR19" s="73"/>
      <c r="BS19" s="73"/>
      <c r="BT19" s="73"/>
      <c r="BU19" s="73"/>
      <c r="BV19" s="73"/>
      <c r="BW19" s="73"/>
      <c r="BX19" s="73"/>
      <c r="BY19" s="73"/>
      <c r="BZ19" s="73"/>
      <c r="CA19" s="73"/>
      <c r="CB19" s="73"/>
      <c r="CC19" s="73"/>
      <c r="CD19" s="73"/>
      <c r="CE19" s="73"/>
      <c r="CF19" s="73"/>
      <c r="CG19" s="73"/>
      <c r="CH19" s="73"/>
      <c r="CI19" s="73"/>
      <c r="CJ19" s="73"/>
      <c r="CK19" s="73"/>
      <c r="CL19" s="73"/>
      <c r="CM19" s="73"/>
      <c r="CN19" s="73"/>
      <c r="CO19" s="73"/>
      <c r="CP19" s="73"/>
      <c r="CQ19" s="73"/>
      <c r="CR19" s="73"/>
      <c r="CS19" s="73" t="s">
        <v>146</v>
      </c>
      <c r="CT19" s="73" t="s">
        <v>133</v>
      </c>
      <c r="CU19" s="73"/>
      <c r="CV19" s="73"/>
    </row>
    <row r="20" spans="1:100" x14ac:dyDescent="0.2">
      <c r="A20" s="45" t="b">
        <v>0</v>
      </c>
      <c r="B20" s="45" t="b">
        <v>0</v>
      </c>
      <c r="C20" s="45" t="b">
        <v>0</v>
      </c>
      <c r="D20" s="45" t="b">
        <v>0</v>
      </c>
      <c r="E20" s="45" t="b">
        <v>0</v>
      </c>
      <c r="F20" s="45" t="b">
        <v>0</v>
      </c>
      <c r="G20" s="46" t="s">
        <v>1192</v>
      </c>
      <c r="H20" s="4" t="s">
        <v>1193</v>
      </c>
      <c r="I20" s="4" t="s">
        <v>1194</v>
      </c>
      <c r="J20" s="4" t="s">
        <v>1108</v>
      </c>
      <c r="K20" s="4" t="s">
        <v>361</v>
      </c>
      <c r="L20" s="4" t="s">
        <v>137</v>
      </c>
      <c r="M20" s="4"/>
      <c r="N20" s="4" t="s">
        <v>1195</v>
      </c>
      <c r="O20" s="4"/>
      <c r="P20" s="4"/>
      <c r="Q20" s="4"/>
      <c r="R20" s="4" t="s">
        <v>129</v>
      </c>
      <c r="S20" s="4"/>
      <c r="T20" s="4"/>
      <c r="U20" s="4"/>
      <c r="V20" s="4"/>
      <c r="W20" s="4" t="s">
        <v>112</v>
      </c>
      <c r="X20" s="4" t="s">
        <v>112</v>
      </c>
      <c r="Y20" s="4" t="s">
        <v>151</v>
      </c>
      <c r="Z20" s="4" t="s">
        <v>142</v>
      </c>
      <c r="AA20" s="4" t="s">
        <v>115</v>
      </c>
      <c r="AB20" s="4"/>
      <c r="AC20" s="4"/>
      <c r="AD20" s="4" t="s">
        <v>115</v>
      </c>
      <c r="AE20" s="4" t="s">
        <v>116</v>
      </c>
      <c r="AF20" s="4"/>
      <c r="AG20" s="4"/>
      <c r="AH20" s="4" t="s">
        <v>116</v>
      </c>
      <c r="AI20" s="59" t="s">
        <v>117</v>
      </c>
      <c r="AJ20" s="59" t="s">
        <v>118</v>
      </c>
      <c r="AK20" s="4"/>
      <c r="AL20" s="4"/>
      <c r="AM20" s="4" t="s">
        <v>211</v>
      </c>
      <c r="AN20" s="4"/>
      <c r="AO20" s="4"/>
      <c r="AP20" s="4"/>
      <c r="AQ20" s="4"/>
      <c r="AR20" s="4" t="s">
        <v>333</v>
      </c>
      <c r="AS20" s="4" t="s">
        <v>144</v>
      </c>
      <c r="AT20" s="4" t="s">
        <v>546</v>
      </c>
      <c r="AU20" s="5" t="str">
        <f>IF($AT20="","",IFERROR(INDEX(InstructorMap!$B:$B, MATCH($AT20, InstructorMap!$A:$A, 0)),""))</f>
        <v>royg@andrews.edu</v>
      </c>
      <c r="AV20" s="5" t="str">
        <f>IF($AT20="","",IFERROR(INDEX(InstructorMap!$C:$C, MATCH($AT20, InstructorMap!$A:$A, 0)),""))</f>
        <v>000048477</v>
      </c>
      <c r="AW20" s="4" t="s">
        <v>121</v>
      </c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 t="s">
        <v>1108</v>
      </c>
      <c r="BI20" s="4" t="s">
        <v>124</v>
      </c>
      <c r="BJ20" s="4" t="s">
        <v>125</v>
      </c>
      <c r="BK20" s="4"/>
      <c r="BL20" s="4" t="s">
        <v>1196</v>
      </c>
      <c r="BM20" s="4"/>
      <c r="BN20" s="4"/>
      <c r="BO20" s="4" t="s">
        <v>127</v>
      </c>
      <c r="BP20" s="4"/>
      <c r="BQ20" s="4" t="s">
        <v>1197</v>
      </c>
      <c r="BR20" s="4"/>
      <c r="BS20" s="4"/>
      <c r="BT20" s="4" t="s">
        <v>128</v>
      </c>
      <c r="BU20" s="4" t="s">
        <v>129</v>
      </c>
      <c r="BV20" s="4" t="s">
        <v>145</v>
      </c>
      <c r="BW20" s="4" t="s">
        <v>130</v>
      </c>
      <c r="BX20" s="4"/>
      <c r="BY20" s="4"/>
      <c r="BZ20" s="4"/>
      <c r="CA20" s="4"/>
      <c r="CB20" s="4"/>
      <c r="CC20" s="4"/>
      <c r="CD20" s="4"/>
      <c r="CE20" s="4"/>
      <c r="CF20" s="4" t="s">
        <v>130</v>
      </c>
      <c r="CG20" s="4"/>
      <c r="CH20" s="4" t="s">
        <v>131</v>
      </c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 t="s">
        <v>146</v>
      </c>
      <c r="CT20" s="4" t="s">
        <v>133</v>
      </c>
      <c r="CU20" s="4" t="s">
        <v>134</v>
      </c>
      <c r="CV20" s="4"/>
    </row>
    <row r="21" spans="1:100" x14ac:dyDescent="0.2">
      <c r="A21" s="45" t="b">
        <v>0</v>
      </c>
      <c r="B21" s="45" t="b">
        <v>0</v>
      </c>
      <c r="C21" s="45" t="b">
        <v>0</v>
      </c>
      <c r="D21" s="45" t="b">
        <v>0</v>
      </c>
      <c r="E21" s="45" t="b">
        <v>0</v>
      </c>
      <c r="F21" s="45" t="b">
        <v>0</v>
      </c>
      <c r="G21" s="46" t="s">
        <v>1176</v>
      </c>
      <c r="H21" s="4" t="s">
        <v>1198</v>
      </c>
      <c r="I21" s="4" t="s">
        <v>1199</v>
      </c>
      <c r="J21" s="4" t="s">
        <v>1108</v>
      </c>
      <c r="K21" s="4" t="s">
        <v>361</v>
      </c>
      <c r="L21" s="4" t="s">
        <v>148</v>
      </c>
      <c r="M21" s="4"/>
      <c r="N21" s="4" t="s">
        <v>1195</v>
      </c>
      <c r="O21" s="4"/>
      <c r="P21" s="4"/>
      <c r="Q21" s="4"/>
      <c r="R21" s="4" t="s">
        <v>108</v>
      </c>
      <c r="S21" s="4"/>
      <c r="T21" s="4"/>
      <c r="U21" s="4" t="s">
        <v>149</v>
      </c>
      <c r="V21" s="4"/>
      <c r="W21" s="4" t="s">
        <v>112</v>
      </c>
      <c r="X21" s="4" t="s">
        <v>150</v>
      </c>
      <c r="Y21" s="59" t="s">
        <v>113</v>
      </c>
      <c r="Z21" s="4" t="s">
        <v>114</v>
      </c>
      <c r="AA21" s="4" t="s">
        <v>115</v>
      </c>
      <c r="AB21" s="4"/>
      <c r="AC21" s="4"/>
      <c r="AD21" s="4"/>
      <c r="AE21" s="4"/>
      <c r="AF21" s="4"/>
      <c r="AG21" s="4"/>
      <c r="AH21" s="4" t="s">
        <v>116</v>
      </c>
      <c r="AI21" s="10" t="s">
        <v>147</v>
      </c>
      <c r="AJ21" s="10" t="s">
        <v>147</v>
      </c>
      <c r="AK21" s="4"/>
      <c r="AL21" s="4"/>
      <c r="AM21" s="4"/>
      <c r="AN21" s="4"/>
      <c r="AO21" s="4"/>
      <c r="AP21" s="4"/>
      <c r="AQ21" s="4"/>
      <c r="AR21" s="4"/>
      <c r="AS21" s="4"/>
      <c r="AT21" s="4" t="s">
        <v>546</v>
      </c>
      <c r="AU21" s="5" t="str">
        <f>IF($AT21="","",IFERROR(INDEX(InstructorMap!$B:$B, MATCH($AT21, InstructorMap!$A:$A, 0)),""))</f>
        <v>royg@andrews.edu</v>
      </c>
      <c r="AV21" s="5" t="str">
        <f>IF($AT21="","",IFERROR(INDEX(InstructorMap!$C:$C, MATCH($AT21, InstructorMap!$A:$A, 0)),""))</f>
        <v>000048477</v>
      </c>
      <c r="AW21" s="4" t="s">
        <v>121</v>
      </c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 t="s">
        <v>1108</v>
      </c>
      <c r="BI21" s="4" t="s">
        <v>124</v>
      </c>
      <c r="BJ21" s="4" t="s">
        <v>125</v>
      </c>
      <c r="BK21" s="4"/>
      <c r="BL21" s="4" t="s">
        <v>126</v>
      </c>
      <c r="BM21" s="4"/>
      <c r="BN21" s="4"/>
      <c r="BO21" s="4" t="s">
        <v>127</v>
      </c>
      <c r="BP21" s="4"/>
      <c r="BQ21" s="4" t="s">
        <v>1197</v>
      </c>
      <c r="BR21" s="4"/>
      <c r="BS21" s="4"/>
      <c r="BT21" s="4" t="s">
        <v>128</v>
      </c>
      <c r="BU21" s="4" t="s">
        <v>129</v>
      </c>
      <c r="BV21" s="4" t="s">
        <v>129</v>
      </c>
      <c r="BW21" s="4" t="s">
        <v>130</v>
      </c>
      <c r="BX21" s="4"/>
      <c r="BY21" s="4"/>
      <c r="BZ21" s="4"/>
      <c r="CA21" s="4"/>
      <c r="CB21" s="4"/>
      <c r="CC21" s="4"/>
      <c r="CD21" s="4"/>
      <c r="CE21" s="4"/>
      <c r="CF21" s="4" t="s">
        <v>130</v>
      </c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10" t="s">
        <v>147</v>
      </c>
      <c r="CT21" s="4" t="s">
        <v>133</v>
      </c>
      <c r="CU21" s="4" t="s">
        <v>134</v>
      </c>
      <c r="CV21" s="4"/>
    </row>
    <row r="22" spans="1:100" s="85" customFormat="1" x14ac:dyDescent="0.2">
      <c r="A22" s="80" t="b">
        <v>0</v>
      </c>
      <c r="B22" s="81" t="b">
        <v>0</v>
      </c>
      <c r="C22" s="81" t="b">
        <v>0</v>
      </c>
      <c r="D22" s="81" t="b">
        <v>0</v>
      </c>
      <c r="E22" s="81" t="b">
        <v>0</v>
      </c>
      <c r="F22" s="80" t="b">
        <v>0</v>
      </c>
      <c r="G22" s="82"/>
      <c r="H22" s="83" t="s">
        <v>1200</v>
      </c>
      <c r="I22" s="83" t="s">
        <v>1201</v>
      </c>
      <c r="J22" s="83" t="s">
        <v>1108</v>
      </c>
      <c r="K22" s="83" t="s">
        <v>1202</v>
      </c>
      <c r="L22" s="83" t="s">
        <v>129</v>
      </c>
      <c r="M22" s="83"/>
      <c r="N22" s="83" t="s">
        <v>1203</v>
      </c>
      <c r="O22" s="83"/>
      <c r="P22" s="83"/>
      <c r="Q22" s="83"/>
      <c r="R22" s="83" t="s">
        <v>129</v>
      </c>
      <c r="S22" s="83"/>
      <c r="T22" s="83"/>
      <c r="U22" s="83" t="s">
        <v>780</v>
      </c>
      <c r="V22" s="83"/>
      <c r="W22" s="83" t="s">
        <v>1204</v>
      </c>
      <c r="X22" s="83"/>
      <c r="Y22" s="83" t="s">
        <v>129</v>
      </c>
      <c r="Z22" s="83"/>
      <c r="AA22" s="83" t="s">
        <v>115</v>
      </c>
      <c r="AB22" s="83"/>
      <c r="AC22" s="83"/>
      <c r="AD22" s="83"/>
      <c r="AE22" s="83"/>
      <c r="AF22" s="83"/>
      <c r="AG22" s="83"/>
      <c r="AH22" s="83" t="s">
        <v>116</v>
      </c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 t="s">
        <v>285</v>
      </c>
      <c r="AU22" s="84" t="str">
        <f>IF($AT22="","",IFERROR(INDEX(InstructorMap!$B:$B, MATCH($AT22, InstructorMap!$A:$A, 0)),""))</f>
        <v/>
      </c>
      <c r="AV22" s="84" t="str">
        <f>IF($AT22="","",IFERROR(INDEX(InstructorMap!$C:$C, MATCH($AT22, InstructorMap!$A:$A, 0)),""))</f>
        <v/>
      </c>
      <c r="AW22" s="83"/>
      <c r="AX22" s="83"/>
      <c r="AY22" s="83"/>
      <c r="AZ22" s="83"/>
      <c r="BA22" s="83"/>
      <c r="BB22" s="83"/>
      <c r="BC22" s="83"/>
      <c r="BD22" s="83"/>
      <c r="BE22" s="83"/>
      <c r="BF22" s="83"/>
      <c r="BG22" s="83"/>
      <c r="BH22" s="83" t="s">
        <v>351</v>
      </c>
      <c r="BI22" s="83" t="s">
        <v>124</v>
      </c>
      <c r="BJ22" s="83" t="s">
        <v>125</v>
      </c>
      <c r="BK22" s="83"/>
      <c r="BL22" s="83" t="s">
        <v>782</v>
      </c>
      <c r="BM22" s="83"/>
      <c r="BN22" s="83"/>
      <c r="BO22" s="83" t="s">
        <v>127</v>
      </c>
      <c r="BP22" s="83"/>
      <c r="BQ22" s="83" t="s">
        <v>1205</v>
      </c>
      <c r="BR22" s="83"/>
      <c r="BS22" s="83"/>
      <c r="BT22" s="83" t="s">
        <v>128</v>
      </c>
      <c r="BU22" s="83" t="s">
        <v>129</v>
      </c>
      <c r="BV22" s="83" t="s">
        <v>129</v>
      </c>
      <c r="BW22" s="83"/>
      <c r="BX22" s="83"/>
      <c r="BY22" s="83"/>
      <c r="BZ22" s="83"/>
      <c r="CA22" s="83"/>
      <c r="CB22" s="83"/>
      <c r="CC22" s="83"/>
      <c r="CD22" s="83"/>
      <c r="CE22" s="83" t="s">
        <v>783</v>
      </c>
      <c r="CF22" s="83" t="s">
        <v>130</v>
      </c>
      <c r="CG22" s="83"/>
      <c r="CH22" s="83"/>
      <c r="CI22" s="83"/>
      <c r="CJ22" s="83"/>
      <c r="CK22" s="83"/>
      <c r="CL22" s="83"/>
      <c r="CM22" s="83"/>
      <c r="CN22" s="83"/>
      <c r="CO22" s="83"/>
      <c r="CP22" s="83"/>
      <c r="CQ22" s="83"/>
      <c r="CR22" s="83"/>
      <c r="CS22" s="83" t="s">
        <v>132</v>
      </c>
      <c r="CT22" s="83" t="s">
        <v>133</v>
      </c>
      <c r="CU22" s="83" t="s">
        <v>134</v>
      </c>
      <c r="CV22" s="83"/>
    </row>
    <row r="23" spans="1:100" x14ac:dyDescent="0.2">
      <c r="A23" s="45" t="b">
        <v>0</v>
      </c>
      <c r="B23" s="45" t="b">
        <v>0</v>
      </c>
      <c r="C23" s="45" t="b">
        <v>0</v>
      </c>
      <c r="D23" s="45" t="b">
        <v>0</v>
      </c>
      <c r="E23" s="45" t="b">
        <v>0</v>
      </c>
      <c r="F23" s="45" t="b">
        <v>0</v>
      </c>
      <c r="G23" s="46" t="s">
        <v>1206</v>
      </c>
      <c r="H23" s="4" t="s">
        <v>1207</v>
      </c>
      <c r="I23" s="4" t="s">
        <v>1208</v>
      </c>
      <c r="J23" s="4" t="s">
        <v>1108</v>
      </c>
      <c r="K23" s="4" t="s">
        <v>1202</v>
      </c>
      <c r="L23" s="4" t="s">
        <v>137</v>
      </c>
      <c r="M23" s="4"/>
      <c r="N23" s="4" t="s">
        <v>1209</v>
      </c>
      <c r="O23" s="4"/>
      <c r="P23" s="4"/>
      <c r="Q23" s="4"/>
      <c r="R23" s="4" t="s">
        <v>129</v>
      </c>
      <c r="S23" s="4"/>
      <c r="T23" s="4"/>
      <c r="U23" s="4"/>
      <c r="V23" s="4"/>
      <c r="W23" s="4" t="s">
        <v>1204</v>
      </c>
      <c r="X23" s="4" t="s">
        <v>1210</v>
      </c>
      <c r="Y23" s="4" t="s">
        <v>196</v>
      </c>
      <c r="Z23" s="4" t="s">
        <v>142</v>
      </c>
      <c r="AA23" s="4" t="s">
        <v>115</v>
      </c>
      <c r="AB23" s="4"/>
      <c r="AC23" s="4"/>
      <c r="AD23" s="4"/>
      <c r="AE23" s="4"/>
      <c r="AF23" s="4"/>
      <c r="AG23" s="4"/>
      <c r="AH23" s="4" t="s">
        <v>116</v>
      </c>
      <c r="AI23" s="10" t="s">
        <v>147</v>
      </c>
      <c r="AJ23" s="10" t="s">
        <v>147</v>
      </c>
      <c r="AK23" s="4"/>
      <c r="AL23" s="10" t="s">
        <v>732</v>
      </c>
      <c r="AM23" s="10" t="s">
        <v>732</v>
      </c>
      <c r="AN23" s="10" t="s">
        <v>732</v>
      </c>
      <c r="AO23" s="10" t="s">
        <v>732</v>
      </c>
      <c r="AP23" s="4"/>
      <c r="AQ23" s="4"/>
      <c r="AR23" s="4"/>
      <c r="AS23" s="4"/>
      <c r="AT23" s="59" t="s">
        <v>1211</v>
      </c>
      <c r="AU23" s="5" t="str">
        <f>IF($AT23="","",IFERROR(INDEX(InstructorMap!$B:$B, MATCH($AT23, InstructorMap!$A:$A, 0)),""))</f>
        <v>richardsn@andrews.edu</v>
      </c>
      <c r="AV23" s="5" t="str">
        <f>IF($AT23="","",IFERROR(INDEX(InstructorMap!$C:$C, MATCH($AT23, InstructorMap!$A:$A, 0)),""))</f>
        <v>000230576</v>
      </c>
      <c r="AW23" s="4" t="s">
        <v>121</v>
      </c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 t="s">
        <v>1108</v>
      </c>
      <c r="BI23" s="4" t="s">
        <v>124</v>
      </c>
      <c r="BJ23" s="4" t="s">
        <v>125</v>
      </c>
      <c r="BK23" s="4"/>
      <c r="BL23" s="4" t="s">
        <v>481</v>
      </c>
      <c r="BM23" s="4"/>
      <c r="BN23" s="4"/>
      <c r="BO23" s="4" t="s">
        <v>127</v>
      </c>
      <c r="BP23" s="4"/>
      <c r="BQ23" s="4" t="s">
        <v>1205</v>
      </c>
      <c r="BR23" s="4"/>
      <c r="BS23" s="4"/>
      <c r="BT23" s="4" t="s">
        <v>128</v>
      </c>
      <c r="BU23" s="4" t="s">
        <v>129</v>
      </c>
      <c r="BV23" s="4" t="s">
        <v>129</v>
      </c>
      <c r="BW23" s="4" t="s">
        <v>130</v>
      </c>
      <c r="BX23" s="4"/>
      <c r="BY23" s="4"/>
      <c r="BZ23" s="4"/>
      <c r="CA23" s="4"/>
      <c r="CB23" s="4"/>
      <c r="CC23" s="4"/>
      <c r="CD23" s="4"/>
      <c r="CE23" s="4"/>
      <c r="CF23" s="4" t="s">
        <v>130</v>
      </c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 t="s">
        <v>249</v>
      </c>
      <c r="CS23" s="10" t="s">
        <v>147</v>
      </c>
      <c r="CT23" s="4" t="s">
        <v>133</v>
      </c>
      <c r="CU23" s="4" t="s">
        <v>134</v>
      </c>
      <c r="CV23" s="4"/>
    </row>
    <row r="24" spans="1:100" x14ac:dyDescent="0.2">
      <c r="A24" s="26" t="b">
        <v>0</v>
      </c>
      <c r="B24" s="26" t="b">
        <v>0</v>
      </c>
      <c r="C24" s="26" t="b">
        <v>1</v>
      </c>
      <c r="D24" s="26" t="b">
        <v>0</v>
      </c>
      <c r="E24" s="26" t="b">
        <v>0</v>
      </c>
      <c r="F24" s="26" t="b">
        <v>0</v>
      </c>
      <c r="G24" s="27"/>
      <c r="H24" s="4" t="s">
        <v>1212</v>
      </c>
      <c r="I24" s="4" t="s">
        <v>1213</v>
      </c>
      <c r="J24" s="4" t="s">
        <v>1108</v>
      </c>
      <c r="K24" s="4" t="s">
        <v>1214</v>
      </c>
      <c r="L24" s="4" t="s">
        <v>255</v>
      </c>
      <c r="M24" s="4"/>
      <c r="N24" s="4" t="s">
        <v>1215</v>
      </c>
      <c r="O24" s="4"/>
      <c r="P24" s="4"/>
      <c r="Q24" s="4" t="s">
        <v>1216</v>
      </c>
      <c r="R24" s="4" t="s">
        <v>129</v>
      </c>
      <c r="S24" s="4"/>
      <c r="T24" s="4"/>
      <c r="U24" s="4"/>
      <c r="V24" s="4"/>
      <c r="W24" s="4" t="s">
        <v>150</v>
      </c>
      <c r="X24" s="4" t="s">
        <v>150</v>
      </c>
      <c r="Y24" s="4" t="s">
        <v>141</v>
      </c>
      <c r="Z24" s="4" t="s">
        <v>142</v>
      </c>
      <c r="AA24" s="4" t="s">
        <v>115</v>
      </c>
      <c r="AB24" s="4"/>
      <c r="AC24" s="4"/>
      <c r="AD24" s="4"/>
      <c r="AE24" s="4"/>
      <c r="AF24" s="4"/>
      <c r="AG24" s="4"/>
      <c r="AH24" s="4" t="s">
        <v>116</v>
      </c>
      <c r="AI24" s="10" t="s">
        <v>147</v>
      </c>
      <c r="AJ24" s="10" t="s">
        <v>147</v>
      </c>
      <c r="AK24" s="4"/>
      <c r="AL24" s="10" t="s">
        <v>732</v>
      </c>
      <c r="AM24" s="10" t="s">
        <v>732</v>
      </c>
      <c r="AN24" s="10" t="s">
        <v>732</v>
      </c>
      <c r="AO24" s="10" t="s">
        <v>732</v>
      </c>
      <c r="AP24" s="4"/>
      <c r="AQ24" s="4"/>
      <c r="AR24" s="4"/>
      <c r="AS24" s="4"/>
      <c r="AT24" s="4" t="s">
        <v>1217</v>
      </c>
      <c r="AU24" s="5" t="str">
        <f>IF($AT24="","",IFERROR(INDEX(InstructorMap!$B:$B, MATCH($AT24, InstructorMap!$A:$A, 0)),""))</f>
        <v>crewsh@andrews.edu</v>
      </c>
      <c r="AV24" s="5" t="str">
        <f>IF($AT24="","",IFERROR(INDEX(InstructorMap!$C:$C, MATCH($AT24, InstructorMap!$A:$A, 0)),""))</f>
        <v>000052089</v>
      </c>
      <c r="AW24" s="4" t="s">
        <v>121</v>
      </c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 t="s">
        <v>1108</v>
      </c>
      <c r="BI24" s="4" t="s">
        <v>124</v>
      </c>
      <c r="BJ24" s="4" t="s">
        <v>125</v>
      </c>
      <c r="BK24" s="4"/>
      <c r="BL24" s="4" t="s">
        <v>481</v>
      </c>
      <c r="BM24" s="4"/>
      <c r="BN24" s="4"/>
      <c r="BO24" s="4" t="s">
        <v>127</v>
      </c>
      <c r="BP24" s="4"/>
      <c r="BQ24" s="4" t="s">
        <v>1150</v>
      </c>
      <c r="BR24" s="4"/>
      <c r="BS24" s="4"/>
      <c r="BT24" s="4" t="s">
        <v>128</v>
      </c>
      <c r="BU24" s="4" t="s">
        <v>129</v>
      </c>
      <c r="BV24" s="4" t="s">
        <v>129</v>
      </c>
      <c r="BW24" s="4" t="s">
        <v>130</v>
      </c>
      <c r="BX24" s="4"/>
      <c r="BY24" s="4"/>
      <c r="BZ24" s="4"/>
      <c r="CA24" s="4"/>
      <c r="CB24" s="4"/>
      <c r="CC24" s="4"/>
      <c r="CD24" s="4"/>
      <c r="CE24" s="4"/>
      <c r="CF24" s="4" t="s">
        <v>130</v>
      </c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10" t="s">
        <v>147</v>
      </c>
      <c r="CT24" s="4" t="s">
        <v>133</v>
      </c>
      <c r="CU24" s="4" t="s">
        <v>134</v>
      </c>
      <c r="CV24" s="4"/>
    </row>
    <row r="25" spans="1:100" x14ac:dyDescent="0.2">
      <c r="A25" s="26" t="b">
        <v>0</v>
      </c>
      <c r="B25" s="26" t="b">
        <v>0</v>
      </c>
      <c r="C25" s="26" t="b">
        <v>1</v>
      </c>
      <c r="D25" s="26" t="b">
        <v>0</v>
      </c>
      <c r="E25" s="26" t="b">
        <v>0</v>
      </c>
      <c r="F25" s="26" t="b">
        <v>0</v>
      </c>
      <c r="G25" s="27"/>
      <c r="H25" s="4" t="s">
        <v>1218</v>
      </c>
      <c r="I25" s="4" t="s">
        <v>1219</v>
      </c>
      <c r="J25" s="4" t="s">
        <v>1108</v>
      </c>
      <c r="K25" s="4" t="s">
        <v>1214</v>
      </c>
      <c r="L25" s="4" t="s">
        <v>252</v>
      </c>
      <c r="M25" s="4"/>
      <c r="N25" s="4" t="s">
        <v>1220</v>
      </c>
      <c r="O25" s="4"/>
      <c r="P25" s="4"/>
      <c r="Q25" s="4" t="s">
        <v>1216</v>
      </c>
      <c r="R25" s="4" t="s">
        <v>108</v>
      </c>
      <c r="S25" s="4"/>
      <c r="T25" s="4"/>
      <c r="U25" s="4"/>
      <c r="V25" s="4"/>
      <c r="W25" s="4" t="s">
        <v>150</v>
      </c>
      <c r="X25" s="4"/>
      <c r="Y25" s="4" t="s">
        <v>217</v>
      </c>
      <c r="Z25" s="4" t="s">
        <v>142</v>
      </c>
      <c r="AA25" s="4" t="s">
        <v>115</v>
      </c>
      <c r="AB25" s="4"/>
      <c r="AC25" s="4"/>
      <c r="AD25" s="4" t="s">
        <v>115</v>
      </c>
      <c r="AE25" s="4" t="s">
        <v>116</v>
      </c>
      <c r="AF25" s="4"/>
      <c r="AG25" s="4"/>
      <c r="AH25" s="4" t="s">
        <v>116</v>
      </c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 t="s">
        <v>1217</v>
      </c>
      <c r="AU25" s="5" t="str">
        <f>IF($AT25="","",IFERROR(INDEX(InstructorMap!$B:$B, MATCH($AT25, InstructorMap!$A:$A, 0)),""))</f>
        <v>crewsh@andrews.edu</v>
      </c>
      <c r="AV25" s="5" t="str">
        <f>IF($AT25="","",IFERROR(INDEX(InstructorMap!$C:$C, MATCH($AT25, InstructorMap!$A:$A, 0)),""))</f>
        <v>000052089</v>
      </c>
      <c r="AW25" s="4" t="s">
        <v>121</v>
      </c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 t="s">
        <v>351</v>
      </c>
      <c r="BI25" s="4" t="s">
        <v>124</v>
      </c>
      <c r="BJ25" s="4" t="s">
        <v>125</v>
      </c>
      <c r="BK25" s="4"/>
      <c r="BL25" s="4" t="s">
        <v>481</v>
      </c>
      <c r="BM25" s="4"/>
      <c r="BN25" s="4"/>
      <c r="BO25" s="4" t="s">
        <v>127</v>
      </c>
      <c r="BP25" s="4"/>
      <c r="BQ25" s="4" t="s">
        <v>1150</v>
      </c>
      <c r="BR25" s="4"/>
      <c r="BS25" s="4"/>
      <c r="BT25" s="4" t="s">
        <v>128</v>
      </c>
      <c r="BU25" s="4" t="s">
        <v>129</v>
      </c>
      <c r="BV25" s="4" t="s">
        <v>129</v>
      </c>
      <c r="BW25" s="4" t="s">
        <v>130</v>
      </c>
      <c r="BX25" s="4"/>
      <c r="BY25" s="4"/>
      <c r="BZ25" s="4"/>
      <c r="CA25" s="4"/>
      <c r="CB25" s="4"/>
      <c r="CC25" s="4"/>
      <c r="CD25" s="4"/>
      <c r="CE25" s="4"/>
      <c r="CF25" s="4" t="s">
        <v>130</v>
      </c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 t="s">
        <v>132</v>
      </c>
      <c r="CT25" s="4" t="s">
        <v>133</v>
      </c>
      <c r="CU25" s="4" t="s">
        <v>134</v>
      </c>
      <c r="CV25" s="4"/>
    </row>
    <row r="26" spans="1:100" x14ac:dyDescent="0.2">
      <c r="A26" s="26" t="b">
        <v>0</v>
      </c>
      <c r="B26" s="26" t="b">
        <v>0</v>
      </c>
      <c r="C26" s="26" t="b">
        <v>0</v>
      </c>
      <c r="D26" s="26" t="b">
        <v>0</v>
      </c>
      <c r="E26" s="26" t="b">
        <v>0</v>
      </c>
      <c r="F26" s="26" t="b">
        <v>0</v>
      </c>
      <c r="G26" s="27"/>
      <c r="H26" s="4" t="s">
        <v>1221</v>
      </c>
      <c r="I26" s="4" t="s">
        <v>1222</v>
      </c>
      <c r="J26" s="4" t="s">
        <v>1108</v>
      </c>
      <c r="K26" s="4" t="s">
        <v>1223</v>
      </c>
      <c r="L26" s="4" t="s">
        <v>255</v>
      </c>
      <c r="M26" s="4"/>
      <c r="N26" s="4" t="s">
        <v>1224</v>
      </c>
      <c r="O26" s="4"/>
      <c r="P26" s="4"/>
      <c r="Q26" s="4" t="s">
        <v>1225</v>
      </c>
      <c r="R26" s="4" t="s">
        <v>129</v>
      </c>
      <c r="S26" s="4"/>
      <c r="T26" s="4"/>
      <c r="U26" s="4"/>
      <c r="V26" s="4"/>
      <c r="W26" s="4" t="s">
        <v>1226</v>
      </c>
      <c r="X26" s="4" t="s">
        <v>173</v>
      </c>
      <c r="Y26" s="4" t="s">
        <v>132</v>
      </c>
      <c r="Z26" s="4" t="s">
        <v>142</v>
      </c>
      <c r="AA26" s="4" t="s">
        <v>115</v>
      </c>
      <c r="AB26" s="4"/>
      <c r="AC26" s="4"/>
      <c r="AD26" s="4"/>
      <c r="AE26" s="4"/>
      <c r="AF26" s="4"/>
      <c r="AG26" s="4"/>
      <c r="AH26" s="4" t="s">
        <v>116</v>
      </c>
      <c r="AI26" s="10" t="s">
        <v>147</v>
      </c>
      <c r="AJ26" s="10" t="s">
        <v>147</v>
      </c>
      <c r="AK26" s="4" t="s">
        <v>574</v>
      </c>
      <c r="AL26" s="4"/>
      <c r="AM26" s="4"/>
      <c r="AN26" s="4"/>
      <c r="AO26" s="4"/>
      <c r="AP26" s="4"/>
      <c r="AQ26" s="4"/>
      <c r="AR26" s="4"/>
      <c r="AS26" s="4"/>
      <c r="AT26" s="4" t="s">
        <v>1227</v>
      </c>
      <c r="AU26" s="5" t="str">
        <f>IF($AT26="","",IFERROR(INDEX(InstructorMap!$B:$B, MATCH($AT26, InstructorMap!$A:$A, 0)),""))</f>
        <v/>
      </c>
      <c r="AV26" s="5" t="str">
        <f>IF($AT26="","",IFERROR(INDEX(InstructorMap!$C:$C, MATCH($AT26, InstructorMap!$A:$A, 0)),""))</f>
        <v/>
      </c>
      <c r="AW26" s="4" t="s">
        <v>121</v>
      </c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 t="s">
        <v>1108</v>
      </c>
      <c r="BI26" s="4" t="s">
        <v>124</v>
      </c>
      <c r="BJ26" s="4" t="s">
        <v>125</v>
      </c>
      <c r="BK26" s="4"/>
      <c r="BL26" s="4" t="s">
        <v>481</v>
      </c>
      <c r="BM26" s="4"/>
      <c r="BN26" s="4"/>
      <c r="BO26" s="4" t="s">
        <v>127</v>
      </c>
      <c r="BP26" s="4"/>
      <c r="BQ26" s="4" t="s">
        <v>1150</v>
      </c>
      <c r="BR26" s="4"/>
      <c r="BS26" s="4"/>
      <c r="BT26" s="4" t="s">
        <v>128</v>
      </c>
      <c r="BU26" s="4" t="s">
        <v>129</v>
      </c>
      <c r="BV26" s="4" t="s">
        <v>129</v>
      </c>
      <c r="BW26" s="4" t="s">
        <v>130</v>
      </c>
      <c r="BX26" s="4"/>
      <c r="BY26" s="4"/>
      <c r="BZ26" s="4"/>
      <c r="CA26" s="4"/>
      <c r="CB26" s="4"/>
      <c r="CC26" s="4"/>
      <c r="CD26" s="4"/>
      <c r="CE26" s="4"/>
      <c r="CF26" s="4" t="s">
        <v>130</v>
      </c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 t="s">
        <v>249</v>
      </c>
      <c r="CS26" s="10" t="s">
        <v>147</v>
      </c>
      <c r="CT26" s="4" t="s">
        <v>133</v>
      </c>
      <c r="CU26" s="4" t="s">
        <v>134</v>
      </c>
      <c r="CV26" s="4"/>
    </row>
    <row r="27" spans="1:100" x14ac:dyDescent="0.2">
      <c r="A27" s="26" t="b">
        <v>0</v>
      </c>
      <c r="B27" s="26" t="b">
        <v>0</v>
      </c>
      <c r="C27" s="26" t="b">
        <v>0</v>
      </c>
      <c r="D27" s="26" t="b">
        <v>0</v>
      </c>
      <c r="E27" s="26" t="b">
        <v>0</v>
      </c>
      <c r="F27" s="26" t="b">
        <v>0</v>
      </c>
      <c r="G27" s="27"/>
      <c r="H27" s="4" t="s">
        <v>1228</v>
      </c>
      <c r="I27" s="4" t="s">
        <v>1222</v>
      </c>
      <c r="J27" s="4" t="s">
        <v>1108</v>
      </c>
      <c r="K27" s="4" t="s">
        <v>1223</v>
      </c>
      <c r="L27" s="4" t="s">
        <v>255</v>
      </c>
      <c r="M27" s="4"/>
      <c r="N27" s="4" t="s">
        <v>1224</v>
      </c>
      <c r="O27" s="4"/>
      <c r="P27" s="4"/>
      <c r="Q27" s="4" t="s">
        <v>1225</v>
      </c>
      <c r="R27" s="4" t="s">
        <v>129</v>
      </c>
      <c r="S27" s="4"/>
      <c r="T27" s="4"/>
      <c r="U27" s="4"/>
      <c r="V27" s="4"/>
      <c r="W27" s="4" t="s">
        <v>1226</v>
      </c>
      <c r="X27" s="4" t="s">
        <v>173</v>
      </c>
      <c r="Y27" s="4" t="s">
        <v>132</v>
      </c>
      <c r="Z27" s="4" t="s">
        <v>142</v>
      </c>
      <c r="AA27" s="4" t="s">
        <v>115</v>
      </c>
      <c r="AB27" s="4"/>
      <c r="AC27" s="4"/>
      <c r="AD27" s="4"/>
      <c r="AE27" s="4"/>
      <c r="AF27" s="4"/>
      <c r="AG27" s="4"/>
      <c r="AH27" s="4" t="s">
        <v>116</v>
      </c>
      <c r="AI27" s="10" t="s">
        <v>147</v>
      </c>
      <c r="AJ27" s="10" t="s">
        <v>147</v>
      </c>
      <c r="AK27" s="4"/>
      <c r="AL27" s="4"/>
      <c r="AM27" s="4"/>
      <c r="AN27" s="4"/>
      <c r="AO27" s="4"/>
      <c r="AP27" s="4" t="s">
        <v>527</v>
      </c>
      <c r="AQ27" s="4"/>
      <c r="AR27" s="4"/>
      <c r="AS27" s="4"/>
      <c r="AT27" s="4" t="s">
        <v>1227</v>
      </c>
      <c r="AU27" s="5" t="str">
        <f>IF($AT27="","",IFERROR(INDEX(InstructorMap!$B:$B, MATCH($AT27, InstructorMap!$A:$A, 0)),""))</f>
        <v/>
      </c>
      <c r="AV27" s="5" t="str">
        <f>IF($AT27="","",IFERROR(INDEX(InstructorMap!$C:$C, MATCH($AT27, InstructorMap!$A:$A, 0)),""))</f>
        <v/>
      </c>
      <c r="AW27" s="4" t="s">
        <v>121</v>
      </c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 t="s">
        <v>1108</v>
      </c>
      <c r="BI27" s="4" t="s">
        <v>124</v>
      </c>
      <c r="BJ27" s="4" t="s">
        <v>125</v>
      </c>
      <c r="BK27" s="4"/>
      <c r="BL27" s="4" t="s">
        <v>481</v>
      </c>
      <c r="BM27" s="4"/>
      <c r="BN27" s="4"/>
      <c r="BO27" s="4" t="s">
        <v>127</v>
      </c>
      <c r="BP27" s="4"/>
      <c r="BQ27" s="4" t="s">
        <v>1150</v>
      </c>
      <c r="BR27" s="4"/>
      <c r="BS27" s="4"/>
      <c r="BT27" s="4" t="s">
        <v>128</v>
      </c>
      <c r="BU27" s="4" t="s">
        <v>129</v>
      </c>
      <c r="BV27" s="4" t="s">
        <v>129</v>
      </c>
      <c r="BW27" s="4" t="s">
        <v>130</v>
      </c>
      <c r="BX27" s="4"/>
      <c r="BY27" s="4"/>
      <c r="BZ27" s="4"/>
      <c r="CA27" s="4"/>
      <c r="CB27" s="4"/>
      <c r="CC27" s="4"/>
      <c r="CD27" s="4"/>
      <c r="CE27" s="4"/>
      <c r="CF27" s="4" t="s">
        <v>130</v>
      </c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 t="s">
        <v>249</v>
      </c>
      <c r="CS27" s="10" t="s">
        <v>147</v>
      </c>
      <c r="CT27" s="4" t="s">
        <v>133</v>
      </c>
      <c r="CU27" s="4" t="s">
        <v>134</v>
      </c>
      <c r="CV27" s="4"/>
    </row>
    <row r="28" spans="1:100" x14ac:dyDescent="0.2">
      <c r="A28" s="26" t="b">
        <v>0</v>
      </c>
      <c r="B28" s="26" t="b">
        <v>0</v>
      </c>
      <c r="C28" s="26" t="b">
        <v>0</v>
      </c>
      <c r="D28" s="26" t="b">
        <v>0</v>
      </c>
      <c r="E28" s="26" t="b">
        <v>0</v>
      </c>
      <c r="F28" s="26" t="b">
        <v>0</v>
      </c>
      <c r="G28" s="27"/>
      <c r="H28" s="4" t="s">
        <v>1229</v>
      </c>
      <c r="I28" s="4" t="s">
        <v>1230</v>
      </c>
      <c r="J28" s="4" t="s">
        <v>1108</v>
      </c>
      <c r="K28" s="4" t="s">
        <v>1223</v>
      </c>
      <c r="L28" s="4" t="s">
        <v>252</v>
      </c>
      <c r="M28" s="4"/>
      <c r="N28" s="4" t="s">
        <v>1224</v>
      </c>
      <c r="O28" s="4"/>
      <c r="P28" s="4"/>
      <c r="Q28" s="4" t="s">
        <v>1225</v>
      </c>
      <c r="R28" s="4" t="s">
        <v>108</v>
      </c>
      <c r="S28" s="4"/>
      <c r="T28" s="4"/>
      <c r="U28" s="4"/>
      <c r="V28" s="4"/>
      <c r="W28" s="4" t="s">
        <v>1226</v>
      </c>
      <c r="X28" s="4"/>
      <c r="Y28" s="4" t="s">
        <v>132</v>
      </c>
      <c r="Z28" s="4" t="s">
        <v>142</v>
      </c>
      <c r="AA28" s="4" t="s">
        <v>115</v>
      </c>
      <c r="AB28" s="4"/>
      <c r="AC28" s="4"/>
      <c r="AD28" s="4" t="s">
        <v>115</v>
      </c>
      <c r="AE28" s="4" t="s">
        <v>116</v>
      </c>
      <c r="AF28" s="4"/>
      <c r="AG28" s="4"/>
      <c r="AH28" s="4" t="s">
        <v>116</v>
      </c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 t="s">
        <v>1231</v>
      </c>
      <c r="AU28" s="5" t="str">
        <f>IF($AT28="","",IFERROR(INDEX(InstructorMap!$B:$B, MATCH($AT28, InstructorMap!$A:$A, 0)),""))</f>
        <v>mcleane@andrews.edu</v>
      </c>
      <c r="AV28" s="5" t="str">
        <f>IF($AT28="","",IFERROR(INDEX(InstructorMap!$C:$C, MATCH($AT28, InstructorMap!$A:$A, 0)),""))</f>
        <v>000049564</v>
      </c>
      <c r="AW28" s="4" t="s">
        <v>121</v>
      </c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 t="s">
        <v>351</v>
      </c>
      <c r="BI28" s="4" t="s">
        <v>124</v>
      </c>
      <c r="BJ28" s="4" t="s">
        <v>125</v>
      </c>
      <c r="BK28" s="4"/>
      <c r="BL28" s="4" t="s">
        <v>481</v>
      </c>
      <c r="BM28" s="4"/>
      <c r="BN28" s="4"/>
      <c r="BO28" s="4" t="s">
        <v>127</v>
      </c>
      <c r="BP28" s="4"/>
      <c r="BQ28" s="4" t="s">
        <v>1150</v>
      </c>
      <c r="BR28" s="4"/>
      <c r="BS28" s="4"/>
      <c r="BT28" s="4" t="s">
        <v>128</v>
      </c>
      <c r="BU28" s="4" t="s">
        <v>129</v>
      </c>
      <c r="BV28" s="4" t="s">
        <v>129</v>
      </c>
      <c r="BW28" s="4" t="s">
        <v>130</v>
      </c>
      <c r="BX28" s="4"/>
      <c r="BY28" s="4"/>
      <c r="BZ28" s="4"/>
      <c r="CA28" s="4"/>
      <c r="CB28" s="4"/>
      <c r="CC28" s="4"/>
      <c r="CD28" s="4"/>
      <c r="CE28" s="4"/>
      <c r="CF28" s="4" t="s">
        <v>130</v>
      </c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 t="s">
        <v>249</v>
      </c>
      <c r="CS28" s="4" t="s">
        <v>132</v>
      </c>
      <c r="CT28" s="4" t="s">
        <v>133</v>
      </c>
      <c r="CU28" s="4" t="s">
        <v>134</v>
      </c>
      <c r="CV28" s="4"/>
    </row>
    <row r="29" spans="1:100" x14ac:dyDescent="0.2">
      <c r="A29" s="26" t="b">
        <v>0</v>
      </c>
      <c r="B29" s="26" t="b">
        <v>0</v>
      </c>
      <c r="C29" s="26" t="b">
        <v>0</v>
      </c>
      <c r="D29" s="26" t="b">
        <v>0</v>
      </c>
      <c r="E29" s="26" t="b">
        <v>0</v>
      </c>
      <c r="F29" s="26" t="b">
        <v>0</v>
      </c>
      <c r="G29" s="27"/>
      <c r="H29" s="4" t="s">
        <v>1232</v>
      </c>
      <c r="I29" s="4" t="s">
        <v>1233</v>
      </c>
      <c r="J29" s="4" t="s">
        <v>1108</v>
      </c>
      <c r="K29" s="4" t="s">
        <v>1223</v>
      </c>
      <c r="L29" s="4" t="s">
        <v>297</v>
      </c>
      <c r="M29" s="4"/>
      <c r="N29" s="4" t="s">
        <v>1224</v>
      </c>
      <c r="O29" s="4"/>
      <c r="P29" s="4"/>
      <c r="Q29" s="4" t="s">
        <v>1225</v>
      </c>
      <c r="R29" s="4" t="s">
        <v>129</v>
      </c>
      <c r="S29" s="4"/>
      <c r="T29" s="4"/>
      <c r="U29" s="4"/>
      <c r="V29" s="4"/>
      <c r="W29" s="4" t="s">
        <v>1226</v>
      </c>
      <c r="X29" s="4" t="s">
        <v>173</v>
      </c>
      <c r="Y29" s="4" t="s">
        <v>132</v>
      </c>
      <c r="Z29" s="4" t="s">
        <v>142</v>
      </c>
      <c r="AA29" s="4" t="s">
        <v>115</v>
      </c>
      <c r="AB29" s="4"/>
      <c r="AC29" s="4"/>
      <c r="AD29" s="4"/>
      <c r="AE29" s="4"/>
      <c r="AF29" s="4"/>
      <c r="AG29" s="4"/>
      <c r="AH29" s="4" t="s">
        <v>116</v>
      </c>
      <c r="AI29" s="10" t="s">
        <v>147</v>
      </c>
      <c r="AJ29" s="10" t="s">
        <v>147</v>
      </c>
      <c r="AK29" s="4" t="s">
        <v>574</v>
      </c>
      <c r="AL29" s="10" t="s">
        <v>732</v>
      </c>
      <c r="AM29" s="10" t="s">
        <v>732</v>
      </c>
      <c r="AN29" s="10" t="s">
        <v>732</v>
      </c>
      <c r="AO29" s="10" t="s">
        <v>732</v>
      </c>
      <c r="AP29" s="4"/>
      <c r="AQ29" s="4"/>
      <c r="AR29" s="4"/>
      <c r="AS29" s="4"/>
      <c r="AT29" s="4" t="s">
        <v>1234</v>
      </c>
      <c r="AU29" s="5" t="str">
        <f>IF($AT29="","",IFERROR(INDEX(InstructorMap!$B:$B, MATCH($AT29, InstructorMap!$A:$A, 0)),""))</f>
        <v/>
      </c>
      <c r="AV29" s="5" t="str">
        <f>IF($AT29="","",IFERROR(INDEX(InstructorMap!$C:$C, MATCH($AT29, InstructorMap!$A:$A, 0)),""))</f>
        <v/>
      </c>
      <c r="AW29" s="4" t="s">
        <v>121</v>
      </c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 t="s">
        <v>1108</v>
      </c>
      <c r="BI29" s="4" t="s">
        <v>124</v>
      </c>
      <c r="BJ29" s="4" t="s">
        <v>125</v>
      </c>
      <c r="BK29" s="4"/>
      <c r="BL29" s="4" t="s">
        <v>481</v>
      </c>
      <c r="BM29" s="4"/>
      <c r="BN29" s="4"/>
      <c r="BO29" s="4" t="s">
        <v>127</v>
      </c>
      <c r="BP29" s="4"/>
      <c r="BQ29" s="4" t="s">
        <v>1150</v>
      </c>
      <c r="BR29" s="4"/>
      <c r="BS29" s="4"/>
      <c r="BT29" s="4" t="s">
        <v>128</v>
      </c>
      <c r="BU29" s="4" t="s">
        <v>129</v>
      </c>
      <c r="BV29" s="4" t="s">
        <v>129</v>
      </c>
      <c r="BW29" s="4" t="s">
        <v>130</v>
      </c>
      <c r="BX29" s="4"/>
      <c r="BY29" s="4"/>
      <c r="BZ29" s="4"/>
      <c r="CA29" s="4"/>
      <c r="CB29" s="4"/>
      <c r="CC29" s="4"/>
      <c r="CD29" s="4"/>
      <c r="CE29" s="4"/>
      <c r="CF29" s="4" t="s">
        <v>130</v>
      </c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 t="s">
        <v>249</v>
      </c>
      <c r="CS29" s="10" t="s">
        <v>147</v>
      </c>
      <c r="CT29" s="4" t="s">
        <v>133</v>
      </c>
      <c r="CU29" s="4" t="s">
        <v>134</v>
      </c>
      <c r="CV29" s="4"/>
    </row>
    <row r="30" spans="1:100" x14ac:dyDescent="0.2">
      <c r="A30" s="26" t="b">
        <v>0</v>
      </c>
      <c r="B30" s="26" t="b">
        <v>0</v>
      </c>
      <c r="C30" s="26" t="b">
        <v>0</v>
      </c>
      <c r="D30" s="26" t="b">
        <v>0</v>
      </c>
      <c r="E30" s="26" t="b">
        <v>0</v>
      </c>
      <c r="F30" s="26" t="b">
        <v>0</v>
      </c>
      <c r="G30" s="27"/>
      <c r="H30" s="4" t="s">
        <v>1235</v>
      </c>
      <c r="I30" s="4" t="s">
        <v>1233</v>
      </c>
      <c r="J30" s="4" t="s">
        <v>1108</v>
      </c>
      <c r="K30" s="4" t="s">
        <v>1223</v>
      </c>
      <c r="L30" s="4" t="s">
        <v>297</v>
      </c>
      <c r="M30" s="4"/>
      <c r="N30" s="4" t="s">
        <v>1224</v>
      </c>
      <c r="O30" s="4"/>
      <c r="P30" s="4"/>
      <c r="Q30" s="4" t="s">
        <v>1225</v>
      </c>
      <c r="R30" s="4" t="s">
        <v>129</v>
      </c>
      <c r="S30" s="4"/>
      <c r="T30" s="4"/>
      <c r="U30" s="4"/>
      <c r="V30" s="4"/>
      <c r="W30" s="4" t="s">
        <v>1226</v>
      </c>
      <c r="X30" s="4" t="s">
        <v>173</v>
      </c>
      <c r="Y30" s="4" t="s">
        <v>132</v>
      </c>
      <c r="Z30" s="4" t="s">
        <v>142</v>
      </c>
      <c r="AA30" s="4" t="s">
        <v>115</v>
      </c>
      <c r="AB30" s="4"/>
      <c r="AC30" s="4"/>
      <c r="AD30" s="4"/>
      <c r="AE30" s="4"/>
      <c r="AF30" s="4"/>
      <c r="AG30" s="4"/>
      <c r="AH30" s="4" t="s">
        <v>116</v>
      </c>
      <c r="AI30" s="10" t="s">
        <v>147</v>
      </c>
      <c r="AJ30" s="10" t="s">
        <v>147</v>
      </c>
      <c r="AK30" s="4"/>
      <c r="AL30" s="10" t="s">
        <v>732</v>
      </c>
      <c r="AM30" s="10" t="s">
        <v>732</v>
      </c>
      <c r="AN30" s="10" t="s">
        <v>732</v>
      </c>
      <c r="AO30" s="10" t="s">
        <v>732</v>
      </c>
      <c r="AP30" s="4" t="s">
        <v>527</v>
      </c>
      <c r="AQ30" s="4"/>
      <c r="AR30" s="4"/>
      <c r="AS30" s="4"/>
      <c r="AT30" s="4" t="s">
        <v>1234</v>
      </c>
      <c r="AU30" s="5" t="str">
        <f>IF($AT30="","",IFERROR(INDEX(InstructorMap!$B:$B, MATCH($AT30, InstructorMap!$A:$A, 0)),""))</f>
        <v/>
      </c>
      <c r="AV30" s="5" t="str">
        <f>IF($AT30="","",IFERROR(INDEX(InstructorMap!$C:$C, MATCH($AT30, InstructorMap!$A:$A, 0)),""))</f>
        <v/>
      </c>
      <c r="AW30" s="4" t="s">
        <v>121</v>
      </c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 t="s">
        <v>1108</v>
      </c>
      <c r="BI30" s="4" t="s">
        <v>124</v>
      </c>
      <c r="BJ30" s="4" t="s">
        <v>125</v>
      </c>
      <c r="BK30" s="4"/>
      <c r="BL30" s="4" t="s">
        <v>481</v>
      </c>
      <c r="BM30" s="4"/>
      <c r="BN30" s="4"/>
      <c r="BO30" s="4" t="s">
        <v>127</v>
      </c>
      <c r="BP30" s="4"/>
      <c r="BQ30" s="4" t="s">
        <v>1150</v>
      </c>
      <c r="BR30" s="4"/>
      <c r="BS30" s="4"/>
      <c r="BT30" s="4" t="s">
        <v>128</v>
      </c>
      <c r="BU30" s="4" t="s">
        <v>129</v>
      </c>
      <c r="BV30" s="4" t="s">
        <v>129</v>
      </c>
      <c r="BW30" s="4" t="s">
        <v>130</v>
      </c>
      <c r="BX30" s="4"/>
      <c r="BY30" s="4"/>
      <c r="BZ30" s="4"/>
      <c r="CA30" s="4"/>
      <c r="CB30" s="4"/>
      <c r="CC30" s="4"/>
      <c r="CD30" s="4"/>
      <c r="CE30" s="4"/>
      <c r="CF30" s="4" t="s">
        <v>130</v>
      </c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 t="s">
        <v>249</v>
      </c>
      <c r="CS30" s="10" t="s">
        <v>147</v>
      </c>
      <c r="CT30" s="4" t="s">
        <v>133</v>
      </c>
      <c r="CU30" s="4" t="s">
        <v>134</v>
      </c>
      <c r="CV30" s="4"/>
    </row>
    <row r="31" spans="1:100" x14ac:dyDescent="0.2">
      <c r="A31" s="26" t="b">
        <v>0</v>
      </c>
      <c r="B31" s="26" t="b">
        <v>0</v>
      </c>
      <c r="C31" s="26" t="b">
        <v>0</v>
      </c>
      <c r="D31" s="26" t="b">
        <v>0</v>
      </c>
      <c r="E31" s="26" t="b">
        <v>0</v>
      </c>
      <c r="F31" s="26" t="b">
        <v>0</v>
      </c>
      <c r="G31" s="27"/>
      <c r="H31" s="4" t="s">
        <v>1236</v>
      </c>
      <c r="I31" s="4" t="s">
        <v>1237</v>
      </c>
      <c r="J31" s="4" t="s">
        <v>1108</v>
      </c>
      <c r="K31" s="4" t="s">
        <v>1223</v>
      </c>
      <c r="L31" s="4" t="s">
        <v>244</v>
      </c>
      <c r="M31" s="4"/>
      <c r="N31" s="4" t="s">
        <v>1224</v>
      </c>
      <c r="O31" s="4"/>
      <c r="P31" s="4"/>
      <c r="Q31" s="4" t="s">
        <v>1225</v>
      </c>
      <c r="R31" s="4" t="s">
        <v>108</v>
      </c>
      <c r="S31" s="4"/>
      <c r="T31" s="4"/>
      <c r="U31" s="4"/>
      <c r="V31" s="4"/>
      <c r="W31" s="4" t="s">
        <v>1226</v>
      </c>
      <c r="X31" s="4"/>
      <c r="Y31" s="4" t="s">
        <v>132</v>
      </c>
      <c r="Z31" s="4" t="s">
        <v>142</v>
      </c>
      <c r="AA31" s="4" t="s">
        <v>115</v>
      </c>
      <c r="AB31" s="4"/>
      <c r="AC31" s="4"/>
      <c r="AD31" s="4" t="s">
        <v>115</v>
      </c>
      <c r="AE31" s="4" t="s">
        <v>116</v>
      </c>
      <c r="AF31" s="4"/>
      <c r="AG31" s="4"/>
      <c r="AH31" s="4" t="s">
        <v>116</v>
      </c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 t="s">
        <v>1238</v>
      </c>
      <c r="AU31" s="5" t="str">
        <f>IF($AT31="","",IFERROR(INDEX(InstructorMap!$B:$B, MATCH($AT31, InstructorMap!$A:$A, 0)),""))</f>
        <v>lewismi@andrews.edu</v>
      </c>
      <c r="AV31" s="5" t="str">
        <f>IF($AT31="","",IFERROR(INDEX(InstructorMap!$C:$C, MATCH($AT31, InstructorMap!$A:$A, 0)),""))</f>
        <v>000096645</v>
      </c>
      <c r="AW31" s="4" t="s">
        <v>121</v>
      </c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 t="s">
        <v>351</v>
      </c>
      <c r="BI31" s="4" t="s">
        <v>124</v>
      </c>
      <c r="BJ31" s="4" t="s">
        <v>125</v>
      </c>
      <c r="BK31" s="4"/>
      <c r="BL31" s="4" t="s">
        <v>481</v>
      </c>
      <c r="BM31" s="4"/>
      <c r="BN31" s="4"/>
      <c r="BO31" s="4" t="s">
        <v>127</v>
      </c>
      <c r="BP31" s="4"/>
      <c r="BQ31" s="4" t="s">
        <v>1150</v>
      </c>
      <c r="BR31" s="4"/>
      <c r="BS31" s="4"/>
      <c r="BT31" s="4" t="s">
        <v>128</v>
      </c>
      <c r="BU31" s="4" t="s">
        <v>129</v>
      </c>
      <c r="BV31" s="4" t="s">
        <v>129</v>
      </c>
      <c r="BW31" s="4" t="s">
        <v>130</v>
      </c>
      <c r="BX31" s="4"/>
      <c r="BY31" s="4"/>
      <c r="BZ31" s="4"/>
      <c r="CA31" s="4"/>
      <c r="CB31" s="4"/>
      <c r="CC31" s="4"/>
      <c r="CD31" s="4"/>
      <c r="CE31" s="4"/>
      <c r="CF31" s="4" t="s">
        <v>130</v>
      </c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 t="s">
        <v>249</v>
      </c>
      <c r="CS31" s="4" t="s">
        <v>132</v>
      </c>
      <c r="CT31" s="4" t="s">
        <v>133</v>
      </c>
      <c r="CU31" s="4" t="s">
        <v>134</v>
      </c>
      <c r="CV31" s="4"/>
    </row>
    <row r="32" spans="1:100" x14ac:dyDescent="0.2">
      <c r="A32" s="30" t="b">
        <v>0</v>
      </c>
      <c r="B32" s="31" t="b">
        <v>0</v>
      </c>
      <c r="C32" s="31" t="b">
        <v>0</v>
      </c>
      <c r="D32" s="31" t="b">
        <v>0</v>
      </c>
      <c r="E32" s="31" t="b">
        <v>0</v>
      </c>
      <c r="F32" s="31" t="b">
        <v>0</v>
      </c>
      <c r="G32" s="8"/>
      <c r="H32" s="8" t="s">
        <v>1239</v>
      </c>
      <c r="I32" s="8" t="s">
        <v>1240</v>
      </c>
      <c r="J32" s="8" t="s">
        <v>1108</v>
      </c>
      <c r="K32" s="8" t="s">
        <v>1223</v>
      </c>
      <c r="L32" s="8" t="s">
        <v>258</v>
      </c>
      <c r="M32" s="8"/>
      <c r="N32" s="8" t="s">
        <v>1224</v>
      </c>
      <c r="O32" s="8"/>
      <c r="P32" s="8"/>
      <c r="Q32" s="8" t="s">
        <v>1225</v>
      </c>
      <c r="R32" s="8" t="s">
        <v>129</v>
      </c>
      <c r="S32" s="8"/>
      <c r="T32" s="8"/>
      <c r="U32" s="8"/>
      <c r="V32" s="8"/>
      <c r="W32" s="8" t="s">
        <v>1226</v>
      </c>
      <c r="X32" s="8"/>
      <c r="Y32" s="8" t="s">
        <v>193</v>
      </c>
      <c r="Z32" s="8" t="s">
        <v>142</v>
      </c>
      <c r="AA32" s="8" t="s">
        <v>115</v>
      </c>
      <c r="AB32" s="8"/>
      <c r="AC32" s="8"/>
      <c r="AD32" s="8" t="s">
        <v>115</v>
      </c>
      <c r="AE32" s="8" t="s">
        <v>116</v>
      </c>
      <c r="AF32" s="8"/>
      <c r="AG32" s="8"/>
      <c r="AH32" s="8" t="s">
        <v>116</v>
      </c>
      <c r="AI32" s="8" t="s">
        <v>175</v>
      </c>
      <c r="AJ32" s="8" t="s">
        <v>277</v>
      </c>
      <c r="AK32" s="8" t="s">
        <v>574</v>
      </c>
      <c r="AL32" s="8"/>
      <c r="AM32" s="8"/>
      <c r="AN32" s="8"/>
      <c r="AO32" s="8"/>
      <c r="AP32" s="8"/>
      <c r="AQ32" s="8"/>
      <c r="AR32" s="8"/>
      <c r="AS32" s="8"/>
      <c r="AT32" s="8" t="s">
        <v>1241</v>
      </c>
      <c r="AU32" s="9" t="str">
        <f>IF($AT32="","",IFERROR(INDEX(InstructorMap!$B:$B, MATCH($AT32, InstructorMap!$A:$A, 0)),""))</f>
        <v>elir@andrews.edu</v>
      </c>
      <c r="AV32" s="9" t="str">
        <f>IF($AT32="","",IFERROR(INDEX(InstructorMap!$C:$C, MATCH($AT32, InstructorMap!$A:$A, 0)),""))</f>
        <v>000095431</v>
      </c>
      <c r="AW32" s="8" t="s">
        <v>121</v>
      </c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 t="s">
        <v>351</v>
      </c>
      <c r="BI32" s="8" t="s">
        <v>124</v>
      </c>
      <c r="BJ32" s="8" t="s">
        <v>125</v>
      </c>
      <c r="BK32" s="8"/>
      <c r="BL32" s="8" t="s">
        <v>481</v>
      </c>
      <c r="BM32" s="8"/>
      <c r="BN32" s="8"/>
      <c r="BO32" s="8" t="s">
        <v>127</v>
      </c>
      <c r="BP32" s="8"/>
      <c r="BQ32" s="8" t="s">
        <v>1150</v>
      </c>
      <c r="BR32" s="8"/>
      <c r="BS32" s="8"/>
      <c r="BT32" s="8" t="s">
        <v>128</v>
      </c>
      <c r="BU32" s="8" t="s">
        <v>129</v>
      </c>
      <c r="BV32" s="8" t="s">
        <v>129</v>
      </c>
      <c r="BW32" s="8" t="s">
        <v>130</v>
      </c>
      <c r="BX32" s="8"/>
      <c r="BY32" s="8"/>
      <c r="BZ32" s="8"/>
      <c r="CA32" s="8"/>
      <c r="CB32" s="8"/>
      <c r="CC32" s="8"/>
      <c r="CD32" s="8"/>
      <c r="CE32" s="8"/>
      <c r="CF32" s="8" t="s">
        <v>130</v>
      </c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 t="s">
        <v>249</v>
      </c>
      <c r="CS32" s="8" t="s">
        <v>132</v>
      </c>
      <c r="CT32" s="8" t="s">
        <v>133</v>
      </c>
      <c r="CU32" s="8" t="s">
        <v>134</v>
      </c>
      <c r="CV32" s="8"/>
    </row>
    <row r="33" spans="1:100" x14ac:dyDescent="0.2">
      <c r="A33" s="30" t="b">
        <v>0</v>
      </c>
      <c r="B33" s="31" t="b">
        <v>0</v>
      </c>
      <c r="C33" s="31" t="b">
        <v>0</v>
      </c>
      <c r="D33" s="31" t="b">
        <v>0</v>
      </c>
      <c r="E33" s="31" t="b">
        <v>0</v>
      </c>
      <c r="F33" s="31" t="b">
        <v>0</v>
      </c>
      <c r="G33" s="8"/>
      <c r="H33" s="8" t="s">
        <v>1242</v>
      </c>
      <c r="I33" s="8" t="s">
        <v>1240</v>
      </c>
      <c r="J33" s="8" t="s">
        <v>1108</v>
      </c>
      <c r="K33" s="8" t="s">
        <v>1223</v>
      </c>
      <c r="L33" s="8" t="s">
        <v>258</v>
      </c>
      <c r="M33" s="8"/>
      <c r="N33" s="8" t="s">
        <v>1224</v>
      </c>
      <c r="O33" s="8"/>
      <c r="P33" s="8"/>
      <c r="Q33" s="8" t="s">
        <v>1225</v>
      </c>
      <c r="R33" s="8" t="s">
        <v>129</v>
      </c>
      <c r="S33" s="8"/>
      <c r="T33" s="8"/>
      <c r="U33" s="8"/>
      <c r="V33" s="8"/>
      <c r="W33" s="8" t="s">
        <v>1226</v>
      </c>
      <c r="X33" s="8"/>
      <c r="Y33" s="8" t="s">
        <v>193</v>
      </c>
      <c r="Z33" s="8" t="s">
        <v>142</v>
      </c>
      <c r="AA33" s="8" t="s">
        <v>115</v>
      </c>
      <c r="AB33" s="8"/>
      <c r="AC33" s="8"/>
      <c r="AD33" s="8" t="s">
        <v>115</v>
      </c>
      <c r="AE33" s="8" t="s">
        <v>116</v>
      </c>
      <c r="AF33" s="8"/>
      <c r="AG33" s="8"/>
      <c r="AH33" s="8" t="s">
        <v>116</v>
      </c>
      <c r="AI33" s="8" t="s">
        <v>175</v>
      </c>
      <c r="AJ33" s="8" t="s">
        <v>277</v>
      </c>
      <c r="AK33" s="8"/>
      <c r="AL33" s="8"/>
      <c r="AM33" s="8"/>
      <c r="AN33" s="8"/>
      <c r="AO33" s="8"/>
      <c r="AP33" s="8" t="s">
        <v>527</v>
      </c>
      <c r="AQ33" s="8"/>
      <c r="AR33" s="8"/>
      <c r="AS33" s="8"/>
      <c r="AT33" s="8" t="s">
        <v>1241</v>
      </c>
      <c r="AU33" s="9" t="str">
        <f>IF($AT33="","",IFERROR(INDEX(InstructorMap!$B:$B, MATCH($AT33, InstructorMap!$A:$A, 0)),""))</f>
        <v>elir@andrews.edu</v>
      </c>
      <c r="AV33" s="9" t="str">
        <f>IF($AT33="","",IFERROR(INDEX(InstructorMap!$C:$C, MATCH($AT33, InstructorMap!$A:$A, 0)),""))</f>
        <v>000095431</v>
      </c>
      <c r="AW33" s="8" t="s">
        <v>121</v>
      </c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 t="s">
        <v>351</v>
      </c>
      <c r="BI33" s="8" t="s">
        <v>124</v>
      </c>
      <c r="BJ33" s="8" t="s">
        <v>125</v>
      </c>
      <c r="BK33" s="8"/>
      <c r="BL33" s="8" t="s">
        <v>481</v>
      </c>
      <c r="BM33" s="8"/>
      <c r="BN33" s="8"/>
      <c r="BO33" s="8" t="s">
        <v>127</v>
      </c>
      <c r="BP33" s="8"/>
      <c r="BQ33" s="8" t="s">
        <v>1150</v>
      </c>
      <c r="BR33" s="8"/>
      <c r="BS33" s="8"/>
      <c r="BT33" s="8" t="s">
        <v>128</v>
      </c>
      <c r="BU33" s="8" t="s">
        <v>129</v>
      </c>
      <c r="BV33" s="8" t="s">
        <v>129</v>
      </c>
      <c r="BW33" s="8" t="s">
        <v>130</v>
      </c>
      <c r="BX33" s="8"/>
      <c r="BY33" s="8"/>
      <c r="BZ33" s="8"/>
      <c r="CA33" s="8"/>
      <c r="CB33" s="8"/>
      <c r="CC33" s="8"/>
      <c r="CD33" s="8"/>
      <c r="CE33" s="8"/>
      <c r="CF33" s="8" t="s">
        <v>130</v>
      </c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 t="s">
        <v>249</v>
      </c>
      <c r="CS33" s="8" t="s">
        <v>132</v>
      </c>
      <c r="CT33" s="8" t="s">
        <v>133</v>
      </c>
      <c r="CU33" s="8" t="s">
        <v>134</v>
      </c>
      <c r="CV33" s="8"/>
    </row>
    <row r="34" spans="1:100" x14ac:dyDescent="0.2">
      <c r="A34" s="4"/>
      <c r="B34" s="4"/>
      <c r="C34" s="4"/>
      <c r="D34" s="4"/>
      <c r="E34" s="4"/>
      <c r="F34" s="4"/>
      <c r="G34" s="4"/>
      <c r="H34" s="4" t="s">
        <v>1243</v>
      </c>
      <c r="I34" s="4" t="s">
        <v>1244</v>
      </c>
      <c r="J34" s="4" t="s">
        <v>1108</v>
      </c>
      <c r="K34" s="4" t="s">
        <v>1223</v>
      </c>
      <c r="L34" s="4" t="s">
        <v>302</v>
      </c>
      <c r="M34" s="4"/>
      <c r="N34" s="4" t="s">
        <v>1224</v>
      </c>
      <c r="O34" s="4"/>
      <c r="P34" s="4"/>
      <c r="Q34" s="4" t="s">
        <v>1225</v>
      </c>
      <c r="R34" s="4" t="s">
        <v>108</v>
      </c>
      <c r="S34" s="4"/>
      <c r="T34" s="4"/>
      <c r="U34" s="4"/>
      <c r="V34" s="4"/>
      <c r="W34" s="4" t="s">
        <v>1226</v>
      </c>
      <c r="X34" s="4"/>
      <c r="Y34" s="4" t="s">
        <v>132</v>
      </c>
      <c r="Z34" s="4" t="s">
        <v>142</v>
      </c>
      <c r="AA34" s="4" t="s">
        <v>115</v>
      </c>
      <c r="AB34" s="4"/>
      <c r="AC34" s="4"/>
      <c r="AD34" s="4" t="s">
        <v>115</v>
      </c>
      <c r="AE34" s="4" t="s">
        <v>116</v>
      </c>
      <c r="AF34" s="4"/>
      <c r="AG34" s="4"/>
      <c r="AH34" s="4" t="s">
        <v>116</v>
      </c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 t="s">
        <v>1241</v>
      </c>
      <c r="AU34" s="5" t="str">
        <f>IF($AT34="","",IFERROR(INDEX(InstructorMap!$B:$B, MATCH($AT34, InstructorMap!$A:$A, 0)),""))</f>
        <v>elir@andrews.edu</v>
      </c>
      <c r="AV34" s="5" t="str">
        <f>IF($AT34="","",IFERROR(INDEX(InstructorMap!$C:$C, MATCH($AT34, InstructorMap!$A:$A, 0)),""))</f>
        <v>000095431</v>
      </c>
      <c r="AW34" s="4" t="s">
        <v>121</v>
      </c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 t="s">
        <v>351</v>
      </c>
      <c r="BI34" s="4" t="s">
        <v>124</v>
      </c>
      <c r="BJ34" s="4" t="s">
        <v>125</v>
      </c>
      <c r="BK34" s="4"/>
      <c r="BL34" s="4" t="s">
        <v>481</v>
      </c>
      <c r="BM34" s="4"/>
      <c r="BN34" s="4"/>
      <c r="BO34" s="4" t="s">
        <v>127</v>
      </c>
      <c r="BP34" s="4"/>
      <c r="BQ34" s="4" t="s">
        <v>1150</v>
      </c>
      <c r="BR34" s="4"/>
      <c r="BS34" s="4"/>
      <c r="BT34" s="4" t="s">
        <v>128</v>
      </c>
      <c r="BU34" s="4" t="s">
        <v>129</v>
      </c>
      <c r="BV34" s="4" t="s">
        <v>129</v>
      </c>
      <c r="BW34" s="4" t="s">
        <v>130</v>
      </c>
      <c r="BX34" s="4"/>
      <c r="BY34" s="4"/>
      <c r="BZ34" s="4"/>
      <c r="CA34" s="4"/>
      <c r="CB34" s="4"/>
      <c r="CC34" s="4"/>
      <c r="CD34" s="4"/>
      <c r="CE34" s="4"/>
      <c r="CF34" s="4" t="s">
        <v>130</v>
      </c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 t="s">
        <v>249</v>
      </c>
      <c r="CS34" s="4" t="s">
        <v>132</v>
      </c>
      <c r="CT34" s="4" t="s">
        <v>133</v>
      </c>
      <c r="CU34" s="4" t="s">
        <v>134</v>
      </c>
      <c r="CV34" s="4"/>
    </row>
    <row r="35" spans="1:100" x14ac:dyDescent="0.2">
      <c r="A35" s="30" t="b">
        <v>0</v>
      </c>
      <c r="B35" s="31" t="b">
        <v>0</v>
      </c>
      <c r="C35" s="31" t="b">
        <v>0</v>
      </c>
      <c r="D35" s="31" t="b">
        <v>0</v>
      </c>
      <c r="E35" s="31" t="b">
        <v>0</v>
      </c>
      <c r="F35" s="31" t="b">
        <v>0</v>
      </c>
      <c r="G35" s="8"/>
      <c r="H35" s="8" t="s">
        <v>1245</v>
      </c>
      <c r="I35" s="8" t="s">
        <v>1246</v>
      </c>
      <c r="J35" s="8" t="s">
        <v>1108</v>
      </c>
      <c r="K35" s="8" t="s">
        <v>1223</v>
      </c>
      <c r="L35" s="8" t="s">
        <v>880</v>
      </c>
      <c r="M35" s="8"/>
      <c r="N35" s="8" t="s">
        <v>1224</v>
      </c>
      <c r="O35" s="8"/>
      <c r="P35" s="8"/>
      <c r="Q35" s="8" t="s">
        <v>1225</v>
      </c>
      <c r="R35" s="8" t="s">
        <v>129</v>
      </c>
      <c r="S35" s="8"/>
      <c r="T35" s="8"/>
      <c r="U35" s="8"/>
      <c r="V35" s="8"/>
      <c r="W35" s="8" t="s">
        <v>1226</v>
      </c>
      <c r="X35" s="8"/>
      <c r="Y35" s="8" t="s">
        <v>132</v>
      </c>
      <c r="Z35" s="8" t="s">
        <v>142</v>
      </c>
      <c r="AA35" s="8" t="s">
        <v>115</v>
      </c>
      <c r="AB35" s="8"/>
      <c r="AC35" s="8"/>
      <c r="AD35" s="8" t="s">
        <v>115</v>
      </c>
      <c r="AE35" s="8" t="s">
        <v>116</v>
      </c>
      <c r="AF35" s="8"/>
      <c r="AG35" s="8"/>
      <c r="AH35" s="8" t="s">
        <v>116</v>
      </c>
      <c r="AI35" s="8" t="s">
        <v>175</v>
      </c>
      <c r="AJ35" s="8" t="s">
        <v>277</v>
      </c>
      <c r="AK35" s="8" t="s">
        <v>574</v>
      </c>
      <c r="AL35" s="8"/>
      <c r="AM35" s="8"/>
      <c r="AN35" s="8"/>
      <c r="AO35" s="8"/>
      <c r="AP35" s="8"/>
      <c r="AQ35" s="8"/>
      <c r="AR35" s="8"/>
      <c r="AS35" s="8"/>
      <c r="AT35" s="8" t="s">
        <v>1247</v>
      </c>
      <c r="AU35" s="9" t="str">
        <f>IF($AT35="","",IFERROR(INDEX(InstructorMap!$B:$B, MATCH($AT35, InstructorMap!$A:$A, 0)),""))</f>
        <v>madding@andrews.edu</v>
      </c>
      <c r="AV35" s="9" t="str">
        <f>IF($AT35="","",IFERROR(INDEX(InstructorMap!$C:$C, MATCH($AT35, InstructorMap!$A:$A, 0)),""))</f>
        <v>000069917</v>
      </c>
      <c r="AW35" s="8" t="s">
        <v>121</v>
      </c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 t="s">
        <v>351</v>
      </c>
      <c r="BI35" s="8" t="s">
        <v>124</v>
      </c>
      <c r="BJ35" s="8" t="s">
        <v>125</v>
      </c>
      <c r="BK35" s="8"/>
      <c r="BL35" s="8" t="s">
        <v>481</v>
      </c>
      <c r="BM35" s="8"/>
      <c r="BN35" s="8"/>
      <c r="BO35" s="8" t="s">
        <v>127</v>
      </c>
      <c r="BP35" s="8"/>
      <c r="BQ35" s="8" t="s">
        <v>1150</v>
      </c>
      <c r="BR35" s="8"/>
      <c r="BS35" s="8"/>
      <c r="BT35" s="8" t="s">
        <v>128</v>
      </c>
      <c r="BU35" s="8" t="s">
        <v>129</v>
      </c>
      <c r="BV35" s="8" t="s">
        <v>129</v>
      </c>
      <c r="BW35" s="8" t="s">
        <v>130</v>
      </c>
      <c r="BX35" s="8"/>
      <c r="BY35" s="8"/>
      <c r="BZ35" s="8"/>
      <c r="CA35" s="8"/>
      <c r="CB35" s="8"/>
      <c r="CC35" s="8"/>
      <c r="CD35" s="8"/>
      <c r="CE35" s="8"/>
      <c r="CF35" s="8" t="s">
        <v>130</v>
      </c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 t="s">
        <v>249</v>
      </c>
      <c r="CS35" s="8" t="s">
        <v>132</v>
      </c>
      <c r="CT35" s="8" t="s">
        <v>133</v>
      </c>
      <c r="CU35" s="8" t="s">
        <v>134</v>
      </c>
      <c r="CV35" s="8"/>
    </row>
    <row r="36" spans="1:100" x14ac:dyDescent="0.2">
      <c r="A36" s="30" t="b">
        <v>0</v>
      </c>
      <c r="B36" s="31" t="b">
        <v>0</v>
      </c>
      <c r="C36" s="31" t="b">
        <v>0</v>
      </c>
      <c r="D36" s="31" t="b">
        <v>0</v>
      </c>
      <c r="E36" s="31" t="b">
        <v>0</v>
      </c>
      <c r="F36" s="31" t="b">
        <v>0</v>
      </c>
      <c r="G36" s="8"/>
      <c r="H36" s="8" t="s">
        <v>1248</v>
      </c>
      <c r="I36" s="8" t="s">
        <v>1246</v>
      </c>
      <c r="J36" s="8" t="s">
        <v>1108</v>
      </c>
      <c r="K36" s="8" t="s">
        <v>1223</v>
      </c>
      <c r="L36" s="8" t="s">
        <v>880</v>
      </c>
      <c r="M36" s="8"/>
      <c r="N36" s="8" t="s">
        <v>1224</v>
      </c>
      <c r="O36" s="8"/>
      <c r="P36" s="8"/>
      <c r="Q36" s="8" t="s">
        <v>1225</v>
      </c>
      <c r="R36" s="8" t="s">
        <v>129</v>
      </c>
      <c r="S36" s="8"/>
      <c r="T36" s="8"/>
      <c r="U36" s="8"/>
      <c r="V36" s="8"/>
      <c r="W36" s="8" t="s">
        <v>1226</v>
      </c>
      <c r="X36" s="8"/>
      <c r="Y36" s="8" t="s">
        <v>132</v>
      </c>
      <c r="Z36" s="8" t="s">
        <v>142</v>
      </c>
      <c r="AA36" s="8" t="s">
        <v>115</v>
      </c>
      <c r="AB36" s="8"/>
      <c r="AC36" s="8"/>
      <c r="AD36" s="8" t="s">
        <v>115</v>
      </c>
      <c r="AE36" s="8" t="s">
        <v>116</v>
      </c>
      <c r="AF36" s="8"/>
      <c r="AG36" s="8"/>
      <c r="AH36" s="8" t="s">
        <v>116</v>
      </c>
      <c r="AI36" s="8" t="s">
        <v>175</v>
      </c>
      <c r="AJ36" s="8" t="s">
        <v>277</v>
      </c>
      <c r="AK36" s="8"/>
      <c r="AL36" s="8"/>
      <c r="AM36" s="8"/>
      <c r="AN36" s="8"/>
      <c r="AO36" s="8"/>
      <c r="AP36" s="8" t="s">
        <v>527</v>
      </c>
      <c r="AQ36" s="8"/>
      <c r="AR36" s="8"/>
      <c r="AS36" s="8"/>
      <c r="AT36" s="8" t="s">
        <v>1247</v>
      </c>
      <c r="AU36" s="9" t="str">
        <f>IF($AT36="","",IFERROR(INDEX(InstructorMap!$B:$B, MATCH($AT36, InstructorMap!$A:$A, 0)),""))</f>
        <v>madding@andrews.edu</v>
      </c>
      <c r="AV36" s="9" t="str">
        <f>IF($AT36="","",IFERROR(INDEX(InstructorMap!$C:$C, MATCH($AT36, InstructorMap!$A:$A, 0)),""))</f>
        <v>000069917</v>
      </c>
      <c r="AW36" s="8" t="s">
        <v>121</v>
      </c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 t="s">
        <v>351</v>
      </c>
      <c r="BI36" s="8" t="s">
        <v>124</v>
      </c>
      <c r="BJ36" s="8" t="s">
        <v>125</v>
      </c>
      <c r="BK36" s="8"/>
      <c r="BL36" s="8" t="s">
        <v>481</v>
      </c>
      <c r="BM36" s="8"/>
      <c r="BN36" s="8"/>
      <c r="BO36" s="8" t="s">
        <v>127</v>
      </c>
      <c r="BP36" s="8"/>
      <c r="BQ36" s="8" t="s">
        <v>1150</v>
      </c>
      <c r="BR36" s="8"/>
      <c r="BS36" s="8"/>
      <c r="BT36" s="8" t="s">
        <v>128</v>
      </c>
      <c r="BU36" s="8" t="s">
        <v>129</v>
      </c>
      <c r="BV36" s="8" t="s">
        <v>129</v>
      </c>
      <c r="BW36" s="8" t="s">
        <v>130</v>
      </c>
      <c r="BX36" s="8"/>
      <c r="BY36" s="8"/>
      <c r="BZ36" s="8"/>
      <c r="CA36" s="8"/>
      <c r="CB36" s="8"/>
      <c r="CC36" s="8"/>
      <c r="CD36" s="8"/>
      <c r="CE36" s="8"/>
      <c r="CF36" s="8" t="s">
        <v>130</v>
      </c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 t="s">
        <v>249</v>
      </c>
      <c r="CS36" s="8" t="s">
        <v>132</v>
      </c>
      <c r="CT36" s="8" t="s">
        <v>133</v>
      </c>
      <c r="CU36" s="8" t="s">
        <v>134</v>
      </c>
      <c r="CV36" s="8"/>
    </row>
    <row r="37" spans="1:100" x14ac:dyDescent="0.2">
      <c r="A37" s="26" t="b">
        <v>0</v>
      </c>
      <c r="B37" s="26" t="b">
        <v>0</v>
      </c>
      <c r="C37" s="26" t="b">
        <v>0</v>
      </c>
      <c r="D37" s="26" t="b">
        <v>0</v>
      </c>
      <c r="E37" s="26" t="b">
        <v>0</v>
      </c>
      <c r="F37" s="26" t="b">
        <v>0</v>
      </c>
      <c r="G37" s="27"/>
      <c r="H37" s="4" t="s">
        <v>1249</v>
      </c>
      <c r="I37" s="4" t="s">
        <v>1250</v>
      </c>
      <c r="J37" s="4" t="s">
        <v>1108</v>
      </c>
      <c r="K37" s="4" t="s">
        <v>1251</v>
      </c>
      <c r="L37" s="4" t="s">
        <v>137</v>
      </c>
      <c r="M37" s="4"/>
      <c r="N37" s="4" t="s">
        <v>1252</v>
      </c>
      <c r="O37" s="4"/>
      <c r="P37" s="4"/>
      <c r="Q37" s="4"/>
      <c r="R37" s="4" t="s">
        <v>129</v>
      </c>
      <c r="S37" s="4"/>
      <c r="T37" s="4"/>
      <c r="U37" s="4"/>
      <c r="V37" s="4"/>
      <c r="W37" s="4" t="s">
        <v>134</v>
      </c>
      <c r="X37" s="4" t="s">
        <v>134</v>
      </c>
      <c r="Y37" s="4" t="s">
        <v>128</v>
      </c>
      <c r="Z37" s="4" t="s">
        <v>142</v>
      </c>
      <c r="AA37" s="4" t="s">
        <v>115</v>
      </c>
      <c r="AB37" s="4"/>
      <c r="AC37" s="4"/>
      <c r="AD37" s="4"/>
      <c r="AE37" s="4"/>
      <c r="AF37" s="4"/>
      <c r="AG37" s="4"/>
      <c r="AH37" s="4" t="s">
        <v>116</v>
      </c>
      <c r="AI37" s="10" t="s">
        <v>147</v>
      </c>
      <c r="AJ37" s="10" t="s">
        <v>147</v>
      </c>
      <c r="AK37" s="4" t="s">
        <v>574</v>
      </c>
      <c r="AL37" s="4" t="s">
        <v>119</v>
      </c>
      <c r="AM37" s="4"/>
      <c r="AN37" s="4" t="s">
        <v>177</v>
      </c>
      <c r="AO37" s="4" t="s">
        <v>221</v>
      </c>
      <c r="AP37" s="4"/>
      <c r="AQ37" s="4"/>
      <c r="AR37" s="4"/>
      <c r="AS37" s="4"/>
      <c r="AT37" s="4" t="s">
        <v>1253</v>
      </c>
      <c r="AU37" s="5" t="str">
        <f>IF($AT37="","",IFERROR(INDEX(InstructorMap!$B:$B, MATCH($AT37, InstructorMap!$A:$A, 0)),""))</f>
        <v/>
      </c>
      <c r="AV37" s="5" t="str">
        <f>IF($AT37="","",IFERROR(INDEX(InstructorMap!$C:$C, MATCH($AT37, InstructorMap!$A:$A, 0)),""))</f>
        <v/>
      </c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 t="s">
        <v>1108</v>
      </c>
      <c r="BI37" s="4" t="s">
        <v>124</v>
      </c>
      <c r="BJ37" s="4" t="s">
        <v>125</v>
      </c>
      <c r="BK37" s="4"/>
      <c r="BL37" s="4" t="s">
        <v>125</v>
      </c>
      <c r="BM37" s="4"/>
      <c r="BN37" s="4"/>
      <c r="BO37" s="4" t="s">
        <v>127</v>
      </c>
      <c r="BP37" s="4"/>
      <c r="BQ37" s="4" t="s">
        <v>1254</v>
      </c>
      <c r="BR37" s="4"/>
      <c r="BS37" s="4"/>
      <c r="BT37" s="4" t="s">
        <v>128</v>
      </c>
      <c r="BU37" s="4" t="s">
        <v>129</v>
      </c>
      <c r="BV37" s="4" t="s">
        <v>129</v>
      </c>
      <c r="BW37" s="4"/>
      <c r="BX37" s="4"/>
      <c r="BY37" s="4"/>
      <c r="BZ37" s="4"/>
      <c r="CA37" s="4"/>
      <c r="CB37" s="4"/>
      <c r="CC37" s="4"/>
      <c r="CD37" s="4"/>
      <c r="CE37" s="4"/>
      <c r="CF37" s="4" t="s">
        <v>130</v>
      </c>
      <c r="CG37" s="4"/>
      <c r="CH37" s="4" t="s">
        <v>131</v>
      </c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10" t="s">
        <v>147</v>
      </c>
      <c r="CT37" s="4" t="s">
        <v>133</v>
      </c>
      <c r="CU37" s="4" t="s">
        <v>134</v>
      </c>
      <c r="CV37" s="4"/>
    </row>
    <row r="38" spans="1:100" x14ac:dyDescent="0.2">
      <c r="A38" s="26" t="b">
        <v>0</v>
      </c>
      <c r="B38" s="26" t="b">
        <v>0</v>
      </c>
      <c r="C38" s="26" t="b">
        <v>0</v>
      </c>
      <c r="D38" s="26" t="b">
        <v>0</v>
      </c>
      <c r="E38" s="26" t="b">
        <v>0</v>
      </c>
      <c r="F38" s="26" t="b">
        <v>0</v>
      </c>
      <c r="G38" s="27"/>
      <c r="H38" s="4" t="s">
        <v>1255</v>
      </c>
      <c r="I38" s="4" t="s">
        <v>1250</v>
      </c>
      <c r="J38" s="4" t="s">
        <v>1108</v>
      </c>
      <c r="K38" s="4" t="s">
        <v>1251</v>
      </c>
      <c r="L38" s="4" t="s">
        <v>137</v>
      </c>
      <c r="M38" s="4"/>
      <c r="N38" s="4" t="s">
        <v>1252</v>
      </c>
      <c r="O38" s="4"/>
      <c r="P38" s="4"/>
      <c r="Q38" s="4"/>
      <c r="R38" s="4" t="s">
        <v>129</v>
      </c>
      <c r="S38" s="4"/>
      <c r="T38" s="4"/>
      <c r="U38" s="4"/>
      <c r="V38" s="4"/>
      <c r="W38" s="4" t="s">
        <v>134</v>
      </c>
      <c r="X38" s="4" t="s">
        <v>134</v>
      </c>
      <c r="Y38" s="4" t="s">
        <v>128</v>
      </c>
      <c r="Z38" s="4" t="s">
        <v>1256</v>
      </c>
      <c r="AA38" s="4" t="s">
        <v>115</v>
      </c>
      <c r="AB38" s="4"/>
      <c r="AC38" s="4"/>
      <c r="AD38" s="4"/>
      <c r="AE38" s="4"/>
      <c r="AF38" s="4"/>
      <c r="AG38" s="4"/>
      <c r="AH38" s="4" t="s">
        <v>116</v>
      </c>
      <c r="AI38" s="10" t="s">
        <v>147</v>
      </c>
      <c r="AJ38" s="10" t="s">
        <v>147</v>
      </c>
      <c r="AK38" s="4"/>
      <c r="AL38" s="4" t="s">
        <v>119</v>
      </c>
      <c r="AM38" s="4"/>
      <c r="AN38" s="4" t="s">
        <v>177</v>
      </c>
      <c r="AO38" s="4" t="s">
        <v>221</v>
      </c>
      <c r="AP38" s="4"/>
      <c r="AQ38" s="4"/>
      <c r="AR38" s="4"/>
      <c r="AS38" s="4"/>
      <c r="AT38" s="4" t="s">
        <v>1253</v>
      </c>
      <c r="AU38" s="5" t="str">
        <f>IF($AT38="","",IFERROR(INDEX(InstructorMap!$B:$B, MATCH($AT38, InstructorMap!$A:$A, 0)),""))</f>
        <v/>
      </c>
      <c r="AV38" s="5" t="str">
        <f>IF($AT38="","",IFERROR(INDEX(InstructorMap!$C:$C, MATCH($AT38, InstructorMap!$A:$A, 0)),""))</f>
        <v/>
      </c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 t="s">
        <v>1108</v>
      </c>
      <c r="BI38" s="4" t="s">
        <v>124</v>
      </c>
      <c r="BJ38" s="4" t="s">
        <v>125</v>
      </c>
      <c r="BK38" s="4"/>
      <c r="BL38" s="4" t="s">
        <v>125</v>
      </c>
      <c r="BM38" s="4"/>
      <c r="BN38" s="4"/>
      <c r="BO38" s="4" t="s">
        <v>127</v>
      </c>
      <c r="BP38" s="4"/>
      <c r="BQ38" s="4" t="s">
        <v>1254</v>
      </c>
      <c r="BR38" s="4"/>
      <c r="BS38" s="4"/>
      <c r="BT38" s="4" t="s">
        <v>128</v>
      </c>
      <c r="BU38" s="4" t="s">
        <v>129</v>
      </c>
      <c r="BV38" s="4" t="s">
        <v>129</v>
      </c>
      <c r="BW38" s="4"/>
      <c r="BX38" s="4"/>
      <c r="BY38" s="4"/>
      <c r="BZ38" s="4"/>
      <c r="CA38" s="4"/>
      <c r="CB38" s="4"/>
      <c r="CC38" s="4"/>
      <c r="CD38" s="4"/>
      <c r="CE38" s="4"/>
      <c r="CF38" s="4" t="s">
        <v>130</v>
      </c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10" t="s">
        <v>147</v>
      </c>
      <c r="CT38" s="4" t="s">
        <v>133</v>
      </c>
      <c r="CU38" s="4" t="s">
        <v>134</v>
      </c>
      <c r="CV38" s="4"/>
    </row>
    <row r="39" spans="1:100" x14ac:dyDescent="0.2">
      <c r="A39" s="26" t="b">
        <v>0</v>
      </c>
      <c r="B39" s="26" t="b">
        <v>0</v>
      </c>
      <c r="C39" s="26" t="b">
        <v>0</v>
      </c>
      <c r="D39" s="26" t="b">
        <v>0</v>
      </c>
      <c r="E39" s="26" t="b">
        <v>0</v>
      </c>
      <c r="F39" s="26" t="b">
        <v>0</v>
      </c>
      <c r="G39" s="27"/>
      <c r="H39" s="4" t="s">
        <v>1257</v>
      </c>
      <c r="I39" s="4" t="s">
        <v>1250</v>
      </c>
      <c r="J39" s="4" t="s">
        <v>1108</v>
      </c>
      <c r="K39" s="4" t="s">
        <v>1251</v>
      </c>
      <c r="L39" s="4" t="s">
        <v>137</v>
      </c>
      <c r="M39" s="4"/>
      <c r="N39" s="4" t="s">
        <v>1252</v>
      </c>
      <c r="O39" s="4"/>
      <c r="P39" s="4"/>
      <c r="Q39" s="4"/>
      <c r="R39" s="4" t="s">
        <v>129</v>
      </c>
      <c r="S39" s="4"/>
      <c r="T39" s="4"/>
      <c r="U39" s="4"/>
      <c r="V39" s="4"/>
      <c r="W39" s="4" t="s">
        <v>134</v>
      </c>
      <c r="X39" s="4" t="s">
        <v>134</v>
      </c>
      <c r="Y39" s="4" t="s">
        <v>128</v>
      </c>
      <c r="Z39" s="4" t="s">
        <v>1258</v>
      </c>
      <c r="AA39" s="4" t="s">
        <v>115</v>
      </c>
      <c r="AB39" s="4"/>
      <c r="AC39" s="4"/>
      <c r="AD39" s="4"/>
      <c r="AE39" s="4"/>
      <c r="AF39" s="4"/>
      <c r="AG39" s="4"/>
      <c r="AH39" s="4" t="s">
        <v>116</v>
      </c>
      <c r="AI39" s="10" t="s">
        <v>147</v>
      </c>
      <c r="AJ39" s="10" t="s">
        <v>147</v>
      </c>
      <c r="AK39" s="4"/>
      <c r="AL39" s="4" t="s">
        <v>119</v>
      </c>
      <c r="AM39" s="4"/>
      <c r="AN39" s="4" t="s">
        <v>177</v>
      </c>
      <c r="AO39" s="4" t="s">
        <v>221</v>
      </c>
      <c r="AP39" s="4"/>
      <c r="AQ39" s="4"/>
      <c r="AR39" s="4"/>
      <c r="AS39" s="4"/>
      <c r="AT39" s="4" t="s">
        <v>1253</v>
      </c>
      <c r="AU39" s="5" t="str">
        <f>IF($AT39="","",IFERROR(INDEX(InstructorMap!$B:$B, MATCH($AT39, InstructorMap!$A:$A, 0)),""))</f>
        <v/>
      </c>
      <c r="AV39" s="5" t="str">
        <f>IF($AT39="","",IFERROR(INDEX(InstructorMap!$C:$C, MATCH($AT39, InstructorMap!$A:$A, 0)),""))</f>
        <v/>
      </c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 t="s">
        <v>1108</v>
      </c>
      <c r="BI39" s="4" t="s">
        <v>124</v>
      </c>
      <c r="BJ39" s="4" t="s">
        <v>125</v>
      </c>
      <c r="BK39" s="4"/>
      <c r="BL39" s="4" t="s">
        <v>125</v>
      </c>
      <c r="BM39" s="4"/>
      <c r="BN39" s="4"/>
      <c r="BO39" s="4" t="s">
        <v>127</v>
      </c>
      <c r="BP39" s="4"/>
      <c r="BQ39" s="4" t="s">
        <v>1254</v>
      </c>
      <c r="BR39" s="4"/>
      <c r="BS39" s="4"/>
      <c r="BT39" s="4" t="s">
        <v>128</v>
      </c>
      <c r="BU39" s="4" t="s">
        <v>129</v>
      </c>
      <c r="BV39" s="4" t="s">
        <v>129</v>
      </c>
      <c r="BW39" s="4"/>
      <c r="BX39" s="4"/>
      <c r="BY39" s="4"/>
      <c r="BZ39" s="4"/>
      <c r="CA39" s="4"/>
      <c r="CB39" s="4"/>
      <c r="CC39" s="4"/>
      <c r="CD39" s="4"/>
      <c r="CE39" s="4"/>
      <c r="CF39" s="4" t="s">
        <v>130</v>
      </c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10" t="s">
        <v>147</v>
      </c>
      <c r="CT39" s="4" t="s">
        <v>133</v>
      </c>
      <c r="CU39" s="4" t="s">
        <v>134</v>
      </c>
      <c r="CV39" s="4"/>
    </row>
    <row r="40" spans="1:100" x14ac:dyDescent="0.2">
      <c r="A40" s="26" t="b">
        <v>0</v>
      </c>
      <c r="B40" s="26" t="b">
        <v>0</v>
      </c>
      <c r="C40" s="26" t="b">
        <v>0</v>
      </c>
      <c r="D40" s="26" t="b">
        <v>0</v>
      </c>
      <c r="E40" s="26" t="b">
        <v>0</v>
      </c>
      <c r="F40" s="26" t="b">
        <v>0</v>
      </c>
      <c r="G40" s="27"/>
      <c r="H40" s="4" t="s">
        <v>1259</v>
      </c>
      <c r="I40" s="4" t="s">
        <v>1260</v>
      </c>
      <c r="J40" s="4" t="s">
        <v>1108</v>
      </c>
      <c r="K40" s="4" t="s">
        <v>1261</v>
      </c>
      <c r="L40" s="4" t="s">
        <v>137</v>
      </c>
      <c r="M40" s="4"/>
      <c r="N40" s="4" t="s">
        <v>1262</v>
      </c>
      <c r="O40" s="4"/>
      <c r="P40" s="4"/>
      <c r="Q40" s="4"/>
      <c r="R40" s="4" t="s">
        <v>129</v>
      </c>
      <c r="S40" s="4"/>
      <c r="T40" s="4"/>
      <c r="U40" s="4"/>
      <c r="V40" s="4"/>
      <c r="W40" s="4" t="s">
        <v>1263</v>
      </c>
      <c r="X40" s="4" t="s">
        <v>1264</v>
      </c>
      <c r="Y40" s="10" t="s">
        <v>147</v>
      </c>
      <c r="Z40" s="4" t="s">
        <v>142</v>
      </c>
      <c r="AA40" s="4" t="s">
        <v>115</v>
      </c>
      <c r="AB40" s="4"/>
      <c r="AC40" s="4"/>
      <c r="AD40" s="4"/>
      <c r="AE40" s="4"/>
      <c r="AF40" s="4"/>
      <c r="AG40" s="4"/>
      <c r="AH40" s="4" t="s">
        <v>116</v>
      </c>
      <c r="AI40" s="10" t="s">
        <v>147</v>
      </c>
      <c r="AJ40" s="10" t="s">
        <v>147</v>
      </c>
      <c r="AK40" s="4"/>
      <c r="AL40" s="4"/>
      <c r="AM40" s="4" t="s">
        <v>211</v>
      </c>
      <c r="AN40" s="4" t="s">
        <v>177</v>
      </c>
      <c r="AO40" s="4" t="s">
        <v>221</v>
      </c>
      <c r="AP40" s="4"/>
      <c r="AQ40" s="4"/>
      <c r="AR40" s="4"/>
      <c r="AS40" s="4"/>
      <c r="AT40" s="10" t="s">
        <v>147</v>
      </c>
      <c r="AU40" s="5" t="str">
        <f>IF($AT40="","",IFERROR(INDEX(InstructorMap!$B:$B, MATCH($AT40, InstructorMap!$A:$A, 0)),""))</f>
        <v/>
      </c>
      <c r="AV40" s="5" t="str">
        <f>IF($AT40="","",IFERROR(INDEX(InstructorMap!$C:$C, MATCH($AT40, InstructorMap!$A:$A, 0)),""))</f>
        <v/>
      </c>
      <c r="AW40" s="4" t="s">
        <v>121</v>
      </c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 t="s">
        <v>1108</v>
      </c>
      <c r="BI40" s="4" t="s">
        <v>124</v>
      </c>
      <c r="BJ40" s="4" t="s">
        <v>125</v>
      </c>
      <c r="BK40" s="4"/>
      <c r="BL40" s="4" t="s">
        <v>131</v>
      </c>
      <c r="BM40" s="4"/>
      <c r="BN40" s="4"/>
      <c r="BO40" s="4" t="s">
        <v>127</v>
      </c>
      <c r="BP40" s="4"/>
      <c r="BQ40" s="4" t="s">
        <v>1132</v>
      </c>
      <c r="BR40" s="4"/>
      <c r="BS40" s="4"/>
      <c r="BT40" s="4" t="s">
        <v>128</v>
      </c>
      <c r="BU40" s="4" t="s">
        <v>129</v>
      </c>
      <c r="BV40" s="4" t="s">
        <v>129</v>
      </c>
      <c r="BW40" s="4" t="s">
        <v>130</v>
      </c>
      <c r="BX40" s="4"/>
      <c r="BY40" s="4"/>
      <c r="BZ40" s="4"/>
      <c r="CA40" s="4"/>
      <c r="CB40" s="4"/>
      <c r="CC40" s="4"/>
      <c r="CD40" s="4"/>
      <c r="CE40" s="4"/>
      <c r="CF40" s="4" t="s">
        <v>130</v>
      </c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10" t="s">
        <v>147</v>
      </c>
      <c r="CT40" s="4" t="s">
        <v>133</v>
      </c>
      <c r="CU40" s="4" t="s">
        <v>134</v>
      </c>
      <c r="CV40" s="4"/>
    </row>
    <row r="41" spans="1:100" x14ac:dyDescent="0.2">
      <c r="A41" s="30" t="b">
        <v>0</v>
      </c>
      <c r="B41" s="31" t="b">
        <v>0</v>
      </c>
      <c r="C41" s="31" t="b">
        <v>0</v>
      </c>
      <c r="D41" s="31" t="b">
        <v>0</v>
      </c>
      <c r="E41" s="31" t="b">
        <v>0</v>
      </c>
      <c r="F41" s="31" t="b">
        <v>0</v>
      </c>
      <c r="G41" s="8"/>
      <c r="H41" s="8" t="s">
        <v>1265</v>
      </c>
      <c r="I41" s="8" t="s">
        <v>1266</v>
      </c>
      <c r="J41" s="8" t="s">
        <v>1108</v>
      </c>
      <c r="K41" s="8" t="s">
        <v>1267</v>
      </c>
      <c r="L41" s="8" t="s">
        <v>137</v>
      </c>
      <c r="M41" s="8"/>
      <c r="N41" s="8" t="s">
        <v>1268</v>
      </c>
      <c r="O41" s="8"/>
      <c r="P41" s="8"/>
      <c r="Q41" s="8"/>
      <c r="R41" s="8" t="s">
        <v>129</v>
      </c>
      <c r="S41" s="8"/>
      <c r="T41" s="8"/>
      <c r="U41" s="8"/>
      <c r="V41" s="8"/>
      <c r="W41" s="8" t="s">
        <v>112</v>
      </c>
      <c r="X41" s="8"/>
      <c r="Y41" s="8" t="s">
        <v>1110</v>
      </c>
      <c r="Z41" s="8" t="s">
        <v>142</v>
      </c>
      <c r="AA41" s="8" t="s">
        <v>115</v>
      </c>
      <c r="AB41" s="8"/>
      <c r="AC41" s="8"/>
      <c r="AD41" s="8" t="s">
        <v>115</v>
      </c>
      <c r="AE41" s="8" t="s">
        <v>116</v>
      </c>
      <c r="AF41" s="8"/>
      <c r="AG41" s="8"/>
      <c r="AH41" s="8" t="s">
        <v>116</v>
      </c>
      <c r="AI41" s="8" t="s">
        <v>175</v>
      </c>
      <c r="AJ41" s="8" t="s">
        <v>176</v>
      </c>
      <c r="AK41" s="8"/>
      <c r="AL41" s="8"/>
      <c r="AM41" s="8"/>
      <c r="AN41" s="8" t="s">
        <v>177</v>
      </c>
      <c r="AO41" s="8"/>
      <c r="AP41" s="8"/>
      <c r="AQ41" s="8"/>
      <c r="AR41" s="8"/>
      <c r="AS41" s="8" t="s">
        <v>144</v>
      </c>
      <c r="AT41" s="8" t="s">
        <v>535</v>
      </c>
      <c r="AU41" s="9" t="str">
        <f>IF($AT41="","",IFERROR(INDEX(InstructorMap!$B:$B, MATCH($AT41, InstructorMap!$A:$A, 0)),""))</f>
        <v>hyveth@andrews.edu</v>
      </c>
      <c r="AV41" s="9" t="str">
        <f>IF($AT41="","",IFERROR(INDEX(InstructorMap!$C:$C, MATCH($AT41, InstructorMap!$A:$A, 0)),""))</f>
        <v>000049271</v>
      </c>
      <c r="AW41" s="8" t="s">
        <v>121</v>
      </c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 t="s">
        <v>351</v>
      </c>
      <c r="BI41" s="8" t="s">
        <v>124</v>
      </c>
      <c r="BJ41" s="8" t="s">
        <v>125</v>
      </c>
      <c r="BK41" s="8"/>
      <c r="BL41" s="8" t="s">
        <v>125</v>
      </c>
      <c r="BM41" s="8"/>
      <c r="BN41" s="8"/>
      <c r="BO41" s="8" t="s">
        <v>127</v>
      </c>
      <c r="BP41" s="8"/>
      <c r="BQ41" s="8"/>
      <c r="BR41" s="8"/>
      <c r="BS41" s="8"/>
      <c r="BT41" s="8" t="s">
        <v>128</v>
      </c>
      <c r="BU41" s="8" t="s">
        <v>129</v>
      </c>
      <c r="BV41" s="8" t="s">
        <v>129</v>
      </c>
      <c r="BW41" s="8" t="s">
        <v>130</v>
      </c>
      <c r="BX41" s="8"/>
      <c r="BY41" s="8"/>
      <c r="BZ41" s="8"/>
      <c r="CA41" s="8"/>
      <c r="CB41" s="8"/>
      <c r="CC41" s="8"/>
      <c r="CD41" s="8"/>
      <c r="CE41" s="8"/>
      <c r="CF41" s="8" t="s">
        <v>130</v>
      </c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 t="s">
        <v>132</v>
      </c>
      <c r="CT41" s="8" t="s">
        <v>133</v>
      </c>
      <c r="CU41" s="8" t="s">
        <v>134</v>
      </c>
      <c r="CV41" s="8"/>
    </row>
    <row r="42" spans="1:100" x14ac:dyDescent="0.2">
      <c r="A42" s="26" t="b">
        <v>0</v>
      </c>
      <c r="B42" s="26" t="b">
        <v>0</v>
      </c>
      <c r="C42" s="26" t="b">
        <v>0</v>
      </c>
      <c r="D42" s="26" t="b">
        <v>0</v>
      </c>
      <c r="E42" s="26" t="b">
        <v>0</v>
      </c>
      <c r="F42" s="26" t="b">
        <v>0</v>
      </c>
      <c r="G42" s="27"/>
      <c r="H42" s="4" t="s">
        <v>1269</v>
      </c>
      <c r="I42" s="4" t="s">
        <v>1270</v>
      </c>
      <c r="J42" s="4" t="s">
        <v>1108</v>
      </c>
      <c r="K42" s="4" t="s">
        <v>1271</v>
      </c>
      <c r="L42" s="4" t="s">
        <v>148</v>
      </c>
      <c r="M42" s="4"/>
      <c r="N42" s="4" t="s">
        <v>1272</v>
      </c>
      <c r="O42" s="4"/>
      <c r="P42" s="4"/>
      <c r="Q42" s="4"/>
      <c r="R42" s="4" t="s">
        <v>108</v>
      </c>
      <c r="S42" s="4"/>
      <c r="T42" s="4"/>
      <c r="U42" s="4" t="s">
        <v>149</v>
      </c>
      <c r="V42" s="4"/>
      <c r="W42" s="4" t="s">
        <v>112</v>
      </c>
      <c r="X42" s="4" t="s">
        <v>112</v>
      </c>
      <c r="Y42" s="4" t="s">
        <v>141</v>
      </c>
      <c r="Z42" s="4" t="s">
        <v>114</v>
      </c>
      <c r="AA42" s="4" t="s">
        <v>115</v>
      </c>
      <c r="AB42" s="4"/>
      <c r="AC42" s="4"/>
      <c r="AD42" s="4"/>
      <c r="AE42" s="4"/>
      <c r="AF42" s="4"/>
      <c r="AG42" s="4"/>
      <c r="AH42" s="4" t="s">
        <v>116</v>
      </c>
      <c r="AI42" s="10" t="s">
        <v>147</v>
      </c>
      <c r="AJ42" s="10" t="s">
        <v>147</v>
      </c>
      <c r="AK42" s="4"/>
      <c r="AL42" s="4"/>
      <c r="AM42" s="4"/>
      <c r="AN42" s="4"/>
      <c r="AO42" s="4"/>
      <c r="AP42" s="4"/>
      <c r="AQ42" s="4"/>
      <c r="AR42" s="4"/>
      <c r="AS42" s="4"/>
      <c r="AT42" s="4" t="s">
        <v>1273</v>
      </c>
      <c r="AU42" s="5" t="str">
        <f>IF($AT42="","",IFERROR(INDEX(InstructorMap!$B:$B, MATCH($AT42, InstructorMap!$A:$A, 0)),""))</f>
        <v/>
      </c>
      <c r="AV42" s="5" t="str">
        <f>IF($AT42="","",IFERROR(INDEX(InstructorMap!$C:$C, MATCH($AT42, InstructorMap!$A:$A, 0)),""))</f>
        <v/>
      </c>
      <c r="AW42" s="4" t="s">
        <v>121</v>
      </c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 t="s">
        <v>1108</v>
      </c>
      <c r="BI42" s="4" t="s">
        <v>124</v>
      </c>
      <c r="BJ42" s="4" t="s">
        <v>125</v>
      </c>
      <c r="BK42" s="4"/>
      <c r="BL42" s="4" t="s">
        <v>126</v>
      </c>
      <c r="BM42" s="4"/>
      <c r="BN42" s="4"/>
      <c r="BO42" s="4" t="s">
        <v>127</v>
      </c>
      <c r="BP42" s="4"/>
      <c r="BQ42" s="4" t="s">
        <v>1274</v>
      </c>
      <c r="BR42" s="4"/>
      <c r="BS42" s="4"/>
      <c r="BT42" s="4" t="s">
        <v>128</v>
      </c>
      <c r="BU42" s="4" t="s">
        <v>129</v>
      </c>
      <c r="BV42" s="4" t="s">
        <v>129</v>
      </c>
      <c r="BW42" s="4" t="s">
        <v>130</v>
      </c>
      <c r="BX42" s="4"/>
      <c r="BY42" s="4"/>
      <c r="BZ42" s="4"/>
      <c r="CA42" s="4"/>
      <c r="CB42" s="4"/>
      <c r="CC42" s="4"/>
      <c r="CD42" s="4"/>
      <c r="CE42" s="4"/>
      <c r="CF42" s="4" t="s">
        <v>130</v>
      </c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10" t="s">
        <v>147</v>
      </c>
      <c r="CT42" s="4" t="s">
        <v>133</v>
      </c>
      <c r="CU42" s="4" t="s">
        <v>134</v>
      </c>
      <c r="CV42" s="4"/>
    </row>
    <row r="43" spans="1:100" x14ac:dyDescent="0.2">
      <c r="A43" s="30" t="b">
        <v>0</v>
      </c>
      <c r="B43" s="31" t="b">
        <v>0</v>
      </c>
      <c r="C43" s="31" t="b">
        <v>0</v>
      </c>
      <c r="D43" s="31" t="b">
        <v>0</v>
      </c>
      <c r="E43" s="31" t="b">
        <v>0</v>
      </c>
      <c r="F43" s="31" t="b">
        <v>0</v>
      </c>
      <c r="G43" s="8"/>
      <c r="H43" s="8" t="s">
        <v>1275</v>
      </c>
      <c r="I43" s="8" t="s">
        <v>1276</v>
      </c>
      <c r="J43" s="8" t="s">
        <v>1108</v>
      </c>
      <c r="K43" s="8" t="s">
        <v>1277</v>
      </c>
      <c r="L43" s="8" t="s">
        <v>137</v>
      </c>
      <c r="M43" s="8"/>
      <c r="N43" s="8" t="s">
        <v>1278</v>
      </c>
      <c r="O43" s="8"/>
      <c r="P43" s="8"/>
      <c r="Q43" s="8"/>
      <c r="R43" s="8" t="s">
        <v>129</v>
      </c>
      <c r="S43" s="8"/>
      <c r="T43" s="8"/>
      <c r="U43" s="8"/>
      <c r="V43" s="8"/>
      <c r="W43" s="8" t="s">
        <v>112</v>
      </c>
      <c r="X43" s="8"/>
      <c r="Y43" s="8" t="s">
        <v>1110</v>
      </c>
      <c r="Z43" s="8" t="s">
        <v>142</v>
      </c>
      <c r="AA43" s="8" t="s">
        <v>115</v>
      </c>
      <c r="AB43" s="8"/>
      <c r="AC43" s="8"/>
      <c r="AD43" s="8" t="s">
        <v>115</v>
      </c>
      <c r="AE43" s="8" t="s">
        <v>116</v>
      </c>
      <c r="AF43" s="8"/>
      <c r="AG43" s="8"/>
      <c r="AH43" s="8" t="s">
        <v>116</v>
      </c>
      <c r="AI43" s="8" t="s">
        <v>366</v>
      </c>
      <c r="AJ43" s="8" t="s">
        <v>237</v>
      </c>
      <c r="AK43" s="8"/>
      <c r="AL43" s="8"/>
      <c r="AM43" s="8" t="s">
        <v>211</v>
      </c>
      <c r="AN43" s="8"/>
      <c r="AO43" s="8"/>
      <c r="AP43" s="8"/>
      <c r="AQ43" s="8"/>
      <c r="AR43" s="8"/>
      <c r="AS43" s="8" t="s">
        <v>144</v>
      </c>
      <c r="AT43" s="8" t="s">
        <v>535</v>
      </c>
      <c r="AU43" s="9" t="str">
        <f>IF($AT43="","",IFERROR(INDEX(InstructorMap!$B:$B, MATCH($AT43, InstructorMap!$A:$A, 0)),""))</f>
        <v>hyveth@andrews.edu</v>
      </c>
      <c r="AV43" s="9" t="str">
        <f>IF($AT43="","",IFERROR(INDEX(InstructorMap!$C:$C, MATCH($AT43, InstructorMap!$A:$A, 0)),""))</f>
        <v>000049271</v>
      </c>
      <c r="AW43" s="8" t="s">
        <v>121</v>
      </c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 t="s">
        <v>351</v>
      </c>
      <c r="BI43" s="8" t="s">
        <v>124</v>
      </c>
      <c r="BJ43" s="8" t="s">
        <v>125</v>
      </c>
      <c r="BK43" s="8"/>
      <c r="BL43" s="8" t="s">
        <v>125</v>
      </c>
      <c r="BM43" s="8"/>
      <c r="BN43" s="8"/>
      <c r="BO43" s="8" t="s">
        <v>127</v>
      </c>
      <c r="BP43" s="8"/>
      <c r="BQ43" s="8" t="s">
        <v>1279</v>
      </c>
      <c r="BR43" s="8"/>
      <c r="BS43" s="8"/>
      <c r="BT43" s="8" t="s">
        <v>128</v>
      </c>
      <c r="BU43" s="8" t="s">
        <v>129</v>
      </c>
      <c r="BV43" s="8" t="s">
        <v>129</v>
      </c>
      <c r="BW43" s="8" t="s">
        <v>130</v>
      </c>
      <c r="BX43" s="8"/>
      <c r="BY43" s="8"/>
      <c r="BZ43" s="8"/>
      <c r="CA43" s="8"/>
      <c r="CB43" s="8"/>
      <c r="CC43" s="8"/>
      <c r="CD43" s="8"/>
      <c r="CE43" s="8"/>
      <c r="CF43" s="8" t="s">
        <v>130</v>
      </c>
      <c r="CG43" s="8"/>
      <c r="CH43" s="8" t="s">
        <v>131</v>
      </c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 t="s">
        <v>132</v>
      </c>
      <c r="CT43" s="8" t="s">
        <v>133</v>
      </c>
      <c r="CU43" s="8" t="s">
        <v>134</v>
      </c>
      <c r="CV43" s="8"/>
    </row>
    <row r="44" spans="1:100" x14ac:dyDescent="0.2">
      <c r="A44" s="26" t="b">
        <v>0</v>
      </c>
      <c r="B44" s="26" t="b">
        <v>0</v>
      </c>
      <c r="C44" s="26" t="b">
        <v>0</v>
      </c>
      <c r="D44" s="26" t="b">
        <v>0</v>
      </c>
      <c r="E44" s="26" t="b">
        <v>0</v>
      </c>
      <c r="F44" s="26" t="b">
        <v>0</v>
      </c>
      <c r="G44" s="27"/>
      <c r="H44" s="4" t="s">
        <v>1280</v>
      </c>
      <c r="I44" s="4" t="s">
        <v>1281</v>
      </c>
      <c r="J44" s="4" t="s">
        <v>1108</v>
      </c>
      <c r="K44" s="4" t="s">
        <v>1282</v>
      </c>
      <c r="L44" s="4" t="s">
        <v>137</v>
      </c>
      <c r="M44" s="4"/>
      <c r="N44" s="4" t="s">
        <v>1283</v>
      </c>
      <c r="O44" s="4" t="s">
        <v>1284</v>
      </c>
      <c r="P44" s="4"/>
      <c r="Q44" s="4" t="s">
        <v>1285</v>
      </c>
      <c r="R44" s="4" t="s">
        <v>129</v>
      </c>
      <c r="S44" s="4"/>
      <c r="T44" s="4"/>
      <c r="U44" s="4"/>
      <c r="V44" s="4"/>
      <c r="W44" s="4" t="s">
        <v>112</v>
      </c>
      <c r="X44" s="4" t="s">
        <v>150</v>
      </c>
      <c r="Y44" s="10" t="s">
        <v>147</v>
      </c>
      <c r="Z44" s="4" t="s">
        <v>142</v>
      </c>
      <c r="AA44" s="4" t="s">
        <v>115</v>
      </c>
      <c r="AB44" s="4"/>
      <c r="AC44" s="4"/>
      <c r="AD44" s="4"/>
      <c r="AE44" s="4"/>
      <c r="AF44" s="4"/>
      <c r="AG44" s="4"/>
      <c r="AH44" s="4" t="s">
        <v>116</v>
      </c>
      <c r="AI44" s="10" t="s">
        <v>147</v>
      </c>
      <c r="AJ44" s="10" t="s">
        <v>147</v>
      </c>
      <c r="AK44" s="4"/>
      <c r="AL44" s="4"/>
      <c r="AM44" s="4" t="s">
        <v>211</v>
      </c>
      <c r="AN44" s="4"/>
      <c r="AO44" s="4" t="s">
        <v>221</v>
      </c>
      <c r="AP44" s="4"/>
      <c r="AQ44" s="4"/>
      <c r="AR44" s="4" t="s">
        <v>1113</v>
      </c>
      <c r="AS44" s="4" t="s">
        <v>144</v>
      </c>
      <c r="AT44" s="4" t="s">
        <v>1286</v>
      </c>
      <c r="AU44" s="5" t="str">
        <f>IF($AT44="","",IFERROR(INDEX(InstructorMap!$B:$B, MATCH($AT44, InstructorMap!$A:$A, 0)),""))</f>
        <v/>
      </c>
      <c r="AV44" s="5" t="str">
        <f>IF($AT44="","",IFERROR(INDEX(InstructorMap!$C:$C, MATCH($AT44, InstructorMap!$A:$A, 0)),""))</f>
        <v/>
      </c>
      <c r="AW44" s="4" t="s">
        <v>121</v>
      </c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 t="s">
        <v>1108</v>
      </c>
      <c r="BI44" s="4" t="s">
        <v>124</v>
      </c>
      <c r="BJ44" s="4" t="s">
        <v>125</v>
      </c>
      <c r="BK44" s="4"/>
      <c r="BL44" s="4" t="s">
        <v>125</v>
      </c>
      <c r="BM44" s="4"/>
      <c r="BN44" s="4"/>
      <c r="BO44" s="4" t="s">
        <v>127</v>
      </c>
      <c r="BP44" s="4"/>
      <c r="BQ44" s="4" t="s">
        <v>1279</v>
      </c>
      <c r="BR44" s="4"/>
      <c r="BS44" s="4"/>
      <c r="BT44" s="4" t="s">
        <v>128</v>
      </c>
      <c r="BU44" s="4" t="s">
        <v>129</v>
      </c>
      <c r="BV44" s="4" t="s">
        <v>145</v>
      </c>
      <c r="BW44" s="4" t="s">
        <v>130</v>
      </c>
      <c r="BX44" s="4" t="s">
        <v>131</v>
      </c>
      <c r="BY44" s="4"/>
      <c r="BZ44" s="4"/>
      <c r="CA44" s="4"/>
      <c r="CB44" s="4"/>
      <c r="CC44" s="4"/>
      <c r="CD44" s="4"/>
      <c r="CE44" s="4"/>
      <c r="CF44" s="4" t="s">
        <v>130</v>
      </c>
      <c r="CG44" s="4"/>
      <c r="CH44" s="4" t="s">
        <v>131</v>
      </c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10" t="s">
        <v>147</v>
      </c>
      <c r="CT44" s="4" t="s">
        <v>133</v>
      </c>
      <c r="CU44" s="4" t="s">
        <v>134</v>
      </c>
      <c r="CV44" s="4"/>
    </row>
    <row r="45" spans="1:100" x14ac:dyDescent="0.2">
      <c r="A45" s="26" t="b">
        <v>0</v>
      </c>
      <c r="B45" s="26" t="b">
        <v>0</v>
      </c>
      <c r="C45" s="26" t="b">
        <v>0</v>
      </c>
      <c r="D45" s="26" t="b">
        <v>0</v>
      </c>
      <c r="E45" s="26" t="b">
        <v>0</v>
      </c>
      <c r="F45" s="26" t="b">
        <v>0</v>
      </c>
      <c r="G45" s="27"/>
      <c r="H45" s="4" t="s">
        <v>1287</v>
      </c>
      <c r="I45" s="4" t="s">
        <v>1288</v>
      </c>
      <c r="J45" s="4" t="s">
        <v>1108</v>
      </c>
      <c r="K45" s="4" t="s">
        <v>1282</v>
      </c>
      <c r="L45" s="4" t="s">
        <v>216</v>
      </c>
      <c r="M45" s="4"/>
      <c r="N45" s="4" t="s">
        <v>1289</v>
      </c>
      <c r="O45" s="4" t="s">
        <v>1290</v>
      </c>
      <c r="P45" s="4"/>
      <c r="Q45" s="4" t="s">
        <v>1291</v>
      </c>
      <c r="R45" s="4" t="s">
        <v>129</v>
      </c>
      <c r="S45" s="4"/>
      <c r="T45" s="4"/>
      <c r="U45" s="4"/>
      <c r="V45" s="4"/>
      <c r="W45" s="4" t="s">
        <v>112</v>
      </c>
      <c r="X45" s="4" t="s">
        <v>112</v>
      </c>
      <c r="Y45" s="4" t="s">
        <v>1292</v>
      </c>
      <c r="Z45" s="4" t="s">
        <v>142</v>
      </c>
      <c r="AA45" s="4" t="s">
        <v>115</v>
      </c>
      <c r="AB45" s="4"/>
      <c r="AC45" s="4"/>
      <c r="AD45" s="4" t="s">
        <v>115</v>
      </c>
      <c r="AE45" s="4" t="s">
        <v>116</v>
      </c>
      <c r="AF45" s="4"/>
      <c r="AG45" s="4"/>
      <c r="AH45" s="4" t="s">
        <v>116</v>
      </c>
      <c r="AI45" s="4" t="s">
        <v>366</v>
      </c>
      <c r="AJ45" s="4" t="s">
        <v>237</v>
      </c>
      <c r="AK45" s="4"/>
      <c r="AL45" s="4"/>
      <c r="AM45" s="4" t="s">
        <v>211</v>
      </c>
      <c r="AN45" s="4"/>
      <c r="AO45" s="4"/>
      <c r="AP45" s="4"/>
      <c r="AQ45" s="4"/>
      <c r="AR45" s="4" t="s">
        <v>1113</v>
      </c>
      <c r="AS45" s="4" t="s">
        <v>144</v>
      </c>
      <c r="AT45" s="4" t="s">
        <v>1286</v>
      </c>
      <c r="AU45" s="5" t="str">
        <f>IF($AT45="","",IFERROR(INDEX(InstructorMap!$B:$B, MATCH($AT45, InstructorMap!$A:$A, 0)),""))</f>
        <v/>
      </c>
      <c r="AV45" s="5" t="str">
        <f>IF($AT45="","",IFERROR(INDEX(InstructorMap!$C:$C, MATCH($AT45, InstructorMap!$A:$A, 0)),""))</f>
        <v/>
      </c>
      <c r="AW45" s="4" t="s">
        <v>121</v>
      </c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 t="s">
        <v>1108</v>
      </c>
      <c r="BI45" s="4" t="s">
        <v>124</v>
      </c>
      <c r="BJ45" s="4" t="s">
        <v>125</v>
      </c>
      <c r="BK45" s="4"/>
      <c r="BL45" s="4" t="s">
        <v>125</v>
      </c>
      <c r="BM45" s="4"/>
      <c r="BN45" s="4"/>
      <c r="BO45" s="4" t="s">
        <v>127</v>
      </c>
      <c r="BP45" s="4"/>
      <c r="BQ45" s="4" t="s">
        <v>1279</v>
      </c>
      <c r="BR45" s="4"/>
      <c r="BS45" s="4"/>
      <c r="BT45" s="4" t="s">
        <v>128</v>
      </c>
      <c r="BU45" s="4" t="s">
        <v>129</v>
      </c>
      <c r="BV45" s="4" t="s">
        <v>145</v>
      </c>
      <c r="BW45" s="4" t="s">
        <v>130</v>
      </c>
      <c r="BX45" s="4" t="s">
        <v>131</v>
      </c>
      <c r="BY45" s="4"/>
      <c r="BZ45" s="4"/>
      <c r="CA45" s="4"/>
      <c r="CB45" s="4"/>
      <c r="CC45" s="4"/>
      <c r="CD45" s="4"/>
      <c r="CE45" s="4"/>
      <c r="CF45" s="4" t="s">
        <v>130</v>
      </c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 t="s">
        <v>146</v>
      </c>
      <c r="CT45" s="4" t="s">
        <v>133</v>
      </c>
      <c r="CU45" s="4" t="s">
        <v>134</v>
      </c>
      <c r="CV45" s="4"/>
    </row>
    <row r="46" spans="1:100" x14ac:dyDescent="0.2">
      <c r="A46" s="26" t="b">
        <v>0</v>
      </c>
      <c r="B46" s="26" t="b">
        <v>0</v>
      </c>
      <c r="C46" s="26" t="b">
        <v>0</v>
      </c>
      <c r="D46" s="26" t="b">
        <v>0</v>
      </c>
      <c r="E46" s="26" t="b">
        <v>0</v>
      </c>
      <c r="F46" s="26" t="b">
        <v>0</v>
      </c>
      <c r="G46" s="27"/>
      <c r="H46" s="4" t="s">
        <v>1293</v>
      </c>
      <c r="I46" s="4" t="s">
        <v>1294</v>
      </c>
      <c r="J46" s="4" t="s">
        <v>1108</v>
      </c>
      <c r="K46" s="4" t="s">
        <v>1282</v>
      </c>
      <c r="L46" s="4" t="s">
        <v>282</v>
      </c>
      <c r="M46" s="4"/>
      <c r="N46" s="4" t="s">
        <v>1295</v>
      </c>
      <c r="O46" s="4" t="s">
        <v>1290</v>
      </c>
      <c r="P46" s="4"/>
      <c r="Q46" s="4" t="s">
        <v>1291</v>
      </c>
      <c r="R46" s="4" t="s">
        <v>108</v>
      </c>
      <c r="S46" s="4"/>
      <c r="T46" s="4"/>
      <c r="U46" s="4" t="s">
        <v>110</v>
      </c>
      <c r="V46" s="4"/>
      <c r="W46" s="4" t="s">
        <v>112</v>
      </c>
      <c r="X46" s="4"/>
      <c r="Y46" s="4" t="s">
        <v>203</v>
      </c>
      <c r="Z46" s="4" t="s">
        <v>114</v>
      </c>
      <c r="AA46" s="4" t="s">
        <v>115</v>
      </c>
      <c r="AB46" s="4"/>
      <c r="AC46" s="4"/>
      <c r="AD46" s="4" t="s">
        <v>115</v>
      </c>
      <c r="AE46" s="4" t="s">
        <v>116</v>
      </c>
      <c r="AF46" s="4"/>
      <c r="AG46" s="4"/>
      <c r="AH46" s="4" t="s">
        <v>116</v>
      </c>
      <c r="AI46" s="4" t="s">
        <v>277</v>
      </c>
      <c r="AJ46" s="4" t="s">
        <v>278</v>
      </c>
      <c r="AK46" s="4"/>
      <c r="AL46" s="4"/>
      <c r="AM46" s="4"/>
      <c r="AN46" s="4" t="s">
        <v>177</v>
      </c>
      <c r="AO46" s="4"/>
      <c r="AP46" s="4"/>
      <c r="AQ46" s="4"/>
      <c r="AR46" s="4"/>
      <c r="AS46" s="4"/>
      <c r="AT46" s="4" t="s">
        <v>557</v>
      </c>
      <c r="AU46" s="5" t="str">
        <f>IF($AT46="","",IFERROR(INDEX(InstructorMap!$B:$B, MATCH($AT46, InstructorMap!$A:$A, 0)),""))</f>
        <v>kenley@andrews.edu</v>
      </c>
      <c r="AV46" s="5" t="str">
        <f>IF($AT46="","",IFERROR(INDEX(InstructorMap!$C:$C, MATCH($AT46, InstructorMap!$A:$A, 0)),""))</f>
        <v>000069431</v>
      </c>
      <c r="AW46" s="4" t="s">
        <v>121</v>
      </c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 t="s">
        <v>351</v>
      </c>
      <c r="BI46" s="4" t="s">
        <v>124</v>
      </c>
      <c r="BJ46" s="4" t="s">
        <v>125</v>
      </c>
      <c r="BK46" s="4"/>
      <c r="BL46" s="4" t="s">
        <v>126</v>
      </c>
      <c r="BM46" s="4"/>
      <c r="BN46" s="4"/>
      <c r="BO46" s="4" t="s">
        <v>127</v>
      </c>
      <c r="BP46" s="4"/>
      <c r="BQ46" s="4" t="s">
        <v>1279</v>
      </c>
      <c r="BR46" s="4"/>
      <c r="BS46" s="4"/>
      <c r="BT46" s="4" t="s">
        <v>128</v>
      </c>
      <c r="BU46" s="4" t="s">
        <v>129</v>
      </c>
      <c r="BV46" s="4" t="s">
        <v>145</v>
      </c>
      <c r="BW46" s="4" t="s">
        <v>130</v>
      </c>
      <c r="BX46" s="4" t="s">
        <v>131</v>
      </c>
      <c r="BY46" s="4"/>
      <c r="BZ46" s="4"/>
      <c r="CA46" s="4"/>
      <c r="CB46" s="4"/>
      <c r="CC46" s="4"/>
      <c r="CD46" s="4"/>
      <c r="CE46" s="4"/>
      <c r="CF46" s="4" t="s">
        <v>130</v>
      </c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 t="s">
        <v>132</v>
      </c>
      <c r="CT46" s="4" t="s">
        <v>133</v>
      </c>
      <c r="CU46" s="4" t="s">
        <v>134</v>
      </c>
      <c r="CV46" s="4"/>
    </row>
    <row r="47" spans="1:100" x14ac:dyDescent="0.2">
      <c r="A47" s="26" t="b">
        <v>0</v>
      </c>
      <c r="B47" s="26" t="b">
        <v>0</v>
      </c>
      <c r="C47" s="26" t="b">
        <v>0</v>
      </c>
      <c r="D47" s="26" t="b">
        <v>0</v>
      </c>
      <c r="E47" s="26" t="b">
        <v>0</v>
      </c>
      <c r="F47" s="26" t="b">
        <v>0</v>
      </c>
      <c r="G47" s="27"/>
      <c r="H47" s="4" t="s">
        <v>1296</v>
      </c>
      <c r="I47" s="4" t="s">
        <v>1297</v>
      </c>
      <c r="J47" s="4" t="s">
        <v>1108</v>
      </c>
      <c r="K47" s="4" t="s">
        <v>1282</v>
      </c>
      <c r="L47" s="4" t="s">
        <v>105</v>
      </c>
      <c r="M47" s="4"/>
      <c r="N47" s="4" t="s">
        <v>1295</v>
      </c>
      <c r="O47" s="4" t="s">
        <v>1284</v>
      </c>
      <c r="P47" s="4"/>
      <c r="Q47" s="4" t="s">
        <v>1285</v>
      </c>
      <c r="R47" s="4" t="s">
        <v>108</v>
      </c>
      <c r="S47" s="4"/>
      <c r="T47" s="4"/>
      <c r="U47" s="4" t="s">
        <v>110</v>
      </c>
      <c r="V47" s="4"/>
      <c r="W47" s="4" t="s">
        <v>112</v>
      </c>
      <c r="X47" s="4"/>
      <c r="Y47" s="4" t="s">
        <v>203</v>
      </c>
      <c r="Z47" s="4" t="s">
        <v>114</v>
      </c>
      <c r="AA47" s="4" t="s">
        <v>115</v>
      </c>
      <c r="AB47" s="4"/>
      <c r="AC47" s="4"/>
      <c r="AD47" s="4" t="s">
        <v>115</v>
      </c>
      <c r="AE47" s="4" t="s">
        <v>116</v>
      </c>
      <c r="AF47" s="4"/>
      <c r="AG47" s="4"/>
      <c r="AH47" s="4" t="s">
        <v>116</v>
      </c>
      <c r="AI47" s="4" t="s">
        <v>277</v>
      </c>
      <c r="AJ47" s="4" t="s">
        <v>278</v>
      </c>
      <c r="AK47" s="4"/>
      <c r="AL47" s="4"/>
      <c r="AM47" s="4"/>
      <c r="AN47" s="4"/>
      <c r="AO47" s="4" t="s">
        <v>221</v>
      </c>
      <c r="AP47" s="4"/>
      <c r="AQ47" s="4"/>
      <c r="AR47" s="4"/>
      <c r="AS47" s="4"/>
      <c r="AT47" s="4" t="s">
        <v>557</v>
      </c>
      <c r="AU47" s="5" t="str">
        <f>IF($AT47="","",IFERROR(INDEX(InstructorMap!$B:$B, MATCH($AT47, InstructorMap!$A:$A, 0)),""))</f>
        <v>kenley@andrews.edu</v>
      </c>
      <c r="AV47" s="5" t="str">
        <f>IF($AT47="","",IFERROR(INDEX(InstructorMap!$C:$C, MATCH($AT47, InstructorMap!$A:$A, 0)),""))</f>
        <v>000069431</v>
      </c>
      <c r="AW47" s="4" t="s">
        <v>121</v>
      </c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 t="s">
        <v>351</v>
      </c>
      <c r="BI47" s="4" t="s">
        <v>124</v>
      </c>
      <c r="BJ47" s="4" t="s">
        <v>125</v>
      </c>
      <c r="BK47" s="4"/>
      <c r="BL47" s="4" t="s">
        <v>126</v>
      </c>
      <c r="BM47" s="4"/>
      <c r="BN47" s="4"/>
      <c r="BO47" s="4" t="s">
        <v>127</v>
      </c>
      <c r="BP47" s="4"/>
      <c r="BQ47" s="4" t="s">
        <v>1279</v>
      </c>
      <c r="BR47" s="4"/>
      <c r="BS47" s="4"/>
      <c r="BT47" s="4" t="s">
        <v>128</v>
      </c>
      <c r="BU47" s="4" t="s">
        <v>129</v>
      </c>
      <c r="BV47" s="4" t="s">
        <v>129</v>
      </c>
      <c r="BW47" s="4" t="s">
        <v>130</v>
      </c>
      <c r="BX47" s="4" t="s">
        <v>131</v>
      </c>
      <c r="BY47" s="4"/>
      <c r="BZ47" s="4"/>
      <c r="CA47" s="4"/>
      <c r="CB47" s="4"/>
      <c r="CC47" s="4"/>
      <c r="CD47" s="4"/>
      <c r="CE47" s="4"/>
      <c r="CF47" s="4" t="s">
        <v>130</v>
      </c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 t="s">
        <v>132</v>
      </c>
      <c r="CT47" s="4" t="s">
        <v>133</v>
      </c>
      <c r="CU47" s="4" t="s">
        <v>134</v>
      </c>
      <c r="CV47" s="4"/>
    </row>
    <row r="48" spans="1:100" x14ac:dyDescent="0.2">
      <c r="A48" s="26" t="b">
        <v>0</v>
      </c>
      <c r="B48" s="26" t="b">
        <v>0</v>
      </c>
      <c r="C48" s="26" t="b">
        <v>0</v>
      </c>
      <c r="D48" s="26" t="b">
        <v>0</v>
      </c>
      <c r="E48" s="26" t="b">
        <v>0</v>
      </c>
      <c r="F48" s="26" t="b">
        <v>0</v>
      </c>
      <c r="G48" s="27"/>
      <c r="H48" s="4" t="s">
        <v>1298</v>
      </c>
      <c r="I48" s="4" t="s">
        <v>1299</v>
      </c>
      <c r="J48" s="4" t="s">
        <v>1108</v>
      </c>
      <c r="K48" s="4" t="s">
        <v>1282</v>
      </c>
      <c r="L48" s="4" t="s">
        <v>148</v>
      </c>
      <c r="M48" s="4"/>
      <c r="N48" s="4" t="s">
        <v>1300</v>
      </c>
      <c r="O48" s="4" t="s">
        <v>1290</v>
      </c>
      <c r="P48" s="4"/>
      <c r="Q48" s="4" t="s">
        <v>1291</v>
      </c>
      <c r="R48" s="4" t="s">
        <v>108</v>
      </c>
      <c r="S48" s="4"/>
      <c r="T48" s="4"/>
      <c r="U48" s="4" t="s">
        <v>149</v>
      </c>
      <c r="V48" s="4"/>
      <c r="W48" s="4" t="s">
        <v>112</v>
      </c>
      <c r="X48" s="4"/>
      <c r="Y48" s="4" t="s">
        <v>203</v>
      </c>
      <c r="Z48" s="4" t="s">
        <v>114</v>
      </c>
      <c r="AA48" s="4" t="s">
        <v>115</v>
      </c>
      <c r="AB48" s="4"/>
      <c r="AC48" s="4"/>
      <c r="AD48" s="4"/>
      <c r="AE48" s="4"/>
      <c r="AF48" s="4"/>
      <c r="AG48" s="4"/>
      <c r="AH48" s="4" t="s">
        <v>116</v>
      </c>
      <c r="AI48" s="10" t="s">
        <v>147</v>
      </c>
      <c r="AJ48" s="10" t="s">
        <v>147</v>
      </c>
      <c r="AK48" s="4"/>
      <c r="AL48" s="4"/>
      <c r="AM48" s="4"/>
      <c r="AN48" s="4"/>
      <c r="AO48" s="4"/>
      <c r="AP48" s="4"/>
      <c r="AQ48" s="4"/>
      <c r="AR48" s="4"/>
      <c r="AS48" s="4"/>
      <c r="AT48" s="4" t="s">
        <v>1286</v>
      </c>
      <c r="AU48" s="5" t="str">
        <f>IF($AT48="","",IFERROR(INDEX(InstructorMap!$B:$B, MATCH($AT48, InstructorMap!$A:$A, 0)),""))</f>
        <v/>
      </c>
      <c r="AV48" s="5" t="str">
        <f>IF($AT48="","",IFERROR(INDEX(InstructorMap!$C:$C, MATCH($AT48, InstructorMap!$A:$A, 0)),""))</f>
        <v/>
      </c>
      <c r="AW48" s="4" t="s">
        <v>121</v>
      </c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 t="s">
        <v>1108</v>
      </c>
      <c r="BI48" s="4" t="s">
        <v>124</v>
      </c>
      <c r="BJ48" s="4" t="s">
        <v>125</v>
      </c>
      <c r="BK48" s="4"/>
      <c r="BL48" s="4" t="s">
        <v>126</v>
      </c>
      <c r="BM48" s="4"/>
      <c r="BN48" s="4"/>
      <c r="BO48" s="4" t="s">
        <v>127</v>
      </c>
      <c r="BP48" s="4"/>
      <c r="BQ48" s="4" t="s">
        <v>1279</v>
      </c>
      <c r="BR48" s="4"/>
      <c r="BS48" s="4"/>
      <c r="BT48" s="4" t="s">
        <v>128</v>
      </c>
      <c r="BU48" s="4" t="s">
        <v>129</v>
      </c>
      <c r="BV48" s="4" t="s">
        <v>129</v>
      </c>
      <c r="BW48" s="4" t="s">
        <v>130</v>
      </c>
      <c r="BX48" s="4"/>
      <c r="BY48" s="4"/>
      <c r="BZ48" s="4"/>
      <c r="CA48" s="4"/>
      <c r="CB48" s="4"/>
      <c r="CC48" s="4"/>
      <c r="CD48" s="4"/>
      <c r="CE48" s="4"/>
      <c r="CF48" s="4" t="s">
        <v>130</v>
      </c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10" t="s">
        <v>147</v>
      </c>
      <c r="CT48" s="4" t="s">
        <v>133</v>
      </c>
      <c r="CU48" s="4" t="s">
        <v>134</v>
      </c>
      <c r="CV48" s="4"/>
    </row>
    <row r="49" spans="1:100" x14ac:dyDescent="0.2">
      <c r="A49" s="26" t="b">
        <v>0</v>
      </c>
      <c r="B49" s="26" t="b">
        <v>0</v>
      </c>
      <c r="C49" s="26" t="b">
        <v>0</v>
      </c>
      <c r="D49" s="26" t="b">
        <v>0</v>
      </c>
      <c r="E49" s="26" t="b">
        <v>0</v>
      </c>
      <c r="F49" s="26" t="b">
        <v>0</v>
      </c>
      <c r="G49" s="27"/>
      <c r="H49" s="4" t="s">
        <v>1301</v>
      </c>
      <c r="I49" s="4" t="s">
        <v>1302</v>
      </c>
      <c r="J49" s="4" t="s">
        <v>1108</v>
      </c>
      <c r="K49" s="4" t="s">
        <v>1303</v>
      </c>
      <c r="L49" s="4" t="s">
        <v>137</v>
      </c>
      <c r="M49" s="4"/>
      <c r="N49" s="4" t="s">
        <v>1304</v>
      </c>
      <c r="O49" s="4"/>
      <c r="P49" s="4"/>
      <c r="Q49" s="4"/>
      <c r="R49" s="4" t="s">
        <v>129</v>
      </c>
      <c r="S49" s="4"/>
      <c r="T49" s="4"/>
      <c r="U49" s="4"/>
      <c r="V49" s="4"/>
      <c r="W49" s="4" t="s">
        <v>112</v>
      </c>
      <c r="X49" s="4"/>
      <c r="Y49" s="4" t="s">
        <v>1110</v>
      </c>
      <c r="Z49" s="4" t="s">
        <v>142</v>
      </c>
      <c r="AA49" s="4" t="s">
        <v>115</v>
      </c>
      <c r="AB49" s="4"/>
      <c r="AC49" s="4"/>
      <c r="AD49" s="4" t="s">
        <v>115</v>
      </c>
      <c r="AE49" s="4" t="s">
        <v>116</v>
      </c>
      <c r="AF49" s="4"/>
      <c r="AG49" s="4"/>
      <c r="AH49" s="4" t="s">
        <v>116</v>
      </c>
      <c r="AI49" s="4" t="s">
        <v>357</v>
      </c>
      <c r="AJ49" s="4" t="s">
        <v>358</v>
      </c>
      <c r="AK49" s="4"/>
      <c r="AL49" s="4"/>
      <c r="AM49" s="4"/>
      <c r="AN49" s="4"/>
      <c r="AO49" s="4" t="s">
        <v>221</v>
      </c>
      <c r="AP49" s="4"/>
      <c r="AQ49" s="4"/>
      <c r="AR49" s="4"/>
      <c r="AS49" s="4" t="s">
        <v>144</v>
      </c>
      <c r="AT49" s="4" t="s">
        <v>557</v>
      </c>
      <c r="AU49" s="5" t="str">
        <f>IF($AT49="","",IFERROR(INDEX(InstructorMap!$B:$B, MATCH($AT49, InstructorMap!$A:$A, 0)),""))</f>
        <v>kenley@andrews.edu</v>
      </c>
      <c r="AV49" s="5" t="str">
        <f>IF($AT49="","",IFERROR(INDEX(InstructorMap!$C:$C, MATCH($AT49, InstructorMap!$A:$A, 0)),""))</f>
        <v>000069431</v>
      </c>
      <c r="AW49" s="4" t="s">
        <v>121</v>
      </c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 t="s">
        <v>351</v>
      </c>
      <c r="BI49" s="4" t="s">
        <v>124</v>
      </c>
      <c r="BJ49" s="4" t="s">
        <v>125</v>
      </c>
      <c r="BK49" s="4"/>
      <c r="BL49" s="4" t="s">
        <v>125</v>
      </c>
      <c r="BM49" s="4"/>
      <c r="BN49" s="4"/>
      <c r="BO49" s="4" t="s">
        <v>127</v>
      </c>
      <c r="BP49" s="4"/>
      <c r="BQ49" s="4" t="s">
        <v>1279</v>
      </c>
      <c r="BR49" s="4"/>
      <c r="BS49" s="4"/>
      <c r="BT49" s="4" t="s">
        <v>128</v>
      </c>
      <c r="BU49" s="4" t="s">
        <v>129</v>
      </c>
      <c r="BV49" s="4" t="s">
        <v>129</v>
      </c>
      <c r="BW49" s="4" t="s">
        <v>130</v>
      </c>
      <c r="BX49" s="4"/>
      <c r="BY49" s="4"/>
      <c r="BZ49" s="4"/>
      <c r="CA49" s="4"/>
      <c r="CB49" s="4"/>
      <c r="CC49" s="4"/>
      <c r="CD49" s="4"/>
      <c r="CE49" s="4"/>
      <c r="CF49" s="4" t="s">
        <v>130</v>
      </c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 t="s">
        <v>132</v>
      </c>
      <c r="CT49" s="4" t="s">
        <v>133</v>
      </c>
      <c r="CU49" s="4" t="s">
        <v>134</v>
      </c>
      <c r="CV49" s="4"/>
    </row>
    <row r="50" spans="1:100" x14ac:dyDescent="0.2">
      <c r="A50" s="26" t="b">
        <v>0</v>
      </c>
      <c r="B50" s="26" t="b">
        <v>0</v>
      </c>
      <c r="C50" s="26" t="b">
        <v>0</v>
      </c>
      <c r="D50" s="26" t="b">
        <v>0</v>
      </c>
      <c r="E50" s="26" t="b">
        <v>0</v>
      </c>
      <c r="F50" s="26" t="b">
        <v>0</v>
      </c>
      <c r="G50" s="27"/>
      <c r="H50" s="4" t="s">
        <v>1305</v>
      </c>
      <c r="I50" s="4" t="s">
        <v>1306</v>
      </c>
      <c r="J50" s="4" t="s">
        <v>1108</v>
      </c>
      <c r="K50" s="4" t="s">
        <v>1307</v>
      </c>
      <c r="L50" s="4" t="s">
        <v>137</v>
      </c>
      <c r="M50" s="4"/>
      <c r="N50" s="4" t="s">
        <v>1308</v>
      </c>
      <c r="O50" s="4"/>
      <c r="P50" s="4"/>
      <c r="Q50" s="4"/>
      <c r="R50" s="4" t="s">
        <v>129</v>
      </c>
      <c r="S50" s="4"/>
      <c r="T50" s="4"/>
      <c r="U50" s="4"/>
      <c r="V50" s="4"/>
      <c r="W50" s="4" t="s">
        <v>1204</v>
      </c>
      <c r="X50" s="4"/>
      <c r="Y50" s="10" t="s">
        <v>147</v>
      </c>
      <c r="Z50" s="4" t="s">
        <v>142</v>
      </c>
      <c r="AA50" s="4" t="s">
        <v>115</v>
      </c>
      <c r="AB50" s="4"/>
      <c r="AC50" s="4"/>
      <c r="AD50" s="4"/>
      <c r="AE50" s="4"/>
      <c r="AF50" s="4"/>
      <c r="AG50" s="4"/>
      <c r="AH50" s="4" t="s">
        <v>116</v>
      </c>
      <c r="AI50" s="10" t="s">
        <v>147</v>
      </c>
      <c r="AJ50" s="10" t="s">
        <v>147</v>
      </c>
      <c r="AK50" s="4"/>
      <c r="AL50" s="10" t="s">
        <v>732</v>
      </c>
      <c r="AM50" s="10" t="s">
        <v>732</v>
      </c>
      <c r="AN50" s="10" t="s">
        <v>732</v>
      </c>
      <c r="AO50" s="10" t="s">
        <v>732</v>
      </c>
      <c r="AP50" s="4"/>
      <c r="AQ50" s="4"/>
      <c r="AR50" s="4"/>
      <c r="AS50" s="4"/>
      <c r="AT50" s="4" t="s">
        <v>196</v>
      </c>
      <c r="AU50" s="5" t="str">
        <f>IF($AT50="","",IFERROR(INDEX(InstructorMap!$B:$B, MATCH($AT50, InstructorMap!$A:$A, 0)),""))</f>
        <v/>
      </c>
      <c r="AV50" s="5" t="str">
        <f>IF($AT50="","",IFERROR(INDEX(InstructorMap!$C:$C, MATCH($AT50, InstructorMap!$A:$A, 0)),""))</f>
        <v/>
      </c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 t="s">
        <v>1108</v>
      </c>
      <c r="BI50" s="4" t="s">
        <v>124</v>
      </c>
      <c r="BJ50" s="4" t="s">
        <v>125</v>
      </c>
      <c r="BK50" s="4"/>
      <c r="BL50" s="4" t="s">
        <v>481</v>
      </c>
      <c r="BM50" s="4"/>
      <c r="BN50" s="4"/>
      <c r="BO50" s="4" t="s">
        <v>127</v>
      </c>
      <c r="BP50" s="4"/>
      <c r="BQ50" s="4" t="s">
        <v>1309</v>
      </c>
      <c r="BR50" s="4"/>
      <c r="BS50" s="4"/>
      <c r="BT50" s="4" t="s">
        <v>128</v>
      </c>
      <c r="BU50" s="4" t="s">
        <v>129</v>
      </c>
      <c r="BV50" s="4" t="s">
        <v>129</v>
      </c>
      <c r="BW50" s="4"/>
      <c r="BX50" s="4"/>
      <c r="BY50" s="4"/>
      <c r="BZ50" s="4"/>
      <c r="CA50" s="4"/>
      <c r="CB50" s="4"/>
      <c r="CC50" s="4"/>
      <c r="CD50" s="4"/>
      <c r="CE50" s="4"/>
      <c r="CF50" s="4" t="s">
        <v>130</v>
      </c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 t="s">
        <v>249</v>
      </c>
      <c r="CS50" s="10" t="s">
        <v>147</v>
      </c>
      <c r="CT50" s="4" t="s">
        <v>133</v>
      </c>
      <c r="CU50" s="4" t="s">
        <v>134</v>
      </c>
      <c r="CV50" s="4"/>
    </row>
    <row r="51" spans="1:100" x14ac:dyDescent="0.2">
      <c r="A51" s="33" t="b">
        <v>0</v>
      </c>
      <c r="B51" s="34" t="b">
        <v>0</v>
      </c>
      <c r="C51" s="33" t="b">
        <v>0</v>
      </c>
      <c r="D51" s="34" t="b">
        <v>0</v>
      </c>
      <c r="E51" s="34" t="b">
        <v>0</v>
      </c>
      <c r="F51" s="32" t="b">
        <v>0</v>
      </c>
      <c r="G51" s="25"/>
      <c r="H51" s="11"/>
      <c r="I51" s="12" t="s">
        <v>199</v>
      </c>
      <c r="J51" s="11" t="s">
        <v>1108</v>
      </c>
      <c r="K51" s="11" t="s">
        <v>1310</v>
      </c>
      <c r="L51" s="11" t="s">
        <v>137</v>
      </c>
      <c r="M51" s="11"/>
      <c r="N51" s="11" t="s">
        <v>1311</v>
      </c>
      <c r="O51" s="11"/>
      <c r="P51" s="11"/>
      <c r="Q51" s="11"/>
      <c r="R51" s="11"/>
      <c r="S51" s="11"/>
      <c r="T51" s="11"/>
      <c r="U51" s="11"/>
      <c r="V51" s="11"/>
      <c r="W51" s="11"/>
      <c r="X51" s="11" t="s">
        <v>150</v>
      </c>
      <c r="Y51" s="11" t="s">
        <v>151</v>
      </c>
      <c r="Z51" s="11"/>
      <c r="AA51" s="11" t="s">
        <v>115</v>
      </c>
      <c r="AB51" s="11"/>
      <c r="AC51" s="11"/>
      <c r="AD51" s="11" t="s">
        <v>115</v>
      </c>
      <c r="AE51" s="11" t="s">
        <v>116</v>
      </c>
      <c r="AF51" s="11"/>
      <c r="AG51" s="11"/>
      <c r="AH51" s="11" t="s">
        <v>116</v>
      </c>
      <c r="AI51" s="11" t="s">
        <v>117</v>
      </c>
      <c r="AJ51" s="11" t="s">
        <v>194</v>
      </c>
      <c r="AK51" s="11"/>
      <c r="AL51" s="11"/>
      <c r="AM51" s="11"/>
      <c r="AN51" s="11"/>
      <c r="AO51" s="11" t="s">
        <v>221</v>
      </c>
      <c r="AP51" s="11"/>
      <c r="AQ51" s="11"/>
      <c r="AR51" s="11" t="s">
        <v>212</v>
      </c>
      <c r="AS51" s="11" t="s">
        <v>144</v>
      </c>
      <c r="AT51" s="11" t="s">
        <v>1312</v>
      </c>
      <c r="AU51" s="13" t="str">
        <f>IF($AT51="","",IFERROR(INDEX(InstructorMap!$B:$B, MATCH($AT51, InstructorMap!$A:$A, 0)),""))</f>
        <v/>
      </c>
      <c r="AV51" s="13" t="str">
        <f>IF($AT51="","",IFERROR(INDEX(InstructorMap!$C:$C, MATCH($AT51, InstructorMap!$A:$A, 0)),""))</f>
        <v/>
      </c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 t="s">
        <v>1108</v>
      </c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 t="s">
        <v>146</v>
      </c>
      <c r="CT51" s="11" t="s">
        <v>133</v>
      </c>
      <c r="CU51" s="11"/>
      <c r="CV51" s="11"/>
    </row>
    <row r="52" spans="1:100" x14ac:dyDescent="0.2">
      <c r="A52" s="26" t="b">
        <v>0</v>
      </c>
      <c r="B52" s="26" t="b">
        <v>0</v>
      </c>
      <c r="C52" s="26" t="b">
        <v>0</v>
      </c>
      <c r="D52" s="26" t="b">
        <v>0</v>
      </c>
      <c r="E52" s="26" t="b">
        <v>0</v>
      </c>
      <c r="F52" s="26" t="b">
        <v>0</v>
      </c>
      <c r="G52" s="27"/>
      <c r="H52" s="4" t="s">
        <v>1313</v>
      </c>
      <c r="I52" s="4" t="s">
        <v>1314</v>
      </c>
      <c r="J52" s="4" t="s">
        <v>1108</v>
      </c>
      <c r="K52" s="4" t="s">
        <v>1310</v>
      </c>
      <c r="L52" s="4" t="s">
        <v>105</v>
      </c>
      <c r="M52" s="4"/>
      <c r="N52" s="4" t="s">
        <v>1315</v>
      </c>
      <c r="O52" s="4"/>
      <c r="P52" s="4"/>
      <c r="Q52" s="4" t="s">
        <v>1316</v>
      </c>
      <c r="R52" s="4" t="s">
        <v>108</v>
      </c>
      <c r="S52" s="4"/>
      <c r="T52" s="4"/>
      <c r="U52" s="4" t="s">
        <v>110</v>
      </c>
      <c r="V52" s="4"/>
      <c r="W52" s="4" t="s">
        <v>150</v>
      </c>
      <c r="X52" s="4"/>
      <c r="Y52" s="4" t="s">
        <v>141</v>
      </c>
      <c r="Z52" s="4" t="s">
        <v>114</v>
      </c>
      <c r="AA52" s="4" t="s">
        <v>115</v>
      </c>
      <c r="AB52" s="4"/>
      <c r="AC52" s="4"/>
      <c r="AD52" s="4" t="s">
        <v>115</v>
      </c>
      <c r="AE52" s="4" t="s">
        <v>116</v>
      </c>
      <c r="AF52" s="4"/>
      <c r="AG52" s="4"/>
      <c r="AH52" s="4" t="s">
        <v>116</v>
      </c>
      <c r="AI52" s="4" t="s">
        <v>277</v>
      </c>
      <c r="AJ52" s="4" t="s">
        <v>278</v>
      </c>
      <c r="AK52" s="4"/>
      <c r="AL52" s="4"/>
      <c r="AM52" s="4"/>
      <c r="AN52" s="4"/>
      <c r="AO52" s="4" t="s">
        <v>221</v>
      </c>
      <c r="AP52" s="4"/>
      <c r="AQ52" s="4"/>
      <c r="AR52" s="4"/>
      <c r="AS52" s="4"/>
      <c r="AT52" s="4" t="s">
        <v>285</v>
      </c>
      <c r="AU52" s="5" t="str">
        <f>IF($AT52="","",IFERROR(INDEX(InstructorMap!$B:$B, MATCH($AT52, InstructorMap!$A:$A, 0)),""))</f>
        <v/>
      </c>
      <c r="AV52" s="5" t="str">
        <f>IF($AT52="","",IFERROR(INDEX(InstructorMap!$C:$C, MATCH($AT52, InstructorMap!$A:$A, 0)),""))</f>
        <v/>
      </c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 t="s">
        <v>351</v>
      </c>
      <c r="BI52" s="4" t="s">
        <v>124</v>
      </c>
      <c r="BJ52" s="4" t="s">
        <v>125</v>
      </c>
      <c r="BK52" s="4"/>
      <c r="BL52" s="4" t="s">
        <v>126</v>
      </c>
      <c r="BM52" s="4"/>
      <c r="BN52" s="4"/>
      <c r="BO52" s="4" t="s">
        <v>127</v>
      </c>
      <c r="BP52" s="4"/>
      <c r="BQ52" s="4"/>
      <c r="BR52" s="4"/>
      <c r="BS52" s="4"/>
      <c r="BT52" s="4" t="s">
        <v>128</v>
      </c>
      <c r="BU52" s="4" t="s">
        <v>129</v>
      </c>
      <c r="BV52" s="4" t="s">
        <v>129</v>
      </c>
      <c r="BW52" s="4"/>
      <c r="BX52" s="4"/>
      <c r="BY52" s="4"/>
      <c r="BZ52" s="4"/>
      <c r="CA52" s="4"/>
      <c r="CB52" s="4"/>
      <c r="CC52" s="4"/>
      <c r="CD52" s="4"/>
      <c r="CE52" s="4"/>
      <c r="CF52" s="4" t="s">
        <v>130</v>
      </c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 t="s">
        <v>132</v>
      </c>
      <c r="CT52" s="4" t="s">
        <v>133</v>
      </c>
      <c r="CU52" s="4" t="s">
        <v>134</v>
      </c>
      <c r="CV52" s="4"/>
    </row>
    <row r="53" spans="1:100" x14ac:dyDescent="0.2">
      <c r="A53" s="33" t="b">
        <v>0</v>
      </c>
      <c r="B53" s="34" t="b">
        <v>0</v>
      </c>
      <c r="C53" s="33" t="b">
        <v>0</v>
      </c>
      <c r="D53" s="34" t="b">
        <v>0</v>
      </c>
      <c r="E53" s="34" t="b">
        <v>0</v>
      </c>
      <c r="F53" s="32" t="b">
        <v>0</v>
      </c>
      <c r="G53" s="25"/>
      <c r="H53" s="11"/>
      <c r="I53" s="12" t="s">
        <v>199</v>
      </c>
      <c r="J53" s="11" t="s">
        <v>1108</v>
      </c>
      <c r="K53" s="11" t="s">
        <v>1317</v>
      </c>
      <c r="L53" s="11" t="s">
        <v>137</v>
      </c>
      <c r="M53" s="11"/>
      <c r="N53" s="11" t="s">
        <v>230</v>
      </c>
      <c r="O53" s="11"/>
      <c r="P53" s="11" t="s">
        <v>231</v>
      </c>
      <c r="Q53" s="11"/>
      <c r="R53" s="11"/>
      <c r="S53" s="11"/>
      <c r="T53" s="11"/>
      <c r="U53" s="11"/>
      <c r="V53" s="11"/>
      <c r="W53" s="11"/>
      <c r="X53" s="11" t="s">
        <v>112</v>
      </c>
      <c r="Y53" s="11" t="s">
        <v>113</v>
      </c>
      <c r="Z53" s="11"/>
      <c r="AA53" s="11" t="s">
        <v>115</v>
      </c>
      <c r="AB53" s="11"/>
      <c r="AC53" s="11"/>
      <c r="AD53" s="11" t="s">
        <v>115</v>
      </c>
      <c r="AE53" s="11" t="s">
        <v>116</v>
      </c>
      <c r="AF53" s="11"/>
      <c r="AG53" s="11"/>
      <c r="AH53" s="11" t="s">
        <v>116</v>
      </c>
      <c r="AI53" s="11" t="s">
        <v>175</v>
      </c>
      <c r="AJ53" s="11" t="s">
        <v>176</v>
      </c>
      <c r="AK53" s="11"/>
      <c r="AL53" s="11"/>
      <c r="AM53" s="11"/>
      <c r="AN53" s="11" t="s">
        <v>177</v>
      </c>
      <c r="AO53" s="11"/>
      <c r="AP53" s="11"/>
      <c r="AQ53" s="11"/>
      <c r="AR53" s="11" t="s">
        <v>232</v>
      </c>
      <c r="AS53" s="11" t="s">
        <v>144</v>
      </c>
      <c r="AT53" s="11" t="s">
        <v>1318</v>
      </c>
      <c r="AU53" s="13" t="str">
        <f>IF($AT53="","",IFERROR(INDEX(InstructorMap!$B:$B, MATCH($AT53, InstructorMap!$A:$A, 0)),""))</f>
        <v/>
      </c>
      <c r="AV53" s="13" t="str">
        <f>IF($AT53="","",IFERROR(INDEX(InstructorMap!$C:$C, MATCH($AT53, InstructorMap!$A:$A, 0)),""))</f>
        <v/>
      </c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 t="s">
        <v>1108</v>
      </c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 t="s">
        <v>146</v>
      </c>
      <c r="CT53" s="11" t="s">
        <v>133</v>
      </c>
      <c r="CU53" s="11"/>
      <c r="CV53" s="11"/>
    </row>
    <row r="54" spans="1:100" x14ac:dyDescent="0.2">
      <c r="A54" s="26" t="b">
        <v>0</v>
      </c>
      <c r="B54" s="26" t="b">
        <v>0</v>
      </c>
      <c r="C54" s="26" t="b">
        <v>0</v>
      </c>
      <c r="D54" s="26" t="b">
        <v>0</v>
      </c>
      <c r="E54" s="26" t="b">
        <v>0</v>
      </c>
      <c r="F54" s="26" t="b">
        <v>0</v>
      </c>
      <c r="G54" s="27"/>
      <c r="H54" s="4" t="s">
        <v>1319</v>
      </c>
      <c r="I54" s="4" t="s">
        <v>1320</v>
      </c>
      <c r="J54" s="4" t="s">
        <v>1108</v>
      </c>
      <c r="K54" s="4" t="s">
        <v>441</v>
      </c>
      <c r="L54" s="4" t="s">
        <v>148</v>
      </c>
      <c r="M54" s="4"/>
      <c r="N54" s="4" t="s">
        <v>1321</v>
      </c>
      <c r="O54" s="4"/>
      <c r="P54" s="4"/>
      <c r="Q54" s="4"/>
      <c r="R54" s="4" t="s">
        <v>108</v>
      </c>
      <c r="S54" s="4"/>
      <c r="T54" s="4"/>
      <c r="U54" s="4" t="s">
        <v>149</v>
      </c>
      <c r="V54" s="4"/>
      <c r="W54" s="4" t="s">
        <v>112</v>
      </c>
      <c r="X54" s="4" t="s">
        <v>150</v>
      </c>
      <c r="Y54" s="4" t="s">
        <v>1110</v>
      </c>
      <c r="Z54" s="4" t="s">
        <v>114</v>
      </c>
      <c r="AA54" s="4" t="s">
        <v>115</v>
      </c>
      <c r="AB54" s="4"/>
      <c r="AC54" s="4"/>
      <c r="AD54" s="4"/>
      <c r="AE54" s="4"/>
      <c r="AF54" s="4"/>
      <c r="AG54" s="4"/>
      <c r="AH54" s="4" t="s">
        <v>116</v>
      </c>
      <c r="AI54" s="10" t="s">
        <v>147</v>
      </c>
      <c r="AJ54" s="10" t="s">
        <v>147</v>
      </c>
      <c r="AK54" s="4"/>
      <c r="AL54" s="4"/>
      <c r="AM54" s="4"/>
      <c r="AN54" s="4"/>
      <c r="AO54" s="4"/>
      <c r="AP54" s="4"/>
      <c r="AQ54" s="4"/>
      <c r="AR54" s="4"/>
      <c r="AS54" s="4"/>
      <c r="AT54" s="4" t="s">
        <v>1227</v>
      </c>
      <c r="AU54" s="5" t="str">
        <f>IF($AT54="","",IFERROR(INDEX(InstructorMap!$B:$B, MATCH($AT54, InstructorMap!$A:$A, 0)),""))</f>
        <v/>
      </c>
      <c r="AV54" s="5" t="str">
        <f>IF($AT54="","",IFERROR(INDEX(InstructorMap!$C:$C, MATCH($AT54, InstructorMap!$A:$A, 0)),""))</f>
        <v/>
      </c>
      <c r="AW54" s="4" t="s">
        <v>121</v>
      </c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 t="s">
        <v>1108</v>
      </c>
      <c r="BI54" s="4" t="s">
        <v>124</v>
      </c>
      <c r="BJ54" s="4" t="s">
        <v>125</v>
      </c>
      <c r="BK54" s="4"/>
      <c r="BL54" s="4" t="s">
        <v>126</v>
      </c>
      <c r="BM54" s="4"/>
      <c r="BN54" s="4"/>
      <c r="BO54" s="4" t="s">
        <v>127</v>
      </c>
      <c r="BP54" s="4"/>
      <c r="BQ54" s="4" t="s">
        <v>1322</v>
      </c>
      <c r="BR54" s="4"/>
      <c r="BS54" s="4"/>
      <c r="BT54" s="4" t="s">
        <v>128</v>
      </c>
      <c r="BU54" s="4" t="s">
        <v>129</v>
      </c>
      <c r="BV54" s="4" t="s">
        <v>145</v>
      </c>
      <c r="BW54" s="4" t="s">
        <v>130</v>
      </c>
      <c r="BX54" s="4"/>
      <c r="BY54" s="4"/>
      <c r="BZ54" s="4"/>
      <c r="CA54" s="4"/>
      <c r="CB54" s="4"/>
      <c r="CC54" s="4"/>
      <c r="CD54" s="4"/>
      <c r="CE54" s="4"/>
      <c r="CF54" s="4" t="s">
        <v>130</v>
      </c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10" t="s">
        <v>147</v>
      </c>
      <c r="CT54" s="4" t="s">
        <v>133</v>
      </c>
      <c r="CU54" s="4" t="s">
        <v>134</v>
      </c>
      <c r="CV54" s="4"/>
    </row>
    <row r="55" spans="1:100" x14ac:dyDescent="0.2">
      <c r="A55" s="26" t="b">
        <v>0</v>
      </c>
      <c r="B55" s="26" t="b">
        <v>0</v>
      </c>
      <c r="C55" s="26" t="b">
        <v>0</v>
      </c>
      <c r="D55" s="26" t="b">
        <v>0</v>
      </c>
      <c r="E55" s="26" t="b">
        <v>0</v>
      </c>
      <c r="F55" s="26" t="b">
        <v>0</v>
      </c>
      <c r="G55" s="27"/>
      <c r="H55" s="4" t="s">
        <v>1323</v>
      </c>
      <c r="I55" s="4" t="s">
        <v>1324</v>
      </c>
      <c r="J55" s="4" t="s">
        <v>1108</v>
      </c>
      <c r="K55" s="4" t="s">
        <v>207</v>
      </c>
      <c r="L55" s="4" t="s">
        <v>255</v>
      </c>
      <c r="M55" s="4"/>
      <c r="N55" s="4" t="s">
        <v>1325</v>
      </c>
      <c r="O55" s="4"/>
      <c r="P55" s="4"/>
      <c r="Q55" s="4" t="s">
        <v>1326</v>
      </c>
      <c r="R55" s="4" t="s">
        <v>129</v>
      </c>
      <c r="S55" s="4"/>
      <c r="T55" s="4"/>
      <c r="U55" s="4"/>
      <c r="V55" s="4"/>
      <c r="W55" s="4" t="s">
        <v>290</v>
      </c>
      <c r="X55" s="4"/>
      <c r="Y55" s="4" t="s">
        <v>151</v>
      </c>
      <c r="Z55" s="4" t="s">
        <v>142</v>
      </c>
      <c r="AA55" s="4" t="s">
        <v>115</v>
      </c>
      <c r="AB55" s="4"/>
      <c r="AC55" s="4"/>
      <c r="AD55" s="4"/>
      <c r="AE55" s="4"/>
      <c r="AF55" s="4"/>
      <c r="AG55" s="4"/>
      <c r="AH55" s="4" t="s">
        <v>116</v>
      </c>
      <c r="AI55" s="10" t="s">
        <v>147</v>
      </c>
      <c r="AJ55" s="10" t="s">
        <v>147</v>
      </c>
      <c r="AK55" s="4"/>
      <c r="AL55" s="10" t="s">
        <v>732</v>
      </c>
      <c r="AM55" s="10" t="s">
        <v>732</v>
      </c>
      <c r="AN55" s="10" t="s">
        <v>732</v>
      </c>
      <c r="AO55" s="10" t="s">
        <v>732</v>
      </c>
      <c r="AP55" s="4"/>
      <c r="AQ55" s="4"/>
      <c r="AR55" s="4"/>
      <c r="AS55" s="4"/>
      <c r="AT55" s="4" t="s">
        <v>1327</v>
      </c>
      <c r="AU55" s="5" t="str">
        <f>IF($AT55="","",IFERROR(INDEX(InstructorMap!$B:$B, MATCH($AT55, InstructorMap!$A:$A, 0)),""))</f>
        <v/>
      </c>
      <c r="AV55" s="5" t="str">
        <f>IF($AT55="","",IFERROR(INDEX(InstructorMap!$C:$C, MATCH($AT55, InstructorMap!$A:$A, 0)),""))</f>
        <v/>
      </c>
      <c r="AW55" s="4" t="s">
        <v>121</v>
      </c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 t="s">
        <v>1108</v>
      </c>
      <c r="BI55" s="4" t="s">
        <v>124</v>
      </c>
      <c r="BJ55" s="4" t="s">
        <v>125</v>
      </c>
      <c r="BK55" s="4"/>
      <c r="BL55" s="4" t="s">
        <v>481</v>
      </c>
      <c r="BM55" s="4"/>
      <c r="BN55" s="4"/>
      <c r="BO55" s="4" t="s">
        <v>127</v>
      </c>
      <c r="BP55" s="4"/>
      <c r="BQ55" s="4"/>
      <c r="BR55" s="4"/>
      <c r="BS55" s="4"/>
      <c r="BT55" s="4" t="s">
        <v>128</v>
      </c>
      <c r="BU55" s="4" t="s">
        <v>129</v>
      </c>
      <c r="BV55" s="4" t="s">
        <v>129</v>
      </c>
      <c r="BW55" s="4" t="s">
        <v>130</v>
      </c>
      <c r="BX55" s="4" t="s">
        <v>131</v>
      </c>
      <c r="BY55" s="4"/>
      <c r="BZ55" s="4"/>
      <c r="CA55" s="4"/>
      <c r="CB55" s="4"/>
      <c r="CC55" s="4"/>
      <c r="CD55" s="4"/>
      <c r="CE55" s="4"/>
      <c r="CF55" s="4" t="s">
        <v>130</v>
      </c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 t="s">
        <v>315</v>
      </c>
      <c r="CS55" s="10" t="s">
        <v>147</v>
      </c>
      <c r="CT55" s="4" t="s">
        <v>133</v>
      </c>
      <c r="CU55" s="4" t="s">
        <v>134</v>
      </c>
      <c r="CV55" s="4"/>
    </row>
    <row r="56" spans="1:100" x14ac:dyDescent="0.2">
      <c r="A56" s="26" t="b">
        <v>0</v>
      </c>
      <c r="B56" s="26" t="b">
        <v>0</v>
      </c>
      <c r="C56" s="26" t="b">
        <v>0</v>
      </c>
      <c r="D56" s="26" t="b">
        <v>0</v>
      </c>
      <c r="E56" s="26" t="b">
        <v>0</v>
      </c>
      <c r="F56" s="26" t="b">
        <v>0</v>
      </c>
      <c r="G56" s="27"/>
      <c r="H56" s="4" t="s">
        <v>1328</v>
      </c>
      <c r="I56" s="4" t="s">
        <v>1329</v>
      </c>
      <c r="J56" s="4" t="s">
        <v>1108</v>
      </c>
      <c r="K56" s="4" t="s">
        <v>207</v>
      </c>
      <c r="L56" s="4" t="s">
        <v>252</v>
      </c>
      <c r="M56" s="4"/>
      <c r="N56" s="4" t="s">
        <v>1325</v>
      </c>
      <c r="O56" s="4"/>
      <c r="P56" s="4"/>
      <c r="Q56" s="4"/>
      <c r="R56" s="4" t="s">
        <v>129</v>
      </c>
      <c r="S56" s="4"/>
      <c r="T56" s="4"/>
      <c r="U56" s="4"/>
      <c r="V56" s="4"/>
      <c r="W56" s="4" t="s">
        <v>290</v>
      </c>
      <c r="X56" s="4"/>
      <c r="Y56" s="4" t="s">
        <v>151</v>
      </c>
      <c r="Z56" s="4" t="s">
        <v>142</v>
      </c>
      <c r="AA56" s="4" t="s">
        <v>115</v>
      </c>
      <c r="AB56" s="4"/>
      <c r="AC56" s="4"/>
      <c r="AD56" s="4"/>
      <c r="AE56" s="4"/>
      <c r="AF56" s="4"/>
      <c r="AG56" s="4"/>
      <c r="AH56" s="4" t="s">
        <v>116</v>
      </c>
      <c r="AI56" s="10" t="s">
        <v>147</v>
      </c>
      <c r="AJ56" s="10" t="s">
        <v>147</v>
      </c>
      <c r="AK56" s="4"/>
      <c r="AL56" s="10" t="s">
        <v>732</v>
      </c>
      <c r="AM56" s="10" t="s">
        <v>732</v>
      </c>
      <c r="AN56" s="10" t="s">
        <v>732</v>
      </c>
      <c r="AO56" s="10" t="s">
        <v>732</v>
      </c>
      <c r="AP56" s="4"/>
      <c r="AQ56" s="4"/>
      <c r="AR56" s="4"/>
      <c r="AS56" s="4"/>
      <c r="AT56" s="4" t="s">
        <v>1330</v>
      </c>
      <c r="AU56" s="5" t="str">
        <f>IF($AT56="","",IFERROR(INDEX(InstructorMap!$B:$B, MATCH($AT56, InstructorMap!$A:$A, 0)),""))</f>
        <v/>
      </c>
      <c r="AV56" s="5" t="str">
        <f>IF($AT56="","",IFERROR(INDEX(InstructorMap!$C:$C, MATCH($AT56, InstructorMap!$A:$A, 0)),""))</f>
        <v/>
      </c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 t="s">
        <v>1108</v>
      </c>
      <c r="BI56" s="4" t="s">
        <v>124</v>
      </c>
      <c r="BJ56" s="4" t="s">
        <v>125</v>
      </c>
      <c r="BK56" s="4"/>
      <c r="BL56" s="4" t="s">
        <v>481</v>
      </c>
      <c r="BM56" s="4"/>
      <c r="BN56" s="4"/>
      <c r="BO56" s="4" t="s">
        <v>127</v>
      </c>
      <c r="BP56" s="4"/>
      <c r="BQ56" s="4"/>
      <c r="BR56" s="4"/>
      <c r="BS56" s="4"/>
      <c r="BT56" s="4" t="s">
        <v>128</v>
      </c>
      <c r="BU56" s="4" t="s">
        <v>129</v>
      </c>
      <c r="BV56" s="4" t="s">
        <v>129</v>
      </c>
      <c r="BW56" s="4"/>
      <c r="BX56" s="4"/>
      <c r="BY56" s="4"/>
      <c r="BZ56" s="4"/>
      <c r="CA56" s="4"/>
      <c r="CB56" s="4"/>
      <c r="CC56" s="4"/>
      <c r="CD56" s="4"/>
      <c r="CE56" s="4"/>
      <c r="CF56" s="4" t="s">
        <v>130</v>
      </c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 t="s">
        <v>315</v>
      </c>
      <c r="CS56" s="10" t="s">
        <v>147</v>
      </c>
      <c r="CT56" s="4" t="s">
        <v>133</v>
      </c>
      <c r="CU56" s="4" t="s">
        <v>134</v>
      </c>
      <c r="CV56" s="4"/>
    </row>
    <row r="57" spans="1:100" x14ac:dyDescent="0.2">
      <c r="A57" s="26" t="b">
        <v>0</v>
      </c>
      <c r="B57" s="26" t="b">
        <v>0</v>
      </c>
      <c r="C57" s="26" t="b">
        <v>0</v>
      </c>
      <c r="D57" s="26" t="b">
        <v>0</v>
      </c>
      <c r="E57" s="26" t="b">
        <v>0</v>
      </c>
      <c r="F57" s="26" t="b">
        <v>0</v>
      </c>
      <c r="G57" s="27"/>
      <c r="H57" s="4" t="s">
        <v>1331</v>
      </c>
      <c r="I57" s="4" t="s">
        <v>1332</v>
      </c>
      <c r="J57" s="4" t="s">
        <v>1108</v>
      </c>
      <c r="K57" s="4" t="s">
        <v>207</v>
      </c>
      <c r="L57" s="4" t="s">
        <v>297</v>
      </c>
      <c r="M57" s="4"/>
      <c r="N57" s="4" t="s">
        <v>1333</v>
      </c>
      <c r="O57" s="4"/>
      <c r="P57" s="4"/>
      <c r="Q57" s="4"/>
      <c r="R57" s="4" t="s">
        <v>108</v>
      </c>
      <c r="S57" s="4"/>
      <c r="T57" s="4"/>
      <c r="U57" s="4"/>
      <c r="V57" s="4"/>
      <c r="W57" s="4" t="s">
        <v>290</v>
      </c>
      <c r="X57" s="4"/>
      <c r="Y57" s="4" t="s">
        <v>113</v>
      </c>
      <c r="Z57" s="4" t="s">
        <v>142</v>
      </c>
      <c r="AA57" s="4" t="s">
        <v>115</v>
      </c>
      <c r="AB57" s="4"/>
      <c r="AC57" s="4"/>
      <c r="AD57" s="4" t="s">
        <v>115</v>
      </c>
      <c r="AE57" s="4" t="s">
        <v>116</v>
      </c>
      <c r="AF57" s="4"/>
      <c r="AG57" s="4"/>
      <c r="AH57" s="4" t="s">
        <v>116</v>
      </c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 t="s">
        <v>1247</v>
      </c>
      <c r="AU57" s="5" t="str">
        <f>IF($AT57="","",IFERROR(INDEX(InstructorMap!$B:$B, MATCH($AT57, InstructorMap!$A:$A, 0)),""))</f>
        <v>madding@andrews.edu</v>
      </c>
      <c r="AV57" s="5" t="str">
        <f>IF($AT57="","",IFERROR(INDEX(InstructorMap!$C:$C, MATCH($AT57, InstructorMap!$A:$A, 0)),""))</f>
        <v>000069917</v>
      </c>
      <c r="AW57" s="4" t="s">
        <v>121</v>
      </c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 t="s">
        <v>351</v>
      </c>
      <c r="BI57" s="4" t="s">
        <v>124</v>
      </c>
      <c r="BJ57" s="4" t="s">
        <v>125</v>
      </c>
      <c r="BK57" s="4"/>
      <c r="BL57" s="4" t="s">
        <v>481</v>
      </c>
      <c r="BM57" s="4"/>
      <c r="BN57" s="4"/>
      <c r="BO57" s="4" t="s">
        <v>127</v>
      </c>
      <c r="BP57" s="4"/>
      <c r="BQ57" s="4"/>
      <c r="BR57" s="4"/>
      <c r="BS57" s="4"/>
      <c r="BT57" s="4" t="s">
        <v>128</v>
      </c>
      <c r="BU57" s="4" t="s">
        <v>129</v>
      </c>
      <c r="BV57" s="4" t="s">
        <v>129</v>
      </c>
      <c r="BW57" s="4" t="s">
        <v>130</v>
      </c>
      <c r="BX57" s="4"/>
      <c r="BY57" s="4"/>
      <c r="BZ57" s="4"/>
      <c r="CA57" s="4"/>
      <c r="CB57" s="4"/>
      <c r="CC57" s="4"/>
      <c r="CD57" s="4"/>
      <c r="CE57" s="4"/>
      <c r="CF57" s="4" t="s">
        <v>130</v>
      </c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 t="s">
        <v>315</v>
      </c>
      <c r="CS57" s="4" t="s">
        <v>132</v>
      </c>
      <c r="CT57" s="4" t="s">
        <v>133</v>
      </c>
      <c r="CU57" s="4" t="s">
        <v>134</v>
      </c>
      <c r="CV57" s="4"/>
    </row>
    <row r="58" spans="1:100" x14ac:dyDescent="0.2">
      <c r="A58" s="26" t="b">
        <v>0</v>
      </c>
      <c r="B58" s="26" t="b">
        <v>0</v>
      </c>
      <c r="C58" s="26" t="b">
        <v>0</v>
      </c>
      <c r="D58" s="26" t="b">
        <v>0</v>
      </c>
      <c r="E58" s="26" t="b">
        <v>0</v>
      </c>
      <c r="F58" s="26" t="b">
        <v>0</v>
      </c>
      <c r="G58" s="27"/>
      <c r="H58" s="4" t="s">
        <v>1334</v>
      </c>
      <c r="I58" s="4" t="s">
        <v>1335</v>
      </c>
      <c r="J58" s="4" t="s">
        <v>1108</v>
      </c>
      <c r="K58" s="4" t="s">
        <v>207</v>
      </c>
      <c r="L58" s="4" t="s">
        <v>244</v>
      </c>
      <c r="M58" s="4"/>
      <c r="N58" s="4" t="s">
        <v>1333</v>
      </c>
      <c r="O58" s="4"/>
      <c r="P58" s="4"/>
      <c r="Q58" s="4"/>
      <c r="R58" s="4" t="s">
        <v>108</v>
      </c>
      <c r="S58" s="4"/>
      <c r="T58" s="4"/>
      <c r="U58" s="4"/>
      <c r="V58" s="4"/>
      <c r="W58" s="4" t="s">
        <v>290</v>
      </c>
      <c r="X58" s="4"/>
      <c r="Y58" s="4" t="s">
        <v>591</v>
      </c>
      <c r="Z58" s="4" t="s">
        <v>142</v>
      </c>
      <c r="AA58" s="4" t="s">
        <v>115</v>
      </c>
      <c r="AB58" s="4"/>
      <c r="AC58" s="4"/>
      <c r="AD58" s="4" t="s">
        <v>115</v>
      </c>
      <c r="AE58" s="4" t="s">
        <v>116</v>
      </c>
      <c r="AF58" s="4"/>
      <c r="AG58" s="4"/>
      <c r="AH58" s="4" t="s">
        <v>116</v>
      </c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 t="s">
        <v>285</v>
      </c>
      <c r="AU58" s="5" t="str">
        <f>IF($AT58="","",IFERROR(INDEX(InstructorMap!$B:$B, MATCH($AT58, InstructorMap!$A:$A, 0)),""))</f>
        <v/>
      </c>
      <c r="AV58" s="5" t="str">
        <f>IF($AT58="","",IFERROR(INDEX(InstructorMap!$C:$C, MATCH($AT58, InstructorMap!$A:$A, 0)),""))</f>
        <v/>
      </c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 t="s">
        <v>351</v>
      </c>
      <c r="BI58" s="4" t="s">
        <v>124</v>
      </c>
      <c r="BJ58" s="4" t="s">
        <v>125</v>
      </c>
      <c r="BK58" s="4"/>
      <c r="BL58" s="4" t="s">
        <v>481</v>
      </c>
      <c r="BM58" s="4"/>
      <c r="BN58" s="4"/>
      <c r="BO58" s="4" t="s">
        <v>127</v>
      </c>
      <c r="BP58" s="4"/>
      <c r="BQ58" s="4"/>
      <c r="BR58" s="4"/>
      <c r="BS58" s="4"/>
      <c r="BT58" s="4" t="s">
        <v>128</v>
      </c>
      <c r="BU58" s="4" t="s">
        <v>129</v>
      </c>
      <c r="BV58" s="4" t="s">
        <v>129</v>
      </c>
      <c r="BW58" s="4"/>
      <c r="BX58" s="4"/>
      <c r="BY58" s="4"/>
      <c r="BZ58" s="4"/>
      <c r="CA58" s="4"/>
      <c r="CB58" s="4"/>
      <c r="CC58" s="4"/>
      <c r="CD58" s="4"/>
      <c r="CE58" s="4"/>
      <c r="CF58" s="4" t="s">
        <v>130</v>
      </c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 t="s">
        <v>315</v>
      </c>
      <c r="CS58" s="4" t="s">
        <v>132</v>
      </c>
      <c r="CT58" s="4" t="s">
        <v>133</v>
      </c>
      <c r="CU58" s="4" t="s">
        <v>134</v>
      </c>
      <c r="CV58" s="4"/>
    </row>
    <row r="59" spans="1:100" x14ac:dyDescent="0.2">
      <c r="A59" s="38" t="b">
        <v>0</v>
      </c>
      <c r="B59" s="39" t="b">
        <v>0</v>
      </c>
      <c r="C59" s="39" t="b">
        <v>0</v>
      </c>
      <c r="D59" s="39" t="b">
        <v>0</v>
      </c>
      <c r="E59" s="39" t="b">
        <v>0</v>
      </c>
      <c r="F59" s="38" t="b">
        <v>0</v>
      </c>
      <c r="G59" s="36"/>
      <c r="H59" s="6" t="s">
        <v>1336</v>
      </c>
      <c r="I59" s="6" t="s">
        <v>1337</v>
      </c>
      <c r="J59" s="6" t="s">
        <v>1108</v>
      </c>
      <c r="K59" s="6" t="s">
        <v>243</v>
      </c>
      <c r="L59" s="6" t="s">
        <v>255</v>
      </c>
      <c r="M59" s="6"/>
      <c r="N59" s="6" t="s">
        <v>1338</v>
      </c>
      <c r="O59" s="6"/>
      <c r="P59" s="6"/>
      <c r="Q59" s="6"/>
      <c r="R59" s="6" t="s">
        <v>129</v>
      </c>
      <c r="S59" s="6"/>
      <c r="T59" s="6"/>
      <c r="U59" s="6"/>
      <c r="V59" s="6"/>
      <c r="W59" s="6" t="s">
        <v>247</v>
      </c>
      <c r="X59" s="6"/>
      <c r="Y59" s="6" t="s">
        <v>148</v>
      </c>
      <c r="Z59" s="6" t="s">
        <v>142</v>
      </c>
      <c r="AA59" s="6" t="s">
        <v>115</v>
      </c>
      <c r="AB59" s="6"/>
      <c r="AC59" s="6"/>
      <c r="AD59" s="6" t="s">
        <v>115</v>
      </c>
      <c r="AE59" s="6" t="s">
        <v>116</v>
      </c>
      <c r="AF59" s="6"/>
      <c r="AG59" s="6"/>
      <c r="AH59" s="6" t="s">
        <v>116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 t="s">
        <v>557</v>
      </c>
      <c r="AU59" s="7" t="str">
        <f>IF($AT59="","",IFERROR(INDEX(InstructorMap!$B:$B, MATCH($AT59, InstructorMap!$A:$A, 0)),""))</f>
        <v>kenley@andrews.edu</v>
      </c>
      <c r="AV59" s="7" t="str">
        <f>IF($AT59="","",IFERROR(INDEX(InstructorMap!$C:$C, MATCH($AT59, InstructorMap!$A:$A, 0)),""))</f>
        <v>000069431</v>
      </c>
      <c r="AW59" s="6" t="s">
        <v>121</v>
      </c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 t="s">
        <v>351</v>
      </c>
      <c r="BI59" s="6" t="s">
        <v>124</v>
      </c>
      <c r="BJ59" s="6" t="s">
        <v>125</v>
      </c>
      <c r="BK59" s="6"/>
      <c r="BL59" s="6" t="s">
        <v>249</v>
      </c>
      <c r="BM59" s="6"/>
      <c r="BN59" s="6"/>
      <c r="BO59" s="6" t="s">
        <v>127</v>
      </c>
      <c r="BP59" s="6"/>
      <c r="BQ59" s="6"/>
      <c r="BR59" s="6"/>
      <c r="BS59" s="6"/>
      <c r="BT59" s="6" t="s">
        <v>128</v>
      </c>
      <c r="BU59" s="6" t="s">
        <v>129</v>
      </c>
      <c r="BV59" s="6" t="s">
        <v>129</v>
      </c>
      <c r="BW59" s="6" t="s">
        <v>130</v>
      </c>
      <c r="BX59" s="6"/>
      <c r="BY59" s="6"/>
      <c r="BZ59" s="6"/>
      <c r="CA59" s="6"/>
      <c r="CB59" s="6"/>
      <c r="CC59" s="6"/>
      <c r="CD59" s="6"/>
      <c r="CE59" s="6"/>
      <c r="CF59" s="6" t="s">
        <v>130</v>
      </c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 t="s">
        <v>211</v>
      </c>
      <c r="CS59" s="6" t="s">
        <v>132</v>
      </c>
      <c r="CT59" s="6" t="s">
        <v>133</v>
      </c>
      <c r="CU59" s="6" t="s">
        <v>134</v>
      </c>
      <c r="CV59" s="6"/>
    </row>
    <row r="60" spans="1:100" x14ac:dyDescent="0.2">
      <c r="A60" s="38" t="b">
        <v>0</v>
      </c>
      <c r="B60" s="39" t="b">
        <v>0</v>
      </c>
      <c r="C60" s="39" t="b">
        <v>0</v>
      </c>
      <c r="D60" s="39" t="b">
        <v>0</v>
      </c>
      <c r="E60" s="39" t="b">
        <v>0</v>
      </c>
      <c r="F60" s="38" t="b">
        <v>0</v>
      </c>
      <c r="G60" s="36"/>
      <c r="H60" s="6" t="s">
        <v>1339</v>
      </c>
      <c r="I60" s="6" t="s">
        <v>1340</v>
      </c>
      <c r="J60" s="6" t="s">
        <v>1108</v>
      </c>
      <c r="K60" s="6" t="s">
        <v>243</v>
      </c>
      <c r="L60" s="6" t="s">
        <v>252</v>
      </c>
      <c r="M60" s="6"/>
      <c r="N60" s="6" t="s">
        <v>1338</v>
      </c>
      <c r="O60" s="6"/>
      <c r="P60" s="6"/>
      <c r="Q60" s="6"/>
      <c r="R60" s="6" t="s">
        <v>129</v>
      </c>
      <c r="S60" s="6"/>
      <c r="T60" s="6"/>
      <c r="U60" s="6"/>
      <c r="V60" s="6"/>
      <c r="W60" s="6" t="s">
        <v>247</v>
      </c>
      <c r="X60" s="6"/>
      <c r="Y60" s="6" t="s">
        <v>148</v>
      </c>
      <c r="Z60" s="6" t="s">
        <v>142</v>
      </c>
      <c r="AA60" s="6" t="s">
        <v>115</v>
      </c>
      <c r="AB60" s="6"/>
      <c r="AC60" s="6"/>
      <c r="AD60" s="6" t="s">
        <v>115</v>
      </c>
      <c r="AE60" s="6" t="s">
        <v>116</v>
      </c>
      <c r="AF60" s="6"/>
      <c r="AG60" s="6"/>
      <c r="AH60" s="6" t="s">
        <v>116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 t="s">
        <v>285</v>
      </c>
      <c r="AU60" s="7" t="str">
        <f>IF($AT60="","",IFERROR(INDEX(InstructorMap!$B:$B, MATCH($AT60, InstructorMap!$A:$A, 0)),""))</f>
        <v/>
      </c>
      <c r="AV60" s="7" t="str">
        <f>IF($AT60="","",IFERROR(INDEX(InstructorMap!$C:$C, MATCH($AT60, InstructorMap!$A:$A, 0)),""))</f>
        <v/>
      </c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 t="s">
        <v>351</v>
      </c>
      <c r="BI60" s="6" t="s">
        <v>124</v>
      </c>
      <c r="BJ60" s="6" t="s">
        <v>125</v>
      </c>
      <c r="BK60" s="6"/>
      <c r="BL60" s="6" t="s">
        <v>249</v>
      </c>
      <c r="BM60" s="6"/>
      <c r="BN60" s="6"/>
      <c r="BO60" s="6" t="s">
        <v>127</v>
      </c>
      <c r="BP60" s="6"/>
      <c r="BQ60" s="6"/>
      <c r="BR60" s="6"/>
      <c r="BS60" s="6"/>
      <c r="BT60" s="6" t="s">
        <v>128</v>
      </c>
      <c r="BU60" s="6" t="s">
        <v>129</v>
      </c>
      <c r="BV60" s="6" t="s">
        <v>129</v>
      </c>
      <c r="BW60" s="6"/>
      <c r="BX60" s="6"/>
      <c r="BY60" s="6"/>
      <c r="BZ60" s="6"/>
      <c r="CA60" s="6"/>
      <c r="CB60" s="6"/>
      <c r="CC60" s="6"/>
      <c r="CD60" s="6"/>
      <c r="CE60" s="6"/>
      <c r="CF60" s="6" t="s">
        <v>130</v>
      </c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 t="s">
        <v>211</v>
      </c>
      <c r="CS60" s="6" t="s">
        <v>132</v>
      </c>
      <c r="CT60" s="6" t="s">
        <v>133</v>
      </c>
      <c r="CU60" s="6" t="s">
        <v>134</v>
      </c>
      <c r="CV60" s="6"/>
    </row>
    <row r="61" spans="1:100" x14ac:dyDescent="0.2">
      <c r="A61" s="38" t="b">
        <v>0</v>
      </c>
      <c r="B61" s="39" t="b">
        <v>0</v>
      </c>
      <c r="C61" s="39" t="b">
        <v>0</v>
      </c>
      <c r="D61" s="39" t="b">
        <v>0</v>
      </c>
      <c r="E61" s="39" t="b">
        <v>0</v>
      </c>
      <c r="F61" s="38" t="b">
        <v>0</v>
      </c>
      <c r="G61" s="36"/>
      <c r="H61" s="6" t="s">
        <v>1341</v>
      </c>
      <c r="I61" s="6" t="s">
        <v>1342</v>
      </c>
      <c r="J61" s="6" t="s">
        <v>1108</v>
      </c>
      <c r="K61" s="6" t="s">
        <v>243</v>
      </c>
      <c r="L61" s="6" t="s">
        <v>297</v>
      </c>
      <c r="M61" s="6"/>
      <c r="N61" s="6" t="s">
        <v>1338</v>
      </c>
      <c r="O61" s="6"/>
      <c r="P61" s="6"/>
      <c r="Q61" s="6"/>
      <c r="R61" s="6" t="s">
        <v>129</v>
      </c>
      <c r="S61" s="6"/>
      <c r="T61" s="6"/>
      <c r="U61" s="6"/>
      <c r="V61" s="6"/>
      <c r="W61" s="6" t="s">
        <v>247</v>
      </c>
      <c r="X61" s="6"/>
      <c r="Y61" s="6" t="s">
        <v>148</v>
      </c>
      <c r="Z61" s="6" t="s">
        <v>142</v>
      </c>
      <c r="AA61" s="6" t="s">
        <v>115</v>
      </c>
      <c r="AB61" s="6"/>
      <c r="AC61" s="6"/>
      <c r="AD61" s="6" t="s">
        <v>115</v>
      </c>
      <c r="AE61" s="6" t="s">
        <v>116</v>
      </c>
      <c r="AF61" s="6"/>
      <c r="AG61" s="6"/>
      <c r="AH61" s="6" t="s">
        <v>116</v>
      </c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 t="s">
        <v>575</v>
      </c>
      <c r="AU61" s="7" t="str">
        <f>IF($AT61="","",IFERROR(INDEX(InstructorMap!$B:$B, MATCH($AT61, InstructorMap!$A:$A, 0)),""))</f>
        <v>coralie@andrews.edu</v>
      </c>
      <c r="AV61" s="7" t="str">
        <f>IF($AT61="","",IFERROR(INDEX(InstructorMap!$C:$C, MATCH($AT61, InstructorMap!$A:$A, 0)),""))</f>
        <v>000076162</v>
      </c>
      <c r="AW61" s="6" t="s">
        <v>121</v>
      </c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 t="s">
        <v>351</v>
      </c>
      <c r="BI61" s="6" t="s">
        <v>124</v>
      </c>
      <c r="BJ61" s="6" t="s">
        <v>125</v>
      </c>
      <c r="BK61" s="6"/>
      <c r="BL61" s="6" t="s">
        <v>249</v>
      </c>
      <c r="BM61" s="6"/>
      <c r="BN61" s="6"/>
      <c r="BO61" s="6" t="s">
        <v>127</v>
      </c>
      <c r="BP61" s="6"/>
      <c r="BQ61" s="6"/>
      <c r="BR61" s="6"/>
      <c r="BS61" s="6"/>
      <c r="BT61" s="6" t="s">
        <v>128</v>
      </c>
      <c r="BU61" s="6" t="s">
        <v>129</v>
      </c>
      <c r="BV61" s="6" t="s">
        <v>129</v>
      </c>
      <c r="BW61" s="6" t="s">
        <v>130</v>
      </c>
      <c r="BX61" s="6"/>
      <c r="BY61" s="6"/>
      <c r="BZ61" s="6"/>
      <c r="CA61" s="6"/>
      <c r="CB61" s="6"/>
      <c r="CC61" s="6"/>
      <c r="CD61" s="6"/>
      <c r="CE61" s="6"/>
      <c r="CF61" s="6" t="s">
        <v>130</v>
      </c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 t="s">
        <v>211</v>
      </c>
      <c r="CS61" s="6" t="s">
        <v>132</v>
      </c>
      <c r="CT61" s="6" t="s">
        <v>133</v>
      </c>
      <c r="CU61" s="6" t="s">
        <v>134</v>
      </c>
      <c r="CV61" s="6"/>
    </row>
    <row r="62" spans="1:100" x14ac:dyDescent="0.2">
      <c r="A62" s="38" t="b">
        <v>0</v>
      </c>
      <c r="B62" s="39" t="b">
        <v>0</v>
      </c>
      <c r="C62" s="39" t="b">
        <v>0</v>
      </c>
      <c r="D62" s="39" t="b">
        <v>0</v>
      </c>
      <c r="E62" s="39" t="b">
        <v>0</v>
      </c>
      <c r="F62" s="38" t="b">
        <v>0</v>
      </c>
      <c r="G62" s="36"/>
      <c r="H62" s="6" t="s">
        <v>1343</v>
      </c>
      <c r="I62" s="6" t="s">
        <v>1344</v>
      </c>
      <c r="J62" s="6" t="s">
        <v>1108</v>
      </c>
      <c r="K62" s="6" t="s">
        <v>243</v>
      </c>
      <c r="L62" s="6" t="s">
        <v>244</v>
      </c>
      <c r="M62" s="6"/>
      <c r="N62" s="6" t="s">
        <v>1338</v>
      </c>
      <c r="O62" s="6"/>
      <c r="P62" s="6"/>
      <c r="Q62" s="6"/>
      <c r="R62" s="6" t="s">
        <v>129</v>
      </c>
      <c r="S62" s="6"/>
      <c r="T62" s="6"/>
      <c r="U62" s="6"/>
      <c r="V62" s="6"/>
      <c r="W62" s="6" t="s">
        <v>247</v>
      </c>
      <c r="X62" s="6"/>
      <c r="Y62" s="6" t="s">
        <v>148</v>
      </c>
      <c r="Z62" s="6" t="s">
        <v>142</v>
      </c>
      <c r="AA62" s="6" t="s">
        <v>115</v>
      </c>
      <c r="AB62" s="6"/>
      <c r="AC62" s="6"/>
      <c r="AD62" s="6" t="s">
        <v>115</v>
      </c>
      <c r="AE62" s="6" t="s">
        <v>116</v>
      </c>
      <c r="AF62" s="6"/>
      <c r="AG62" s="6"/>
      <c r="AH62" s="6" t="s">
        <v>116</v>
      </c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 t="s">
        <v>374</v>
      </c>
      <c r="AU62" s="7" t="str">
        <f>IF($AT62="","",IFERROR(INDEX(InstructorMap!$B:$B, MATCH($AT62, InstructorMap!$A:$A, 0)),""))</f>
        <v>kiddersj@andrews.edu</v>
      </c>
      <c r="AV62" s="7" t="str">
        <f>IF($AT62="","",IFERROR(INDEX(InstructorMap!$C:$C, MATCH($AT62, InstructorMap!$A:$A, 0)),""))</f>
        <v>000039170</v>
      </c>
      <c r="AW62" s="6" t="s">
        <v>121</v>
      </c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 t="s">
        <v>351</v>
      </c>
      <c r="BI62" s="6" t="s">
        <v>124</v>
      </c>
      <c r="BJ62" s="6" t="s">
        <v>125</v>
      </c>
      <c r="BK62" s="6"/>
      <c r="BL62" s="6" t="s">
        <v>249</v>
      </c>
      <c r="BM62" s="6"/>
      <c r="BN62" s="6"/>
      <c r="BO62" s="6" t="s">
        <v>127</v>
      </c>
      <c r="BP62" s="6"/>
      <c r="BQ62" s="6"/>
      <c r="BR62" s="6"/>
      <c r="BS62" s="6"/>
      <c r="BT62" s="6" t="s">
        <v>128</v>
      </c>
      <c r="BU62" s="6" t="s">
        <v>129</v>
      </c>
      <c r="BV62" s="6" t="s">
        <v>129</v>
      </c>
      <c r="BW62" s="6" t="s">
        <v>130</v>
      </c>
      <c r="BX62" s="6"/>
      <c r="BY62" s="6"/>
      <c r="BZ62" s="6"/>
      <c r="CA62" s="6"/>
      <c r="CB62" s="6"/>
      <c r="CC62" s="6"/>
      <c r="CD62" s="6"/>
      <c r="CE62" s="6"/>
      <c r="CF62" s="6" t="s">
        <v>130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 t="s">
        <v>211</v>
      </c>
      <c r="CS62" s="6" t="s">
        <v>132</v>
      </c>
      <c r="CT62" s="6" t="s">
        <v>133</v>
      </c>
      <c r="CU62" s="6" t="s">
        <v>134</v>
      </c>
      <c r="CV62" s="6"/>
    </row>
    <row r="63" spans="1:100" x14ac:dyDescent="0.2">
      <c r="A63" s="38" t="b">
        <v>0</v>
      </c>
      <c r="B63" s="39" t="b">
        <v>0</v>
      </c>
      <c r="C63" s="39" t="b">
        <v>0</v>
      </c>
      <c r="D63" s="39" t="b">
        <v>0</v>
      </c>
      <c r="E63" s="39" t="b">
        <v>0</v>
      </c>
      <c r="F63" s="38" t="b">
        <v>0</v>
      </c>
      <c r="G63" s="36"/>
      <c r="H63" s="6" t="s">
        <v>1345</v>
      </c>
      <c r="I63" s="6" t="s">
        <v>1346</v>
      </c>
      <c r="J63" s="6" t="s">
        <v>1108</v>
      </c>
      <c r="K63" s="6" t="s">
        <v>243</v>
      </c>
      <c r="L63" s="6" t="s">
        <v>302</v>
      </c>
      <c r="M63" s="6"/>
      <c r="N63" s="6" t="s">
        <v>1338</v>
      </c>
      <c r="O63" s="6"/>
      <c r="P63" s="6"/>
      <c r="Q63" s="6"/>
      <c r="R63" s="6" t="s">
        <v>129</v>
      </c>
      <c r="S63" s="6"/>
      <c r="T63" s="6"/>
      <c r="U63" s="6"/>
      <c r="V63" s="6"/>
      <c r="W63" s="6" t="s">
        <v>247</v>
      </c>
      <c r="X63" s="6"/>
      <c r="Y63" s="6" t="s">
        <v>148</v>
      </c>
      <c r="Z63" s="6" t="s">
        <v>142</v>
      </c>
      <c r="AA63" s="6" t="s">
        <v>115</v>
      </c>
      <c r="AB63" s="6"/>
      <c r="AC63" s="6"/>
      <c r="AD63" s="6" t="s">
        <v>115</v>
      </c>
      <c r="AE63" s="6" t="s">
        <v>116</v>
      </c>
      <c r="AF63" s="6"/>
      <c r="AG63" s="6"/>
      <c r="AH63" s="6" t="s">
        <v>116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 t="s">
        <v>1347</v>
      </c>
      <c r="AU63" s="7" t="str">
        <f>IF($AT63="","",IFERROR(INDEX(InstructorMap!$B:$B, MATCH($AT63, InstructorMap!$A:$A, 0)),""))</f>
        <v>ricardo@andrews.edu</v>
      </c>
      <c r="AV63" s="7" t="str">
        <f>IF($AT63="","",IFERROR(INDEX(InstructorMap!$C:$C, MATCH($AT63, InstructorMap!$A:$A, 0)),""))</f>
        <v>000033967</v>
      </c>
      <c r="AW63" s="6" t="s">
        <v>121</v>
      </c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 t="s">
        <v>351</v>
      </c>
      <c r="BI63" s="6" t="s">
        <v>124</v>
      </c>
      <c r="BJ63" s="6" t="s">
        <v>125</v>
      </c>
      <c r="BK63" s="6"/>
      <c r="BL63" s="6" t="s">
        <v>249</v>
      </c>
      <c r="BM63" s="6"/>
      <c r="BN63" s="6"/>
      <c r="BO63" s="6" t="s">
        <v>127</v>
      </c>
      <c r="BP63" s="6"/>
      <c r="BQ63" s="6"/>
      <c r="BR63" s="6"/>
      <c r="BS63" s="6"/>
      <c r="BT63" s="6" t="s">
        <v>128</v>
      </c>
      <c r="BU63" s="6" t="s">
        <v>129</v>
      </c>
      <c r="BV63" s="6" t="s">
        <v>129</v>
      </c>
      <c r="BW63" s="6" t="s">
        <v>130</v>
      </c>
      <c r="BX63" s="6"/>
      <c r="BY63" s="6"/>
      <c r="BZ63" s="6"/>
      <c r="CA63" s="6"/>
      <c r="CB63" s="6"/>
      <c r="CC63" s="6"/>
      <c r="CD63" s="6"/>
      <c r="CE63" s="6"/>
      <c r="CF63" s="6" t="s">
        <v>130</v>
      </c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 t="s">
        <v>211</v>
      </c>
      <c r="CS63" s="6" t="s">
        <v>132</v>
      </c>
      <c r="CT63" s="6" t="s">
        <v>133</v>
      </c>
      <c r="CU63" s="6" t="s">
        <v>134</v>
      </c>
      <c r="CV63" s="6"/>
    </row>
    <row r="64" spans="1:100" x14ac:dyDescent="0.2">
      <c r="A64" s="38" t="b">
        <v>0</v>
      </c>
      <c r="B64" s="39" t="b">
        <v>0</v>
      </c>
      <c r="C64" s="39" t="b">
        <v>0</v>
      </c>
      <c r="D64" s="39" t="b">
        <v>0</v>
      </c>
      <c r="E64" s="39" t="b">
        <v>0</v>
      </c>
      <c r="F64" s="38" t="b">
        <v>0</v>
      </c>
      <c r="G64" s="36"/>
      <c r="H64" s="6" t="s">
        <v>1348</v>
      </c>
      <c r="I64" s="6" t="s">
        <v>1349</v>
      </c>
      <c r="J64" s="6" t="s">
        <v>1108</v>
      </c>
      <c r="K64" s="6" t="s">
        <v>243</v>
      </c>
      <c r="L64" s="6" t="s">
        <v>880</v>
      </c>
      <c r="M64" s="6"/>
      <c r="N64" s="6" t="s">
        <v>1338</v>
      </c>
      <c r="O64" s="6"/>
      <c r="P64" s="6"/>
      <c r="Q64" s="6"/>
      <c r="R64" s="6" t="s">
        <v>129</v>
      </c>
      <c r="S64" s="6"/>
      <c r="T64" s="6"/>
      <c r="U64" s="6"/>
      <c r="V64" s="6"/>
      <c r="W64" s="6" t="s">
        <v>247</v>
      </c>
      <c r="X64" s="6"/>
      <c r="Y64" s="6" t="s">
        <v>148</v>
      </c>
      <c r="Z64" s="6" t="s">
        <v>142</v>
      </c>
      <c r="AA64" s="6" t="s">
        <v>115</v>
      </c>
      <c r="AB64" s="6"/>
      <c r="AC64" s="6"/>
      <c r="AD64" s="6" t="s">
        <v>115</v>
      </c>
      <c r="AE64" s="6" t="s">
        <v>116</v>
      </c>
      <c r="AF64" s="6"/>
      <c r="AG64" s="6"/>
      <c r="AH64" s="6" t="s">
        <v>116</v>
      </c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 t="s">
        <v>285</v>
      </c>
      <c r="AU64" s="7" t="str">
        <f>IF($AT64="","",IFERROR(INDEX(InstructorMap!$B:$B, MATCH($AT64, InstructorMap!$A:$A, 0)),""))</f>
        <v/>
      </c>
      <c r="AV64" s="7" t="str">
        <f>IF($AT64="","",IFERROR(INDEX(InstructorMap!$C:$C, MATCH($AT64, InstructorMap!$A:$A, 0)),""))</f>
        <v/>
      </c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 t="s">
        <v>351</v>
      </c>
      <c r="BI64" s="6" t="s">
        <v>124</v>
      </c>
      <c r="BJ64" s="6" t="s">
        <v>125</v>
      </c>
      <c r="BK64" s="6"/>
      <c r="BL64" s="6" t="s">
        <v>249</v>
      </c>
      <c r="BM64" s="6"/>
      <c r="BN64" s="6"/>
      <c r="BO64" s="6" t="s">
        <v>127</v>
      </c>
      <c r="BP64" s="6"/>
      <c r="BQ64" s="6"/>
      <c r="BR64" s="6"/>
      <c r="BS64" s="6"/>
      <c r="BT64" s="6" t="s">
        <v>128</v>
      </c>
      <c r="BU64" s="6" t="s">
        <v>129</v>
      </c>
      <c r="BV64" s="6" t="s">
        <v>129</v>
      </c>
      <c r="BW64" s="6"/>
      <c r="BX64" s="6"/>
      <c r="BY64" s="6"/>
      <c r="BZ64" s="6"/>
      <c r="CA64" s="6"/>
      <c r="CB64" s="6"/>
      <c r="CC64" s="6"/>
      <c r="CD64" s="6"/>
      <c r="CE64" s="6"/>
      <c r="CF64" s="6" t="s">
        <v>130</v>
      </c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 t="s">
        <v>211</v>
      </c>
      <c r="CS64" s="6" t="s">
        <v>132</v>
      </c>
      <c r="CT64" s="6" t="s">
        <v>133</v>
      </c>
      <c r="CU64" s="6" t="s">
        <v>134</v>
      </c>
      <c r="CV64" s="6"/>
    </row>
    <row r="65" spans="1:100" x14ac:dyDescent="0.2">
      <c r="A65" s="38" t="b">
        <v>0</v>
      </c>
      <c r="B65" s="39" t="b">
        <v>0</v>
      </c>
      <c r="C65" s="39" t="b">
        <v>0</v>
      </c>
      <c r="D65" s="39" t="b">
        <v>0</v>
      </c>
      <c r="E65" s="39" t="b">
        <v>0</v>
      </c>
      <c r="F65" s="38" t="b">
        <v>0</v>
      </c>
      <c r="G65" s="36"/>
      <c r="H65" s="6" t="s">
        <v>1350</v>
      </c>
      <c r="I65" s="6" t="s">
        <v>1351</v>
      </c>
      <c r="J65" s="6" t="s">
        <v>1108</v>
      </c>
      <c r="K65" s="6" t="s">
        <v>243</v>
      </c>
      <c r="L65" s="6" t="s">
        <v>1352</v>
      </c>
      <c r="M65" s="6"/>
      <c r="N65" s="6" t="s">
        <v>1338</v>
      </c>
      <c r="O65" s="6" t="s">
        <v>1353</v>
      </c>
      <c r="P65" s="6"/>
      <c r="Q65" s="6"/>
      <c r="R65" s="6" t="s">
        <v>129</v>
      </c>
      <c r="S65" s="6"/>
      <c r="T65" s="6"/>
      <c r="U65" s="6"/>
      <c r="V65" s="6"/>
      <c r="W65" s="6" t="s">
        <v>247</v>
      </c>
      <c r="X65" s="6"/>
      <c r="Y65" s="6" t="s">
        <v>148</v>
      </c>
      <c r="Z65" s="6" t="s">
        <v>142</v>
      </c>
      <c r="AA65" s="6" t="s">
        <v>115</v>
      </c>
      <c r="AB65" s="6"/>
      <c r="AC65" s="6"/>
      <c r="AD65" s="6" t="s">
        <v>115</v>
      </c>
      <c r="AE65" s="6" t="s">
        <v>116</v>
      </c>
      <c r="AF65" s="6"/>
      <c r="AG65" s="6"/>
      <c r="AH65" s="6" t="s">
        <v>116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 t="s">
        <v>535</v>
      </c>
      <c r="AU65" s="7" t="str">
        <f>IF($AT65="","",IFERROR(INDEX(InstructorMap!$B:$B, MATCH($AT65, InstructorMap!$A:$A, 0)),""))</f>
        <v>hyveth@andrews.edu</v>
      </c>
      <c r="AV65" s="7" t="str">
        <f>IF($AT65="","",IFERROR(INDEX(InstructorMap!$C:$C, MATCH($AT65, InstructorMap!$A:$A, 0)),""))</f>
        <v>000049271</v>
      </c>
      <c r="AW65" s="6" t="s">
        <v>121</v>
      </c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 t="s">
        <v>351</v>
      </c>
      <c r="BI65" s="6" t="s">
        <v>124</v>
      </c>
      <c r="BJ65" s="6" t="s">
        <v>125</v>
      </c>
      <c r="BK65" s="6"/>
      <c r="BL65" s="6" t="s">
        <v>249</v>
      </c>
      <c r="BM65" s="6"/>
      <c r="BN65" s="6"/>
      <c r="BO65" s="6" t="s">
        <v>127</v>
      </c>
      <c r="BP65" s="6"/>
      <c r="BQ65" s="6"/>
      <c r="BR65" s="6"/>
      <c r="BS65" s="6"/>
      <c r="BT65" s="6" t="s">
        <v>128</v>
      </c>
      <c r="BU65" s="6" t="s">
        <v>129</v>
      </c>
      <c r="BV65" s="6" t="s">
        <v>129</v>
      </c>
      <c r="BW65" s="6" t="s">
        <v>130</v>
      </c>
      <c r="BX65" s="6"/>
      <c r="BY65" s="6"/>
      <c r="BZ65" s="6"/>
      <c r="CA65" s="6"/>
      <c r="CB65" s="6"/>
      <c r="CC65" s="6"/>
      <c r="CD65" s="6"/>
      <c r="CE65" s="6"/>
      <c r="CF65" s="6" t="s">
        <v>130</v>
      </c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 t="s">
        <v>132</v>
      </c>
      <c r="CT65" s="6" t="s">
        <v>133</v>
      </c>
      <c r="CU65" s="6" t="s">
        <v>134</v>
      </c>
      <c r="CV65" s="6"/>
    </row>
    <row r="66" spans="1:100" x14ac:dyDescent="0.2">
      <c r="A66" s="38" t="b">
        <v>0</v>
      </c>
      <c r="B66" s="39" t="b">
        <v>0</v>
      </c>
      <c r="C66" s="39" t="b">
        <v>0</v>
      </c>
      <c r="D66" s="39" t="b">
        <v>0</v>
      </c>
      <c r="E66" s="39" t="b">
        <v>0</v>
      </c>
      <c r="F66" s="38" t="b">
        <v>0</v>
      </c>
      <c r="G66" s="36"/>
      <c r="H66" s="6" t="s">
        <v>1354</v>
      </c>
      <c r="I66" s="6" t="s">
        <v>1355</v>
      </c>
      <c r="J66" s="6" t="s">
        <v>1108</v>
      </c>
      <c r="K66" s="6" t="s">
        <v>288</v>
      </c>
      <c r="L66" s="6" t="s">
        <v>255</v>
      </c>
      <c r="M66" s="6"/>
      <c r="N66" s="6" t="s">
        <v>1356</v>
      </c>
      <c r="O66" s="6" t="s">
        <v>1356</v>
      </c>
      <c r="P66" s="6"/>
      <c r="Q66" s="6"/>
      <c r="R66" s="6" t="s">
        <v>129</v>
      </c>
      <c r="S66" s="6"/>
      <c r="T66" s="6"/>
      <c r="U66" s="6"/>
      <c r="V66" s="6"/>
      <c r="W66" s="6" t="s">
        <v>290</v>
      </c>
      <c r="X66" s="6"/>
      <c r="Y66" s="6" t="s">
        <v>148</v>
      </c>
      <c r="Z66" s="6" t="s">
        <v>142</v>
      </c>
      <c r="AA66" s="6" t="s">
        <v>115</v>
      </c>
      <c r="AB66" s="6"/>
      <c r="AC66" s="6"/>
      <c r="AD66" s="6" t="s">
        <v>115</v>
      </c>
      <c r="AE66" s="6" t="s">
        <v>116</v>
      </c>
      <c r="AF66" s="6"/>
      <c r="AG66" s="6"/>
      <c r="AH66" s="6" t="s">
        <v>116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 t="s">
        <v>557</v>
      </c>
      <c r="AU66" s="7" t="str">
        <f>IF($AT66="","",IFERROR(INDEX(InstructorMap!$B:$B, MATCH($AT66, InstructorMap!$A:$A, 0)),""))</f>
        <v>kenley@andrews.edu</v>
      </c>
      <c r="AV66" s="7" t="str">
        <f>IF($AT66="","",IFERROR(INDEX(InstructorMap!$C:$C, MATCH($AT66, InstructorMap!$A:$A, 0)),""))</f>
        <v>000069431</v>
      </c>
      <c r="AW66" s="6" t="s">
        <v>121</v>
      </c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 t="s">
        <v>351</v>
      </c>
      <c r="BI66" s="6" t="s">
        <v>124</v>
      </c>
      <c r="BJ66" s="6" t="s">
        <v>125</v>
      </c>
      <c r="BK66" s="6"/>
      <c r="BL66" s="6" t="s">
        <v>249</v>
      </c>
      <c r="BM66" s="6"/>
      <c r="BN66" s="6"/>
      <c r="BO66" s="6" t="s">
        <v>127</v>
      </c>
      <c r="BP66" s="6"/>
      <c r="BQ66" s="6"/>
      <c r="BR66" s="6"/>
      <c r="BS66" s="6"/>
      <c r="BT66" s="6" t="s">
        <v>128</v>
      </c>
      <c r="BU66" s="6" t="s">
        <v>129</v>
      </c>
      <c r="BV66" s="6" t="s">
        <v>129</v>
      </c>
      <c r="BW66" s="6" t="s">
        <v>130</v>
      </c>
      <c r="BX66" s="6"/>
      <c r="BY66" s="6"/>
      <c r="BZ66" s="6"/>
      <c r="CA66" s="6"/>
      <c r="CB66" s="6"/>
      <c r="CC66" s="6"/>
      <c r="CD66" s="6"/>
      <c r="CE66" s="6"/>
      <c r="CF66" s="6" t="s">
        <v>130</v>
      </c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 t="s">
        <v>132</v>
      </c>
      <c r="CT66" s="6" t="s">
        <v>133</v>
      </c>
      <c r="CU66" s="6" t="s">
        <v>134</v>
      </c>
      <c r="CV66" s="6"/>
    </row>
    <row r="67" spans="1:100" x14ac:dyDescent="0.2">
      <c r="A67" s="38" t="b">
        <v>0</v>
      </c>
      <c r="B67" s="39" t="b">
        <v>0</v>
      </c>
      <c r="C67" s="39" t="b">
        <v>0</v>
      </c>
      <c r="D67" s="39" t="b">
        <v>0</v>
      </c>
      <c r="E67" s="39" t="b">
        <v>0</v>
      </c>
      <c r="F67" s="38" t="b">
        <v>0</v>
      </c>
      <c r="G67" s="36"/>
      <c r="H67" s="6" t="s">
        <v>1357</v>
      </c>
      <c r="I67" s="6" t="s">
        <v>1358</v>
      </c>
      <c r="J67" s="6" t="s">
        <v>1108</v>
      </c>
      <c r="K67" s="6" t="s">
        <v>288</v>
      </c>
      <c r="L67" s="6" t="s">
        <v>252</v>
      </c>
      <c r="M67" s="6"/>
      <c r="N67" s="6" t="s">
        <v>1356</v>
      </c>
      <c r="O67" s="6"/>
      <c r="P67" s="6"/>
      <c r="Q67" s="6"/>
      <c r="R67" s="6" t="s">
        <v>129</v>
      </c>
      <c r="S67" s="6"/>
      <c r="T67" s="6"/>
      <c r="U67" s="6"/>
      <c r="V67" s="6"/>
      <c r="W67" s="6" t="s">
        <v>290</v>
      </c>
      <c r="X67" s="6"/>
      <c r="Y67" s="6" t="s">
        <v>148</v>
      </c>
      <c r="Z67" s="6" t="s">
        <v>142</v>
      </c>
      <c r="AA67" s="6" t="s">
        <v>115</v>
      </c>
      <c r="AB67" s="6"/>
      <c r="AC67" s="6"/>
      <c r="AD67" s="6" t="s">
        <v>115</v>
      </c>
      <c r="AE67" s="6" t="s">
        <v>116</v>
      </c>
      <c r="AF67" s="6"/>
      <c r="AG67" s="6"/>
      <c r="AH67" s="6" t="s">
        <v>116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 t="s">
        <v>285</v>
      </c>
      <c r="AU67" s="7" t="str">
        <f>IF($AT67="","",IFERROR(INDEX(InstructorMap!$B:$B, MATCH($AT67, InstructorMap!$A:$A, 0)),""))</f>
        <v/>
      </c>
      <c r="AV67" s="7" t="str">
        <f>IF($AT67="","",IFERROR(INDEX(InstructorMap!$C:$C, MATCH($AT67, InstructorMap!$A:$A, 0)),""))</f>
        <v/>
      </c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 t="s">
        <v>351</v>
      </c>
      <c r="BI67" s="6" t="s">
        <v>124</v>
      </c>
      <c r="BJ67" s="6" t="s">
        <v>125</v>
      </c>
      <c r="BK67" s="6"/>
      <c r="BL67" s="6" t="s">
        <v>249</v>
      </c>
      <c r="BM67" s="6"/>
      <c r="BN67" s="6"/>
      <c r="BO67" s="6" t="s">
        <v>127</v>
      </c>
      <c r="BP67" s="6"/>
      <c r="BQ67" s="6"/>
      <c r="BR67" s="6"/>
      <c r="BS67" s="6"/>
      <c r="BT67" s="6" t="s">
        <v>128</v>
      </c>
      <c r="BU67" s="6" t="s">
        <v>129</v>
      </c>
      <c r="BV67" s="6" t="s">
        <v>129</v>
      </c>
      <c r="BW67" s="6"/>
      <c r="BX67" s="6"/>
      <c r="BY67" s="6"/>
      <c r="BZ67" s="6"/>
      <c r="CA67" s="6"/>
      <c r="CB67" s="6"/>
      <c r="CC67" s="6"/>
      <c r="CD67" s="6"/>
      <c r="CE67" s="6"/>
      <c r="CF67" s="6" t="s">
        <v>130</v>
      </c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 t="s">
        <v>132</v>
      </c>
      <c r="CT67" s="6" t="s">
        <v>133</v>
      </c>
      <c r="CU67" s="6" t="s">
        <v>134</v>
      </c>
      <c r="CV67" s="6"/>
    </row>
    <row r="68" spans="1:100" x14ac:dyDescent="0.2">
      <c r="A68" s="38" t="b">
        <v>0</v>
      </c>
      <c r="B68" s="39" t="b">
        <v>0</v>
      </c>
      <c r="C68" s="39" t="b">
        <v>0</v>
      </c>
      <c r="D68" s="39" t="b">
        <v>0</v>
      </c>
      <c r="E68" s="39" t="b">
        <v>0</v>
      </c>
      <c r="F68" s="38" t="b">
        <v>0</v>
      </c>
      <c r="G68" s="36"/>
      <c r="H68" s="6" t="s">
        <v>1359</v>
      </c>
      <c r="I68" s="6" t="s">
        <v>1360</v>
      </c>
      <c r="J68" s="6" t="s">
        <v>1108</v>
      </c>
      <c r="K68" s="6" t="s">
        <v>288</v>
      </c>
      <c r="L68" s="6" t="s">
        <v>297</v>
      </c>
      <c r="M68" s="6"/>
      <c r="N68" s="6" t="s">
        <v>1356</v>
      </c>
      <c r="O68" s="6"/>
      <c r="P68" s="6"/>
      <c r="Q68" s="6"/>
      <c r="R68" s="6" t="s">
        <v>129</v>
      </c>
      <c r="S68" s="6"/>
      <c r="T68" s="6"/>
      <c r="U68" s="6"/>
      <c r="V68" s="6"/>
      <c r="W68" s="6" t="s">
        <v>290</v>
      </c>
      <c r="X68" s="6"/>
      <c r="Y68" s="6" t="s">
        <v>148</v>
      </c>
      <c r="Z68" s="6" t="s">
        <v>142</v>
      </c>
      <c r="AA68" s="6" t="s">
        <v>115</v>
      </c>
      <c r="AB68" s="6"/>
      <c r="AC68" s="6"/>
      <c r="AD68" s="6" t="s">
        <v>115</v>
      </c>
      <c r="AE68" s="6" t="s">
        <v>116</v>
      </c>
      <c r="AF68" s="6"/>
      <c r="AG68" s="6"/>
      <c r="AH68" s="6" t="s">
        <v>116</v>
      </c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 t="s">
        <v>575</v>
      </c>
      <c r="AU68" s="7" t="str">
        <f>IF($AT68="","",IFERROR(INDEX(InstructorMap!$B:$B, MATCH($AT68, InstructorMap!$A:$A, 0)),""))</f>
        <v>coralie@andrews.edu</v>
      </c>
      <c r="AV68" s="7" t="str">
        <f>IF($AT68="","",IFERROR(INDEX(InstructorMap!$C:$C, MATCH($AT68, InstructorMap!$A:$A, 0)),""))</f>
        <v>000076162</v>
      </c>
      <c r="AW68" s="6" t="s">
        <v>121</v>
      </c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 t="s">
        <v>351</v>
      </c>
      <c r="BI68" s="6" t="s">
        <v>124</v>
      </c>
      <c r="BJ68" s="6" t="s">
        <v>125</v>
      </c>
      <c r="BK68" s="6"/>
      <c r="BL68" s="6" t="s">
        <v>249</v>
      </c>
      <c r="BM68" s="6"/>
      <c r="BN68" s="6"/>
      <c r="BO68" s="6" t="s">
        <v>127</v>
      </c>
      <c r="BP68" s="6"/>
      <c r="BQ68" s="6"/>
      <c r="BR68" s="6"/>
      <c r="BS68" s="6"/>
      <c r="BT68" s="6" t="s">
        <v>128</v>
      </c>
      <c r="BU68" s="6" t="s">
        <v>129</v>
      </c>
      <c r="BV68" s="6" t="s">
        <v>129</v>
      </c>
      <c r="BW68" s="6" t="s">
        <v>130</v>
      </c>
      <c r="BX68" s="6"/>
      <c r="BY68" s="6"/>
      <c r="BZ68" s="6"/>
      <c r="CA68" s="6"/>
      <c r="CB68" s="6"/>
      <c r="CC68" s="6"/>
      <c r="CD68" s="6"/>
      <c r="CE68" s="6"/>
      <c r="CF68" s="6" t="s">
        <v>130</v>
      </c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 t="s">
        <v>211</v>
      </c>
      <c r="CS68" s="6" t="s">
        <v>132</v>
      </c>
      <c r="CT68" s="6" t="s">
        <v>133</v>
      </c>
      <c r="CU68" s="6" t="s">
        <v>134</v>
      </c>
      <c r="CV68" s="6"/>
    </row>
    <row r="69" spans="1:100" x14ac:dyDescent="0.2">
      <c r="A69" s="38" t="b">
        <v>0</v>
      </c>
      <c r="B69" s="39" t="b">
        <v>0</v>
      </c>
      <c r="C69" s="39" t="b">
        <v>0</v>
      </c>
      <c r="D69" s="39" t="b">
        <v>0</v>
      </c>
      <c r="E69" s="39" t="b">
        <v>0</v>
      </c>
      <c r="F69" s="38" t="b">
        <v>0</v>
      </c>
      <c r="G69" s="36"/>
      <c r="H69" s="6" t="s">
        <v>1361</v>
      </c>
      <c r="I69" s="6" t="s">
        <v>1362</v>
      </c>
      <c r="J69" s="6" t="s">
        <v>1108</v>
      </c>
      <c r="K69" s="6" t="s">
        <v>288</v>
      </c>
      <c r="L69" s="6" t="s">
        <v>244</v>
      </c>
      <c r="M69" s="6"/>
      <c r="N69" s="6" t="s">
        <v>1356</v>
      </c>
      <c r="O69" s="6" t="s">
        <v>1356</v>
      </c>
      <c r="P69" s="6"/>
      <c r="Q69" s="6"/>
      <c r="R69" s="6" t="s">
        <v>129</v>
      </c>
      <c r="S69" s="6"/>
      <c r="T69" s="6"/>
      <c r="U69" s="6"/>
      <c r="V69" s="6"/>
      <c r="W69" s="6" t="s">
        <v>290</v>
      </c>
      <c r="X69" s="6"/>
      <c r="Y69" s="6" t="s">
        <v>148</v>
      </c>
      <c r="Z69" s="6" t="s">
        <v>142</v>
      </c>
      <c r="AA69" s="6" t="s">
        <v>115</v>
      </c>
      <c r="AB69" s="6"/>
      <c r="AC69" s="6"/>
      <c r="AD69" s="6" t="s">
        <v>115</v>
      </c>
      <c r="AE69" s="6" t="s">
        <v>116</v>
      </c>
      <c r="AF69" s="6"/>
      <c r="AG69" s="6"/>
      <c r="AH69" s="6" t="s">
        <v>116</v>
      </c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 t="s">
        <v>374</v>
      </c>
      <c r="AU69" s="7" t="str">
        <f>IF($AT69="","",IFERROR(INDEX(InstructorMap!$B:$B, MATCH($AT69, InstructorMap!$A:$A, 0)),""))</f>
        <v>kiddersj@andrews.edu</v>
      </c>
      <c r="AV69" s="7" t="str">
        <f>IF($AT69="","",IFERROR(INDEX(InstructorMap!$C:$C, MATCH($AT69, InstructorMap!$A:$A, 0)),""))</f>
        <v>000039170</v>
      </c>
      <c r="AW69" s="6" t="s">
        <v>121</v>
      </c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 t="s">
        <v>351</v>
      </c>
      <c r="BI69" s="6" t="s">
        <v>124</v>
      </c>
      <c r="BJ69" s="6" t="s">
        <v>125</v>
      </c>
      <c r="BK69" s="6"/>
      <c r="BL69" s="6" t="s">
        <v>249</v>
      </c>
      <c r="BM69" s="6"/>
      <c r="BN69" s="6"/>
      <c r="BO69" s="6" t="s">
        <v>127</v>
      </c>
      <c r="BP69" s="6"/>
      <c r="BQ69" s="6"/>
      <c r="BR69" s="6"/>
      <c r="BS69" s="6"/>
      <c r="BT69" s="6" t="s">
        <v>128</v>
      </c>
      <c r="BU69" s="6" t="s">
        <v>129</v>
      </c>
      <c r="BV69" s="6" t="s">
        <v>129</v>
      </c>
      <c r="BW69" s="6" t="s">
        <v>130</v>
      </c>
      <c r="BX69" s="6"/>
      <c r="BY69" s="6"/>
      <c r="BZ69" s="6"/>
      <c r="CA69" s="6"/>
      <c r="CB69" s="6"/>
      <c r="CC69" s="6"/>
      <c r="CD69" s="6"/>
      <c r="CE69" s="6"/>
      <c r="CF69" s="6" t="s">
        <v>130</v>
      </c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 t="s">
        <v>132</v>
      </c>
      <c r="CT69" s="6" t="s">
        <v>133</v>
      </c>
      <c r="CU69" s="6" t="s">
        <v>134</v>
      </c>
      <c r="CV69" s="6"/>
    </row>
    <row r="70" spans="1:100" x14ac:dyDescent="0.2">
      <c r="A70" s="38" t="b">
        <v>0</v>
      </c>
      <c r="B70" s="39" t="b">
        <v>0</v>
      </c>
      <c r="C70" s="39" t="b">
        <v>0</v>
      </c>
      <c r="D70" s="39" t="b">
        <v>0</v>
      </c>
      <c r="E70" s="39" t="b">
        <v>0</v>
      </c>
      <c r="F70" s="38" t="b">
        <v>0</v>
      </c>
      <c r="G70" s="36"/>
      <c r="H70" s="6" t="s">
        <v>1363</v>
      </c>
      <c r="I70" s="6" t="s">
        <v>1364</v>
      </c>
      <c r="J70" s="6" t="s">
        <v>1108</v>
      </c>
      <c r="K70" s="6" t="s">
        <v>288</v>
      </c>
      <c r="L70" s="6" t="s">
        <v>258</v>
      </c>
      <c r="M70" s="6"/>
      <c r="N70" s="6" t="s">
        <v>1356</v>
      </c>
      <c r="O70" s="6" t="s">
        <v>1356</v>
      </c>
      <c r="P70" s="6"/>
      <c r="Q70" s="6"/>
      <c r="R70" s="6" t="s">
        <v>129</v>
      </c>
      <c r="S70" s="6"/>
      <c r="T70" s="6"/>
      <c r="U70" s="6"/>
      <c r="V70" s="6"/>
      <c r="W70" s="6" t="s">
        <v>290</v>
      </c>
      <c r="X70" s="6"/>
      <c r="Y70" s="6" t="s">
        <v>148</v>
      </c>
      <c r="Z70" s="6" t="s">
        <v>142</v>
      </c>
      <c r="AA70" s="6" t="s">
        <v>115</v>
      </c>
      <c r="AB70" s="6"/>
      <c r="AC70" s="6"/>
      <c r="AD70" s="6" t="s">
        <v>115</v>
      </c>
      <c r="AE70" s="6" t="s">
        <v>116</v>
      </c>
      <c r="AF70" s="6"/>
      <c r="AG70" s="6"/>
      <c r="AH70" s="6" t="s">
        <v>116</v>
      </c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 t="s">
        <v>1231</v>
      </c>
      <c r="AU70" s="7" t="str">
        <f>IF($AT70="","",IFERROR(INDEX(InstructorMap!$B:$B, MATCH($AT70, InstructorMap!$A:$A, 0)),""))</f>
        <v>mcleane@andrews.edu</v>
      </c>
      <c r="AV70" s="7" t="str">
        <f>IF($AT70="","",IFERROR(INDEX(InstructorMap!$C:$C, MATCH($AT70, InstructorMap!$A:$A, 0)),""))</f>
        <v>000049564</v>
      </c>
      <c r="AW70" s="6" t="s">
        <v>121</v>
      </c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 t="s">
        <v>351</v>
      </c>
      <c r="BI70" s="6" t="s">
        <v>124</v>
      </c>
      <c r="BJ70" s="6" t="s">
        <v>125</v>
      </c>
      <c r="BK70" s="6"/>
      <c r="BL70" s="6" t="s">
        <v>249</v>
      </c>
      <c r="BM70" s="6"/>
      <c r="BN70" s="6"/>
      <c r="BO70" s="6" t="s">
        <v>127</v>
      </c>
      <c r="BP70" s="6"/>
      <c r="BQ70" s="6"/>
      <c r="BR70" s="6"/>
      <c r="BS70" s="6"/>
      <c r="BT70" s="6" t="s">
        <v>128</v>
      </c>
      <c r="BU70" s="6" t="s">
        <v>129</v>
      </c>
      <c r="BV70" s="6" t="s">
        <v>129</v>
      </c>
      <c r="BW70" s="6" t="s">
        <v>130</v>
      </c>
      <c r="BX70" s="6"/>
      <c r="BY70" s="6"/>
      <c r="BZ70" s="6"/>
      <c r="CA70" s="6"/>
      <c r="CB70" s="6"/>
      <c r="CC70" s="6"/>
      <c r="CD70" s="6"/>
      <c r="CE70" s="6"/>
      <c r="CF70" s="6" t="s">
        <v>130</v>
      </c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 t="s">
        <v>132</v>
      </c>
      <c r="CT70" s="6" t="s">
        <v>133</v>
      </c>
      <c r="CU70" s="6" t="s">
        <v>134</v>
      </c>
      <c r="CV70" s="6"/>
    </row>
    <row r="71" spans="1:100" x14ac:dyDescent="0.2">
      <c r="A71" s="38" t="b">
        <v>0</v>
      </c>
      <c r="B71" s="39" t="b">
        <v>0</v>
      </c>
      <c r="C71" s="39" t="b">
        <v>0</v>
      </c>
      <c r="D71" s="39" t="b">
        <v>0</v>
      </c>
      <c r="E71" s="39" t="b">
        <v>0</v>
      </c>
      <c r="F71" s="38" t="b">
        <v>0</v>
      </c>
      <c r="G71" s="36"/>
      <c r="H71" s="6" t="s">
        <v>1365</v>
      </c>
      <c r="I71" s="6" t="s">
        <v>1366</v>
      </c>
      <c r="J71" s="6" t="s">
        <v>1108</v>
      </c>
      <c r="K71" s="6" t="s">
        <v>288</v>
      </c>
      <c r="L71" s="6" t="s">
        <v>302</v>
      </c>
      <c r="M71" s="6"/>
      <c r="N71" s="6" t="s">
        <v>1356</v>
      </c>
      <c r="O71" s="6" t="s">
        <v>1356</v>
      </c>
      <c r="P71" s="6"/>
      <c r="Q71" s="6"/>
      <c r="R71" s="6" t="s">
        <v>129</v>
      </c>
      <c r="S71" s="6"/>
      <c r="T71" s="6"/>
      <c r="U71" s="6"/>
      <c r="V71" s="6"/>
      <c r="W71" s="6" t="s">
        <v>290</v>
      </c>
      <c r="X71" s="6"/>
      <c r="Y71" s="6" t="s">
        <v>148</v>
      </c>
      <c r="Z71" s="6" t="s">
        <v>142</v>
      </c>
      <c r="AA71" s="6" t="s">
        <v>115</v>
      </c>
      <c r="AB71" s="6"/>
      <c r="AC71" s="6"/>
      <c r="AD71" s="6" t="s">
        <v>115</v>
      </c>
      <c r="AE71" s="6" t="s">
        <v>116</v>
      </c>
      <c r="AF71" s="6"/>
      <c r="AG71" s="6"/>
      <c r="AH71" s="6" t="s">
        <v>116</v>
      </c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 t="s">
        <v>1347</v>
      </c>
      <c r="AU71" s="7" t="str">
        <f>IF($AT71="","",IFERROR(INDEX(InstructorMap!$B:$B, MATCH($AT71, InstructorMap!$A:$A, 0)),""))</f>
        <v>ricardo@andrews.edu</v>
      </c>
      <c r="AV71" s="7" t="str">
        <f>IF($AT71="","",IFERROR(INDEX(InstructorMap!$C:$C, MATCH($AT71, InstructorMap!$A:$A, 0)),""))</f>
        <v>000033967</v>
      </c>
      <c r="AW71" s="6" t="s">
        <v>121</v>
      </c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 t="s">
        <v>351</v>
      </c>
      <c r="BI71" s="6" t="s">
        <v>124</v>
      </c>
      <c r="BJ71" s="6" t="s">
        <v>125</v>
      </c>
      <c r="BK71" s="6"/>
      <c r="BL71" s="6" t="s">
        <v>249</v>
      </c>
      <c r="BM71" s="6"/>
      <c r="BN71" s="6"/>
      <c r="BO71" s="6" t="s">
        <v>127</v>
      </c>
      <c r="BP71" s="6"/>
      <c r="BQ71" s="6"/>
      <c r="BR71" s="6"/>
      <c r="BS71" s="6"/>
      <c r="BT71" s="6" t="s">
        <v>128</v>
      </c>
      <c r="BU71" s="6" t="s">
        <v>129</v>
      </c>
      <c r="BV71" s="6" t="s">
        <v>129</v>
      </c>
      <c r="BW71" s="6" t="s">
        <v>130</v>
      </c>
      <c r="BX71" s="6"/>
      <c r="BY71" s="6"/>
      <c r="BZ71" s="6"/>
      <c r="CA71" s="6"/>
      <c r="CB71" s="6"/>
      <c r="CC71" s="6"/>
      <c r="CD71" s="6"/>
      <c r="CE71" s="6"/>
      <c r="CF71" s="6" t="s">
        <v>130</v>
      </c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 t="s">
        <v>132</v>
      </c>
      <c r="CT71" s="6" t="s">
        <v>133</v>
      </c>
      <c r="CU71" s="6" t="s">
        <v>134</v>
      </c>
      <c r="CV71" s="6"/>
    </row>
    <row r="72" spans="1:100" x14ac:dyDescent="0.2">
      <c r="A72" s="38" t="b">
        <v>0</v>
      </c>
      <c r="B72" s="39" t="b">
        <v>0</v>
      </c>
      <c r="C72" s="39" t="b">
        <v>0</v>
      </c>
      <c r="D72" s="39" t="b">
        <v>0</v>
      </c>
      <c r="E72" s="39" t="b">
        <v>0</v>
      </c>
      <c r="F72" s="38" t="b">
        <v>0</v>
      </c>
      <c r="G72" s="36"/>
      <c r="H72" s="6" t="s">
        <v>1367</v>
      </c>
      <c r="I72" s="6" t="s">
        <v>1368</v>
      </c>
      <c r="J72" s="6" t="s">
        <v>1108</v>
      </c>
      <c r="K72" s="6" t="s">
        <v>288</v>
      </c>
      <c r="L72" s="6" t="s">
        <v>880</v>
      </c>
      <c r="M72" s="6"/>
      <c r="N72" s="6" t="s">
        <v>1356</v>
      </c>
      <c r="O72" s="6" t="s">
        <v>1356</v>
      </c>
      <c r="P72" s="6"/>
      <c r="Q72" s="6"/>
      <c r="R72" s="6" t="s">
        <v>129</v>
      </c>
      <c r="S72" s="6"/>
      <c r="T72" s="6"/>
      <c r="U72" s="6"/>
      <c r="V72" s="6"/>
      <c r="W72" s="6" t="s">
        <v>290</v>
      </c>
      <c r="X72" s="6"/>
      <c r="Y72" s="6" t="s">
        <v>148</v>
      </c>
      <c r="Z72" s="6" t="s">
        <v>142</v>
      </c>
      <c r="AA72" s="6" t="s">
        <v>115</v>
      </c>
      <c r="AB72" s="6"/>
      <c r="AC72" s="6"/>
      <c r="AD72" s="6" t="s">
        <v>115</v>
      </c>
      <c r="AE72" s="6" t="s">
        <v>116</v>
      </c>
      <c r="AF72" s="6"/>
      <c r="AG72" s="6"/>
      <c r="AH72" s="6" t="s">
        <v>116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 t="s">
        <v>546</v>
      </c>
      <c r="AU72" s="7" t="str">
        <f>IF($AT72="","",IFERROR(INDEX(InstructorMap!$B:$B, MATCH($AT72, InstructorMap!$A:$A, 0)),""))</f>
        <v>royg@andrews.edu</v>
      </c>
      <c r="AV72" s="7" t="str">
        <f>IF($AT72="","",IFERROR(INDEX(InstructorMap!$C:$C, MATCH($AT72, InstructorMap!$A:$A, 0)),""))</f>
        <v>000048477</v>
      </c>
      <c r="AW72" s="6" t="s">
        <v>121</v>
      </c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 t="s">
        <v>351</v>
      </c>
      <c r="BI72" s="6" t="s">
        <v>124</v>
      </c>
      <c r="BJ72" s="6" t="s">
        <v>125</v>
      </c>
      <c r="BK72" s="6"/>
      <c r="BL72" s="6" t="s">
        <v>249</v>
      </c>
      <c r="BM72" s="6"/>
      <c r="BN72" s="6"/>
      <c r="BO72" s="6" t="s">
        <v>127</v>
      </c>
      <c r="BP72" s="6"/>
      <c r="BQ72" s="6"/>
      <c r="BR72" s="6"/>
      <c r="BS72" s="6"/>
      <c r="BT72" s="6" t="s">
        <v>128</v>
      </c>
      <c r="BU72" s="6" t="s">
        <v>129</v>
      </c>
      <c r="BV72" s="6" t="s">
        <v>129</v>
      </c>
      <c r="BW72" s="6" t="s">
        <v>130</v>
      </c>
      <c r="BX72" s="6"/>
      <c r="BY72" s="6"/>
      <c r="BZ72" s="6"/>
      <c r="CA72" s="6"/>
      <c r="CB72" s="6"/>
      <c r="CC72" s="6"/>
      <c r="CD72" s="6"/>
      <c r="CE72" s="6"/>
      <c r="CF72" s="6" t="s">
        <v>130</v>
      </c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 t="s">
        <v>132</v>
      </c>
      <c r="CT72" s="6" t="s">
        <v>133</v>
      </c>
      <c r="CU72" s="6" t="s">
        <v>134</v>
      </c>
      <c r="CV72" s="6"/>
    </row>
    <row r="73" spans="1:100" x14ac:dyDescent="0.2">
      <c r="A73" s="38" t="b">
        <v>0</v>
      </c>
      <c r="B73" s="39" t="b">
        <v>0</v>
      </c>
      <c r="C73" s="39" t="b">
        <v>0</v>
      </c>
      <c r="D73" s="39" t="b">
        <v>0</v>
      </c>
      <c r="E73" s="39" t="b">
        <v>0</v>
      </c>
      <c r="F73" s="38" t="b">
        <v>0</v>
      </c>
      <c r="G73" s="36"/>
      <c r="H73" s="6" t="s">
        <v>1369</v>
      </c>
      <c r="I73" s="6" t="s">
        <v>1370</v>
      </c>
      <c r="J73" s="6" t="s">
        <v>1108</v>
      </c>
      <c r="K73" s="6" t="s">
        <v>288</v>
      </c>
      <c r="L73" s="6" t="s">
        <v>1371</v>
      </c>
      <c r="M73" s="6"/>
      <c r="N73" s="6" t="s">
        <v>1356</v>
      </c>
      <c r="O73" s="6" t="s">
        <v>1356</v>
      </c>
      <c r="P73" s="6"/>
      <c r="Q73" s="6"/>
      <c r="R73" s="6" t="s">
        <v>129</v>
      </c>
      <c r="S73" s="6"/>
      <c r="T73" s="6"/>
      <c r="U73" s="6"/>
      <c r="V73" s="6"/>
      <c r="W73" s="6" t="s">
        <v>290</v>
      </c>
      <c r="X73" s="6"/>
      <c r="Y73" s="6" t="s">
        <v>148</v>
      </c>
      <c r="Z73" s="6" t="s">
        <v>142</v>
      </c>
      <c r="AA73" s="6" t="s">
        <v>115</v>
      </c>
      <c r="AB73" s="6"/>
      <c r="AC73" s="6"/>
      <c r="AD73" s="6" t="s">
        <v>115</v>
      </c>
      <c r="AE73" s="6" t="s">
        <v>116</v>
      </c>
      <c r="AF73" s="6"/>
      <c r="AG73" s="6"/>
      <c r="AH73" s="6" t="s">
        <v>116</v>
      </c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 t="s">
        <v>285</v>
      </c>
      <c r="AU73" s="7" t="str">
        <f>IF($AT73="","",IFERROR(INDEX(InstructorMap!$B:$B, MATCH($AT73, InstructorMap!$A:$A, 0)),""))</f>
        <v/>
      </c>
      <c r="AV73" s="7" t="str">
        <f>IF($AT73="","",IFERROR(INDEX(InstructorMap!$C:$C, MATCH($AT73, InstructorMap!$A:$A, 0)),""))</f>
        <v/>
      </c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 t="s">
        <v>351</v>
      </c>
      <c r="BI73" s="6" t="s">
        <v>124</v>
      </c>
      <c r="BJ73" s="6" t="s">
        <v>125</v>
      </c>
      <c r="BK73" s="6"/>
      <c r="BL73" s="6" t="s">
        <v>249</v>
      </c>
      <c r="BM73" s="6"/>
      <c r="BN73" s="6"/>
      <c r="BO73" s="6" t="s">
        <v>127</v>
      </c>
      <c r="BP73" s="6"/>
      <c r="BQ73" s="6"/>
      <c r="BR73" s="6"/>
      <c r="BS73" s="6"/>
      <c r="BT73" s="6" t="s">
        <v>128</v>
      </c>
      <c r="BU73" s="6" t="s">
        <v>129</v>
      </c>
      <c r="BV73" s="6" t="s">
        <v>129</v>
      </c>
      <c r="BW73" s="6"/>
      <c r="BX73" s="6"/>
      <c r="BY73" s="6"/>
      <c r="BZ73" s="6"/>
      <c r="CA73" s="6"/>
      <c r="CB73" s="6"/>
      <c r="CC73" s="6"/>
      <c r="CD73" s="6"/>
      <c r="CE73" s="6"/>
      <c r="CF73" s="6" t="s">
        <v>130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 t="s">
        <v>132</v>
      </c>
      <c r="CT73" s="6" t="s">
        <v>133</v>
      </c>
      <c r="CU73" s="6" t="s">
        <v>134</v>
      </c>
      <c r="CV73" s="6"/>
    </row>
    <row r="74" spans="1:100" x14ac:dyDescent="0.2">
      <c r="A74" s="38" t="b">
        <v>0</v>
      </c>
      <c r="B74" s="39" t="b">
        <v>0</v>
      </c>
      <c r="C74" s="39" t="b">
        <v>0</v>
      </c>
      <c r="D74" s="39" t="b">
        <v>0</v>
      </c>
      <c r="E74" s="39" t="b">
        <v>0</v>
      </c>
      <c r="F74" s="38" t="b">
        <v>0</v>
      </c>
      <c r="G74" s="36"/>
      <c r="H74" s="6" t="s">
        <v>1372</v>
      </c>
      <c r="I74" s="6" t="s">
        <v>1373</v>
      </c>
      <c r="J74" s="6" t="s">
        <v>1108</v>
      </c>
      <c r="K74" s="6" t="s">
        <v>288</v>
      </c>
      <c r="L74" s="6" t="s">
        <v>1374</v>
      </c>
      <c r="M74" s="6"/>
      <c r="N74" s="6" t="s">
        <v>1356</v>
      </c>
      <c r="O74" s="6"/>
      <c r="P74" s="6"/>
      <c r="Q74" s="6"/>
      <c r="R74" s="6" t="s">
        <v>129</v>
      </c>
      <c r="S74" s="6"/>
      <c r="T74" s="6"/>
      <c r="U74" s="6"/>
      <c r="V74" s="6"/>
      <c r="W74" s="6" t="s">
        <v>290</v>
      </c>
      <c r="X74" s="6"/>
      <c r="Y74" s="6" t="s">
        <v>148</v>
      </c>
      <c r="Z74" s="6" t="s">
        <v>142</v>
      </c>
      <c r="AA74" s="6" t="s">
        <v>115</v>
      </c>
      <c r="AB74" s="6"/>
      <c r="AC74" s="6"/>
      <c r="AD74" s="6" t="s">
        <v>115</v>
      </c>
      <c r="AE74" s="6" t="s">
        <v>116</v>
      </c>
      <c r="AF74" s="6"/>
      <c r="AG74" s="6"/>
      <c r="AH74" s="6" t="s">
        <v>116</v>
      </c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 t="s">
        <v>1247</v>
      </c>
      <c r="AU74" s="7" t="str">
        <f>IF($AT74="","",IFERROR(INDEX(InstructorMap!$B:$B, MATCH($AT74, InstructorMap!$A:$A, 0)),""))</f>
        <v>madding@andrews.edu</v>
      </c>
      <c r="AV74" s="7" t="str">
        <f>IF($AT74="","",IFERROR(INDEX(InstructorMap!$C:$C, MATCH($AT74, InstructorMap!$A:$A, 0)),""))</f>
        <v>000069917</v>
      </c>
      <c r="AW74" s="6" t="s">
        <v>121</v>
      </c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 t="s">
        <v>351</v>
      </c>
      <c r="BI74" s="6" t="s">
        <v>124</v>
      </c>
      <c r="BJ74" s="6" t="s">
        <v>125</v>
      </c>
      <c r="BK74" s="6"/>
      <c r="BL74" s="6" t="s">
        <v>249</v>
      </c>
      <c r="BM74" s="6"/>
      <c r="BN74" s="6"/>
      <c r="BO74" s="6" t="s">
        <v>127</v>
      </c>
      <c r="BP74" s="6"/>
      <c r="BQ74" s="6"/>
      <c r="BR74" s="6"/>
      <c r="BS74" s="6"/>
      <c r="BT74" s="6" t="s">
        <v>128</v>
      </c>
      <c r="BU74" s="6" t="s">
        <v>129</v>
      </c>
      <c r="BV74" s="6" t="s">
        <v>129</v>
      </c>
      <c r="BW74" s="6" t="s">
        <v>130</v>
      </c>
      <c r="BX74" s="6"/>
      <c r="BY74" s="6"/>
      <c r="BZ74" s="6"/>
      <c r="CA74" s="6"/>
      <c r="CB74" s="6"/>
      <c r="CC74" s="6"/>
      <c r="CD74" s="6"/>
      <c r="CE74" s="6"/>
      <c r="CF74" s="6" t="s">
        <v>130</v>
      </c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 t="s">
        <v>132</v>
      </c>
      <c r="CT74" s="6" t="s">
        <v>133</v>
      </c>
      <c r="CU74" s="6" t="s">
        <v>134</v>
      </c>
      <c r="CV74" s="6"/>
    </row>
    <row r="75" spans="1:100" x14ac:dyDescent="0.2">
      <c r="A75" s="38" t="b">
        <v>0</v>
      </c>
      <c r="B75" s="39" t="b">
        <v>0</v>
      </c>
      <c r="C75" s="39" t="b">
        <v>0</v>
      </c>
      <c r="D75" s="39" t="b">
        <v>0</v>
      </c>
      <c r="E75" s="39" t="b">
        <v>0</v>
      </c>
      <c r="F75" s="38" t="b">
        <v>0</v>
      </c>
      <c r="G75" s="36"/>
      <c r="H75" s="6" t="s">
        <v>1375</v>
      </c>
      <c r="I75" s="6" t="s">
        <v>1376</v>
      </c>
      <c r="J75" s="6" t="s">
        <v>1108</v>
      </c>
      <c r="K75" s="6" t="s">
        <v>288</v>
      </c>
      <c r="L75" s="6" t="s">
        <v>1352</v>
      </c>
      <c r="M75" s="6"/>
      <c r="N75" s="6" t="s">
        <v>1356</v>
      </c>
      <c r="O75" s="6" t="s">
        <v>1356</v>
      </c>
      <c r="P75" s="6"/>
      <c r="Q75" s="6"/>
      <c r="R75" s="6" t="s">
        <v>129</v>
      </c>
      <c r="S75" s="6"/>
      <c r="T75" s="6"/>
      <c r="U75" s="6"/>
      <c r="V75" s="6"/>
      <c r="W75" s="6" t="s">
        <v>290</v>
      </c>
      <c r="X75" s="6"/>
      <c r="Y75" s="6" t="s">
        <v>148</v>
      </c>
      <c r="Z75" s="6" t="s">
        <v>142</v>
      </c>
      <c r="AA75" s="6" t="s">
        <v>115</v>
      </c>
      <c r="AB75" s="6"/>
      <c r="AC75" s="6"/>
      <c r="AD75" s="6" t="s">
        <v>115</v>
      </c>
      <c r="AE75" s="6" t="s">
        <v>116</v>
      </c>
      <c r="AF75" s="6"/>
      <c r="AG75" s="6"/>
      <c r="AH75" s="6" t="s">
        <v>116</v>
      </c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 t="s">
        <v>535</v>
      </c>
      <c r="AU75" s="7" t="str">
        <f>IF($AT75="","",IFERROR(INDEX(InstructorMap!$B:$B, MATCH($AT75, InstructorMap!$A:$A, 0)),""))</f>
        <v>hyveth@andrews.edu</v>
      </c>
      <c r="AV75" s="7" t="str">
        <f>IF($AT75="","",IFERROR(INDEX(InstructorMap!$C:$C, MATCH($AT75, InstructorMap!$A:$A, 0)),""))</f>
        <v>000049271</v>
      </c>
      <c r="AW75" s="6" t="s">
        <v>121</v>
      </c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 t="s">
        <v>351</v>
      </c>
      <c r="BI75" s="6" t="s">
        <v>124</v>
      </c>
      <c r="BJ75" s="6" t="s">
        <v>125</v>
      </c>
      <c r="BK75" s="6"/>
      <c r="BL75" s="6" t="s">
        <v>249</v>
      </c>
      <c r="BM75" s="6"/>
      <c r="BN75" s="6"/>
      <c r="BO75" s="6" t="s">
        <v>127</v>
      </c>
      <c r="BP75" s="6"/>
      <c r="BQ75" s="6"/>
      <c r="BR75" s="6"/>
      <c r="BS75" s="6"/>
      <c r="BT75" s="6" t="s">
        <v>128</v>
      </c>
      <c r="BU75" s="6" t="s">
        <v>129</v>
      </c>
      <c r="BV75" s="6" t="s">
        <v>129</v>
      </c>
      <c r="BW75" s="6" t="s">
        <v>130</v>
      </c>
      <c r="BX75" s="6"/>
      <c r="BY75" s="6"/>
      <c r="BZ75" s="6"/>
      <c r="CA75" s="6"/>
      <c r="CB75" s="6"/>
      <c r="CC75" s="6"/>
      <c r="CD75" s="6"/>
      <c r="CE75" s="6"/>
      <c r="CF75" s="6" t="s">
        <v>130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 t="s">
        <v>132</v>
      </c>
      <c r="CT75" s="6" t="s">
        <v>133</v>
      </c>
      <c r="CU75" s="6" t="s">
        <v>134</v>
      </c>
      <c r="CV75" s="6"/>
    </row>
    <row r="76" spans="1:100" x14ac:dyDescent="0.2">
      <c r="A76" s="38" t="b">
        <v>0</v>
      </c>
      <c r="B76" s="39" t="b">
        <v>0</v>
      </c>
      <c r="C76" s="39" t="b">
        <v>0</v>
      </c>
      <c r="D76" s="39" t="b">
        <v>0</v>
      </c>
      <c r="E76" s="39" t="b">
        <v>0</v>
      </c>
      <c r="F76" s="38" t="b">
        <v>0</v>
      </c>
      <c r="G76" s="36"/>
      <c r="H76" s="6" t="s">
        <v>1377</v>
      </c>
      <c r="I76" s="6" t="s">
        <v>1378</v>
      </c>
      <c r="J76" s="6" t="s">
        <v>1108</v>
      </c>
      <c r="K76" s="6" t="s">
        <v>288</v>
      </c>
      <c r="L76" s="6" t="s">
        <v>1379</v>
      </c>
      <c r="M76" s="6"/>
      <c r="N76" s="6" t="s">
        <v>1356</v>
      </c>
      <c r="O76" s="6" t="s">
        <v>1356</v>
      </c>
      <c r="P76" s="6"/>
      <c r="Q76" s="6"/>
      <c r="R76" s="6" t="s">
        <v>129</v>
      </c>
      <c r="S76" s="6"/>
      <c r="T76" s="6"/>
      <c r="U76" s="6"/>
      <c r="V76" s="6"/>
      <c r="W76" s="6" t="s">
        <v>290</v>
      </c>
      <c r="X76" s="6"/>
      <c r="Y76" s="6" t="s">
        <v>148</v>
      </c>
      <c r="Z76" s="6" t="s">
        <v>142</v>
      </c>
      <c r="AA76" s="6" t="s">
        <v>115</v>
      </c>
      <c r="AB76" s="6"/>
      <c r="AC76" s="6"/>
      <c r="AD76" s="6" t="s">
        <v>115</v>
      </c>
      <c r="AE76" s="6" t="s">
        <v>116</v>
      </c>
      <c r="AF76" s="6"/>
      <c r="AG76" s="6"/>
      <c r="AH76" s="6" t="s">
        <v>116</v>
      </c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 t="s">
        <v>233</v>
      </c>
      <c r="AU76" s="7" t="str">
        <f>IF($AT76="","",IFERROR(INDEX(InstructorMap!$B:$B, MATCH($AT76, InstructorMap!$A:$A, 0)),""))</f>
        <v>wdavid@andrews.edu</v>
      </c>
      <c r="AV76" s="7" t="str">
        <f>IF($AT76="","",IFERROR(INDEX(InstructorMap!$C:$C, MATCH($AT76, InstructorMap!$A:$A, 0)),""))</f>
        <v>000124996</v>
      </c>
      <c r="AW76" s="6" t="s">
        <v>121</v>
      </c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 t="s">
        <v>351</v>
      </c>
      <c r="BI76" s="6" t="s">
        <v>124</v>
      </c>
      <c r="BJ76" s="6" t="s">
        <v>125</v>
      </c>
      <c r="BK76" s="6"/>
      <c r="BL76" s="6" t="s">
        <v>249</v>
      </c>
      <c r="BM76" s="6"/>
      <c r="BN76" s="6"/>
      <c r="BO76" s="6" t="s">
        <v>127</v>
      </c>
      <c r="BP76" s="6"/>
      <c r="BQ76" s="6"/>
      <c r="BR76" s="6"/>
      <c r="BS76" s="6"/>
      <c r="BT76" s="6" t="s">
        <v>128</v>
      </c>
      <c r="BU76" s="6" t="s">
        <v>129</v>
      </c>
      <c r="BV76" s="6" t="s">
        <v>129</v>
      </c>
      <c r="BW76" s="6" t="s">
        <v>130</v>
      </c>
      <c r="BX76" s="6"/>
      <c r="BY76" s="6"/>
      <c r="BZ76" s="6"/>
      <c r="CA76" s="6"/>
      <c r="CB76" s="6"/>
      <c r="CC76" s="6"/>
      <c r="CD76" s="6"/>
      <c r="CE76" s="6"/>
      <c r="CF76" s="6" t="s">
        <v>130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 t="s">
        <v>132</v>
      </c>
      <c r="CT76" s="6" t="s">
        <v>133</v>
      </c>
      <c r="CU76" s="6" t="s">
        <v>134</v>
      </c>
      <c r="CV76" s="6"/>
    </row>
    <row r="92" spans="1:100" x14ac:dyDescent="0.2">
      <c r="A92" s="30" t="b">
        <v>0</v>
      </c>
      <c r="B92" s="31" t="b">
        <v>0</v>
      </c>
      <c r="C92" s="31" t="b">
        <v>1</v>
      </c>
      <c r="D92" s="31" t="b">
        <v>0</v>
      </c>
      <c r="E92" s="31" t="b">
        <v>0</v>
      </c>
      <c r="F92" s="31" t="b">
        <v>0</v>
      </c>
      <c r="G92" s="8"/>
      <c r="H92" s="8" t="s">
        <v>1380</v>
      </c>
      <c r="I92" s="8" t="s">
        <v>1381</v>
      </c>
      <c r="J92" s="8" t="s">
        <v>1108</v>
      </c>
      <c r="K92" s="8" t="s">
        <v>1147</v>
      </c>
      <c r="L92" s="8" t="s">
        <v>137</v>
      </c>
      <c r="M92" s="8"/>
      <c r="N92" s="8" t="s">
        <v>1148</v>
      </c>
      <c r="O92" s="8"/>
      <c r="P92" s="8"/>
      <c r="Q92" s="8" t="s">
        <v>1149</v>
      </c>
      <c r="R92" s="8" t="s">
        <v>129</v>
      </c>
      <c r="S92" s="8"/>
      <c r="T92" s="8"/>
      <c r="U92" s="8"/>
      <c r="V92" s="8"/>
      <c r="W92" s="8" t="s">
        <v>112</v>
      </c>
      <c r="X92" s="8" t="s">
        <v>150</v>
      </c>
      <c r="Y92" s="8" t="s">
        <v>174</v>
      </c>
      <c r="Z92" s="8" t="s">
        <v>142</v>
      </c>
      <c r="AA92" s="8" t="s">
        <v>115</v>
      </c>
      <c r="AB92" s="8"/>
      <c r="AC92" s="8"/>
      <c r="AD92" s="8" t="s">
        <v>115</v>
      </c>
      <c r="AE92" s="8" t="s">
        <v>116</v>
      </c>
      <c r="AF92" s="8"/>
      <c r="AG92" s="8"/>
      <c r="AH92" s="8" t="s">
        <v>116</v>
      </c>
      <c r="AI92" s="8" t="s">
        <v>175</v>
      </c>
      <c r="AJ92" s="8" t="s">
        <v>176</v>
      </c>
      <c r="AK92" s="8"/>
      <c r="AL92" s="8"/>
      <c r="AM92" s="8"/>
      <c r="AN92" s="8" t="s">
        <v>177</v>
      </c>
      <c r="AO92" s="8"/>
      <c r="AP92" s="8"/>
      <c r="AQ92" s="8"/>
      <c r="AR92" s="8"/>
      <c r="AS92" s="8" t="s">
        <v>144</v>
      </c>
      <c r="AT92" s="8" t="s">
        <v>1231</v>
      </c>
      <c r="AU92" s="9" t="str">
        <f>IF($AT92="","",IFERROR(INDEX(InstructorMap!$B:$B, MATCH($AT92, InstructorMap!$A:$A, 0)),""))</f>
        <v>mcleane@andrews.edu</v>
      </c>
      <c r="AV92" s="9" t="str">
        <f>IF($AT92="","",IFERROR(INDEX(InstructorMap!$C:$C, MATCH($AT92, InstructorMap!$A:$A, 0)),""))</f>
        <v>000049564</v>
      </c>
      <c r="AW92" s="8" t="s">
        <v>121</v>
      </c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 t="s">
        <v>351</v>
      </c>
      <c r="BI92" s="8" t="s">
        <v>124</v>
      </c>
      <c r="BJ92" s="8" t="s">
        <v>125</v>
      </c>
      <c r="BK92" s="8" t="s">
        <v>150</v>
      </c>
      <c r="BL92" s="8" t="s">
        <v>125</v>
      </c>
      <c r="BM92" s="8"/>
      <c r="BN92" s="8"/>
      <c r="BO92" s="8" t="s">
        <v>127</v>
      </c>
      <c r="BP92" s="8"/>
      <c r="BQ92" s="8" t="s">
        <v>1150</v>
      </c>
      <c r="BR92" s="8"/>
      <c r="BS92" s="8"/>
      <c r="BT92" s="8" t="s">
        <v>128</v>
      </c>
      <c r="BU92" s="8" t="s">
        <v>129</v>
      </c>
      <c r="BV92" s="8" t="s">
        <v>129</v>
      </c>
      <c r="BW92" s="8" t="s">
        <v>130</v>
      </c>
      <c r="BX92" s="8" t="s">
        <v>131</v>
      </c>
      <c r="BY92" s="8"/>
      <c r="BZ92" s="8"/>
      <c r="CA92" s="8"/>
      <c r="CB92" s="8"/>
      <c r="CC92" s="8"/>
      <c r="CD92" s="8"/>
      <c r="CE92" s="8"/>
      <c r="CF92" s="8" t="s">
        <v>130</v>
      </c>
      <c r="CG92" s="8"/>
      <c r="CH92" s="8" t="s">
        <v>131</v>
      </c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 t="s">
        <v>132</v>
      </c>
      <c r="CT92" s="8" t="s">
        <v>133</v>
      </c>
      <c r="CU92" s="8" t="s">
        <v>134</v>
      </c>
      <c r="CV92" s="8"/>
    </row>
    <row r="93" spans="1:100" x14ac:dyDescent="0.2">
      <c r="A93" s="30" t="b">
        <v>0</v>
      </c>
      <c r="B93" s="31" t="b">
        <v>0</v>
      </c>
      <c r="C93" s="31" t="b">
        <v>1</v>
      </c>
      <c r="D93" s="31" t="b">
        <v>0</v>
      </c>
      <c r="E93" s="31" t="b">
        <v>0</v>
      </c>
      <c r="F93" s="31" t="b">
        <v>0</v>
      </c>
      <c r="G93" s="8"/>
      <c r="H93" s="8" t="s">
        <v>1382</v>
      </c>
      <c r="I93" s="8" t="s">
        <v>1383</v>
      </c>
      <c r="J93" s="8" t="s">
        <v>1108</v>
      </c>
      <c r="K93" s="8" t="s">
        <v>1147</v>
      </c>
      <c r="L93" s="8" t="s">
        <v>105</v>
      </c>
      <c r="M93" s="8"/>
      <c r="N93" s="8" t="s">
        <v>1148</v>
      </c>
      <c r="O93" s="8"/>
      <c r="P93" s="8"/>
      <c r="Q93" s="8" t="s">
        <v>1149</v>
      </c>
      <c r="R93" s="8" t="s">
        <v>108</v>
      </c>
      <c r="S93" s="8"/>
      <c r="T93" s="8"/>
      <c r="U93" s="8" t="s">
        <v>110</v>
      </c>
      <c r="V93" s="8"/>
      <c r="W93" s="8" t="s">
        <v>112</v>
      </c>
      <c r="X93" s="8" t="s">
        <v>150</v>
      </c>
      <c r="Y93" s="8" t="s">
        <v>203</v>
      </c>
      <c r="Z93" s="8" t="s">
        <v>114</v>
      </c>
      <c r="AA93" s="8" t="s">
        <v>115</v>
      </c>
      <c r="AB93" s="8"/>
      <c r="AC93" s="8"/>
      <c r="AD93" s="8" t="s">
        <v>115</v>
      </c>
      <c r="AE93" s="8" t="s">
        <v>116</v>
      </c>
      <c r="AF93" s="8"/>
      <c r="AG93" s="8"/>
      <c r="AH93" s="8" t="s">
        <v>116</v>
      </c>
      <c r="AI93" s="8" t="s">
        <v>175</v>
      </c>
      <c r="AJ93" s="8" t="s">
        <v>176</v>
      </c>
      <c r="AK93" s="8"/>
      <c r="AL93" s="8"/>
      <c r="AM93" s="8"/>
      <c r="AN93" s="8" t="s">
        <v>177</v>
      </c>
      <c r="AO93" s="8"/>
      <c r="AP93" s="8"/>
      <c r="AQ93" s="8"/>
      <c r="AR93" s="8"/>
      <c r="AS93" s="8"/>
      <c r="AT93" s="8" t="s">
        <v>1231</v>
      </c>
      <c r="AU93" s="9" t="str">
        <f>IF($AT93="","",IFERROR(INDEX(InstructorMap!$B:$B, MATCH($AT93, InstructorMap!$A:$A, 0)),""))</f>
        <v>mcleane@andrews.edu</v>
      </c>
      <c r="AV93" s="9" t="str">
        <f>IF($AT93="","",IFERROR(INDEX(InstructorMap!$C:$C, MATCH($AT93, InstructorMap!$A:$A, 0)),""))</f>
        <v>000049564</v>
      </c>
      <c r="AW93" s="8" t="s">
        <v>121</v>
      </c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 t="s">
        <v>351</v>
      </c>
      <c r="BI93" s="8" t="s">
        <v>124</v>
      </c>
      <c r="BJ93" s="8" t="s">
        <v>125</v>
      </c>
      <c r="BK93" s="8" t="s">
        <v>150</v>
      </c>
      <c r="BL93" s="8" t="s">
        <v>126</v>
      </c>
      <c r="BM93" s="8"/>
      <c r="BN93" s="8"/>
      <c r="BO93" s="8" t="s">
        <v>127</v>
      </c>
      <c r="BP93" s="8"/>
      <c r="BQ93" s="8" t="s">
        <v>1150</v>
      </c>
      <c r="BR93" s="8"/>
      <c r="BS93" s="8"/>
      <c r="BT93" s="8" t="s">
        <v>128</v>
      </c>
      <c r="BU93" s="8" t="s">
        <v>129</v>
      </c>
      <c r="BV93" s="8" t="s">
        <v>129</v>
      </c>
      <c r="BW93" s="8" t="s">
        <v>130</v>
      </c>
      <c r="BX93" s="8"/>
      <c r="BY93" s="8"/>
      <c r="BZ93" s="8"/>
      <c r="CA93" s="8"/>
      <c r="CB93" s="8"/>
      <c r="CC93" s="8"/>
      <c r="CD93" s="8"/>
      <c r="CE93" s="8"/>
      <c r="CF93" s="8" t="s">
        <v>130</v>
      </c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 t="s">
        <v>132</v>
      </c>
      <c r="CT93" s="8" t="s">
        <v>133</v>
      </c>
      <c r="CU93" s="8" t="s">
        <v>134</v>
      </c>
      <c r="CV93" s="8"/>
    </row>
  </sheetData>
  <autoFilter ref="A1:CV76" xr:uid="{00000000-0009-0000-0000-000006000000}">
    <sortState xmlns:xlrd2="http://schemas.microsoft.com/office/spreadsheetml/2017/richdata2" ref="A2:CV76">
      <sortCondition ref="K1:K76"/>
    </sortState>
  </autoFilter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62">
        <x14:dataValidation type="list" allowBlank="1" xr:uid="{00000000-0002-0000-0600-000000000000}">
          <x14:formula1>
            <xm:f>DropDownMenu!$A$2:$A$3</xm:f>
          </x14:formula1>
          <xm:sqref>A77:A4997 A34</xm:sqref>
        </x14:dataValidation>
        <x14:dataValidation type="list" allowBlank="1" xr:uid="{00000000-0002-0000-0600-000001000000}">
          <x14:formula1>
            <xm:f>DropDownMenu!$B$2:$B$3</xm:f>
          </x14:formula1>
          <xm:sqref>B77:B4997 B34</xm:sqref>
        </x14:dataValidation>
        <x14:dataValidation type="list" allowBlank="1" xr:uid="{00000000-0002-0000-0600-000002000000}">
          <x14:formula1>
            <xm:f>DropDownMenu!$C$2:$C$3</xm:f>
          </x14:formula1>
          <xm:sqref>D77:D4997 D34</xm:sqref>
        </x14:dataValidation>
        <x14:dataValidation type="list" allowBlank="1" xr:uid="{00000000-0002-0000-0600-000003000000}">
          <x14:formula1>
            <xm:f>DropDownMenu!$D$2:$D$3</xm:f>
          </x14:formula1>
          <xm:sqref>E77:E4997 E34</xm:sqref>
        </x14:dataValidation>
        <x14:dataValidation type="list" allowBlank="1" xr:uid="{00000000-0002-0000-0600-000004000000}">
          <x14:formula1>
            <xm:f>DropDownMenu!$E$2:$E$3</xm:f>
          </x14:formula1>
          <xm:sqref>F77:F4997 F34</xm:sqref>
        </x14:dataValidation>
        <x14:dataValidation type="list" allowBlank="1" xr:uid="{00000000-0002-0000-0600-000005000000}">
          <x14:formula1>
            <xm:f>DropDownMenu!$G$2:$G$19</xm:f>
          </x14:formula1>
          <xm:sqref>G7 G13 G19 G15 G25 G22 G46:G47 G28 G31:G36 G51:G53 G41 G57:G4997 G43 G4</xm:sqref>
        </x14:dataValidation>
        <x14:dataValidation type="list" allowBlank="1" showInputMessage="1" showErrorMessage="1" xr:uid="{00000000-0002-0000-0600-000051000000}">
          <x14:formula1>
            <xm:f>DropDownMenu!$A$2:$A$3</xm:f>
          </x14:formula1>
          <xm:sqref>A77:A4997 A34</xm:sqref>
        </x14:dataValidation>
        <x14:dataValidation type="list" allowBlank="1" showInputMessage="1" showErrorMessage="1" xr:uid="{00000000-0002-0000-0600-000052000000}">
          <x14:formula1>
            <xm:f>DropDownMenu!$B$2:$B$3</xm:f>
          </x14:formula1>
          <xm:sqref>B77:B4997 B34</xm:sqref>
        </x14:dataValidation>
        <x14:dataValidation type="list" allowBlank="1" showInputMessage="1" showErrorMessage="1" xr:uid="{00000000-0002-0000-0600-000053000000}">
          <x14:formula1>
            <xm:f>DropDownMenu!$C$2:$C$3</xm:f>
          </x14:formula1>
          <xm:sqref>D77:D4997 D34</xm:sqref>
        </x14:dataValidation>
        <x14:dataValidation type="list" allowBlank="1" showInputMessage="1" showErrorMessage="1" xr:uid="{00000000-0002-0000-0600-000054000000}">
          <x14:formula1>
            <xm:f>DropDownMenu!$D$2:$D$3</xm:f>
          </x14:formula1>
          <xm:sqref>E77:E4997 E34</xm:sqref>
        </x14:dataValidation>
        <x14:dataValidation type="list" allowBlank="1" showInputMessage="1" showErrorMessage="1" xr:uid="{00000000-0002-0000-0600-000055000000}">
          <x14:formula1>
            <xm:f>DropDownMenu!$E$2:$E$3</xm:f>
          </x14:formula1>
          <xm:sqref>F77:F4997 F34</xm:sqref>
        </x14:dataValidation>
        <x14:dataValidation type="list" allowBlank="1" showInputMessage="1" showErrorMessage="1" xr:uid="{00000000-0002-0000-0600-000056000000}">
          <x14:formula1>
            <xm:f>DropDownMenu!$G$2:$G$19</xm:f>
          </x14:formula1>
          <xm:sqref>G7 G13 G19 G15 G25 G22 G46:G47 G28 G31:G36 G51:G53 G41 G57:G4997 G43 G4</xm:sqref>
        </x14:dataValidation>
        <x14:dataValidation type="list" allowBlank="1" xr:uid="{00000000-0002-0000-0600-000006000000}">
          <x14:formula1>
            <xm:f>DropDownMenu!$H$2:$H$564</xm:f>
          </x14:formula1>
          <xm:sqref>H2:H4997</xm:sqref>
        </x14:dataValidation>
        <x14:dataValidation type="list" allowBlank="1" xr:uid="{00000000-0002-0000-0600-000007000000}">
          <x14:formula1>
            <xm:f>DropDownMenu!$I$2:$I$352</xm:f>
          </x14:formula1>
          <xm:sqref>I2:I4997</xm:sqref>
        </x14:dataValidation>
        <x14:dataValidation type="list" allowBlank="1" xr:uid="{00000000-0002-0000-0600-000008000000}">
          <x14:formula1>
            <xm:f>DropDownMenu!$J$2:$J$10</xm:f>
          </x14:formula1>
          <xm:sqref>J2:J4997</xm:sqref>
        </x14:dataValidation>
        <x14:dataValidation type="list" allowBlank="1" xr:uid="{00000000-0002-0000-0600-000009000000}">
          <x14:formula1>
            <xm:f>DropDownMenu!$K$2:$K$101</xm:f>
          </x14:formula1>
          <xm:sqref>K2:K4997</xm:sqref>
        </x14:dataValidation>
        <x14:dataValidation type="list" allowBlank="1" xr:uid="{00000000-0002-0000-0600-00000A000000}">
          <x14:formula1>
            <xm:f>DropDownMenu!$L$2:$L$42</xm:f>
          </x14:formula1>
          <xm:sqref>L2:L4997</xm:sqref>
        </x14:dataValidation>
        <x14:dataValidation type="list" allowBlank="1" xr:uid="{00000000-0002-0000-0600-00000B000000}">
          <x14:formula1>
            <xm:f>DropDownMenu!$M$2:$M$16</xm:f>
          </x14:formula1>
          <xm:sqref>M2:M4997</xm:sqref>
        </x14:dataValidation>
        <x14:dataValidation type="list" allowBlank="1" xr:uid="{00000000-0002-0000-0600-00000C000000}">
          <x14:formula1>
            <xm:f>DropDownMenu!$N$2:$N$140</xm:f>
          </x14:formula1>
          <xm:sqref>N2:N4997</xm:sqref>
        </x14:dataValidation>
        <x14:dataValidation type="list" allowBlank="1" xr:uid="{00000000-0002-0000-0600-00000D000000}">
          <x14:formula1>
            <xm:f>DropDownMenu!$O$2:$O$65</xm:f>
          </x14:formula1>
          <xm:sqref>O2:O4997</xm:sqref>
        </x14:dataValidation>
        <x14:dataValidation type="list" allowBlank="1" xr:uid="{00000000-0002-0000-0600-00000E000000}">
          <x14:formula1>
            <xm:f>DropDownMenu!$P$2:$P$45</xm:f>
          </x14:formula1>
          <xm:sqref>Q2:Q4997</xm:sqref>
        </x14:dataValidation>
        <x14:dataValidation type="list" allowBlank="1" xr:uid="{00000000-0002-0000-0600-00000F000000}">
          <x14:formula1>
            <xm:f>DropDownMenu!$Q$2:$Q$5</xm:f>
          </x14:formula1>
          <xm:sqref>R2:R4997</xm:sqref>
        </x14:dataValidation>
        <x14:dataValidation type="list" allowBlank="1" xr:uid="{00000000-0002-0000-0600-000010000000}">
          <x14:formula1>
            <xm:f>DropDownMenu!$R$2:$R$7</xm:f>
          </x14:formula1>
          <xm:sqref>S2:S4997</xm:sqref>
        </x14:dataValidation>
        <x14:dataValidation type="list" allowBlank="1" xr:uid="{00000000-0002-0000-0600-000011000000}">
          <x14:formula1>
            <xm:f>DropDownMenu!$S$2:$S$11</xm:f>
          </x14:formula1>
          <xm:sqref>T2:T4997</xm:sqref>
        </x14:dataValidation>
        <x14:dataValidation type="list" allowBlank="1" xr:uid="{00000000-0002-0000-0600-000012000000}">
          <x14:formula1>
            <xm:f>DropDownMenu!$T$2:$T$13</xm:f>
          </x14:formula1>
          <xm:sqref>U2:U4997</xm:sqref>
        </x14:dataValidation>
        <x14:dataValidation type="list" allowBlank="1" xr:uid="{00000000-0002-0000-0600-000013000000}">
          <x14:formula1>
            <xm:f>DropDownMenu!$U$2:$U$5</xm:f>
          </x14:formula1>
          <xm:sqref>CR2:CR4997</xm:sqref>
        </x14:dataValidation>
        <x14:dataValidation type="list" allowBlank="1" xr:uid="{00000000-0002-0000-0600-000014000000}">
          <x14:formula1>
            <xm:f>DropDownMenu!$V$2:$V$4</xm:f>
          </x14:formula1>
          <xm:sqref>V2:V4997</xm:sqref>
        </x14:dataValidation>
        <x14:dataValidation type="list" allowBlank="1" xr:uid="{00000000-0002-0000-0600-000015000000}">
          <x14:formula1>
            <xm:f>DropDownMenu!$W$2:$W$6</xm:f>
          </x14:formula1>
          <xm:sqref>CU2:CU4997</xm:sqref>
        </x14:dataValidation>
        <x14:dataValidation type="list" allowBlank="1" xr:uid="{00000000-0002-0000-0600-000016000000}">
          <x14:formula1>
            <xm:f>DropDownMenu!$X$2:$X$26</xm:f>
          </x14:formula1>
          <xm:sqref>W2:W4997</xm:sqref>
        </x14:dataValidation>
        <x14:dataValidation type="list" allowBlank="1" xr:uid="{00000000-0002-0000-0600-000017000000}">
          <x14:formula1>
            <xm:f>DropDownMenu!$Y$2:$Y$7</xm:f>
          </x14:formula1>
          <xm:sqref>X2:X4997</xm:sqref>
        </x14:dataValidation>
        <x14:dataValidation type="list" allowBlank="1" xr:uid="{00000000-0002-0000-0600-000018000000}">
          <x14:formula1>
            <xm:f>DropDownMenu!$Z$2:$Z$15</xm:f>
          </x14:formula1>
          <xm:sqref>Y2:Y4997</xm:sqref>
        </x14:dataValidation>
        <x14:dataValidation type="list" allowBlank="1" xr:uid="{00000000-0002-0000-0600-000019000000}">
          <x14:formula1>
            <xm:f>DropDownMenu!$AA$2:$AA$6</xm:f>
          </x14:formula1>
          <xm:sqref>Z2:Z4997</xm:sqref>
        </x14:dataValidation>
        <x14:dataValidation type="list" allowBlank="1" xr:uid="{00000000-0002-0000-0600-00001A000000}">
          <x14:formula1>
            <xm:f>DropDownMenu!$AB$2:$AB$7</xm:f>
          </x14:formula1>
          <xm:sqref>AA2:AA4997</xm:sqref>
        </x14:dataValidation>
        <x14:dataValidation type="list" allowBlank="1" xr:uid="{00000000-0002-0000-0600-00001B000000}">
          <x14:formula1>
            <xm:f>DropDownMenu!$AC$2:$AC$49</xm:f>
          </x14:formula1>
          <xm:sqref>AD2:AD4997</xm:sqref>
        </x14:dataValidation>
        <x14:dataValidation type="list" allowBlank="1" xr:uid="{00000000-0002-0000-0600-00001C000000}">
          <x14:formula1>
            <xm:f>DropDownMenu!$AD$2:$AD$52</xm:f>
          </x14:formula1>
          <xm:sqref>AE2:AE4997</xm:sqref>
        </x14:dataValidation>
        <x14:dataValidation type="list" allowBlank="1" xr:uid="{00000000-0002-0000-0600-00001D000000}">
          <x14:formula1>
            <xm:f>DropDownMenu!$AE$2:$AE$9</xm:f>
          </x14:formula1>
          <xm:sqref>AH2:AH4997</xm:sqref>
        </x14:dataValidation>
        <x14:dataValidation type="list" allowBlank="1" xr:uid="{00000000-0002-0000-0600-00001E000000}">
          <x14:formula1>
            <xm:f>DropDownMenu!$AF$2:$AF$6</xm:f>
          </x14:formula1>
          <xm:sqref>AI2:AI4997</xm:sqref>
        </x14:dataValidation>
        <x14:dataValidation type="list" allowBlank="1" xr:uid="{00000000-0002-0000-0600-00001F000000}">
          <x14:formula1>
            <xm:f>DropDownMenu!$AG$2:$AG$11</xm:f>
          </x14:formula1>
          <xm:sqref>AJ2:AJ4997</xm:sqref>
        </x14:dataValidation>
        <x14:dataValidation type="list" allowBlank="1" xr:uid="{00000000-0002-0000-0600-000020000000}">
          <x14:formula1>
            <xm:f>DropDownMenu!$AH$2:$AH$2</xm:f>
          </x14:formula1>
          <xm:sqref>AK2:AK4997</xm:sqref>
        </x14:dataValidation>
        <x14:dataValidation type="list" allowBlank="1" xr:uid="{00000000-0002-0000-0600-000021000000}">
          <x14:formula1>
            <xm:f>DropDownMenu!$AI$2:$AI$2</xm:f>
          </x14:formula1>
          <xm:sqref>AL2:AL4997</xm:sqref>
        </x14:dataValidation>
        <x14:dataValidation type="list" allowBlank="1" xr:uid="{00000000-0002-0000-0600-000022000000}">
          <x14:formula1>
            <xm:f>DropDownMenu!$AJ$2:$AJ$2</xm:f>
          </x14:formula1>
          <xm:sqref>AM2:AM4997</xm:sqref>
        </x14:dataValidation>
        <x14:dataValidation type="list" allowBlank="1" xr:uid="{00000000-0002-0000-0600-000023000000}">
          <x14:formula1>
            <xm:f>DropDownMenu!$AK$2:$AK$2</xm:f>
          </x14:formula1>
          <xm:sqref>AN2:AN4997</xm:sqref>
        </x14:dataValidation>
        <x14:dataValidation type="list" allowBlank="1" xr:uid="{00000000-0002-0000-0600-000024000000}">
          <x14:formula1>
            <xm:f>DropDownMenu!$AL$2:$AL$2</xm:f>
          </x14:formula1>
          <xm:sqref>AO2:AO4997</xm:sqref>
        </x14:dataValidation>
        <x14:dataValidation type="list" allowBlank="1" xr:uid="{00000000-0002-0000-0600-000025000000}">
          <x14:formula1>
            <xm:f>DropDownMenu!$AM$2:$AM$5</xm:f>
          </x14:formula1>
          <xm:sqref>CS2:CS4997</xm:sqref>
        </x14:dataValidation>
        <x14:dataValidation type="list" allowBlank="1" xr:uid="{00000000-0002-0000-0600-000026000000}">
          <x14:formula1>
            <xm:f>DropDownMenu!$AN$2:$AN$13</xm:f>
          </x14:formula1>
          <xm:sqref>AR2:AR4997</xm:sqref>
        </x14:dataValidation>
        <x14:dataValidation type="list" allowBlank="1" xr:uid="{00000000-0002-0000-0600-000027000000}">
          <x14:formula1>
            <xm:f>DropDownMenu!$AO$2:$AO$40</xm:f>
          </x14:formula1>
          <xm:sqref>AS2:AS4997</xm:sqref>
        </x14:dataValidation>
        <x14:dataValidation type="list" allowBlank="1" xr:uid="{00000000-0002-0000-0600-000028000000}">
          <x14:formula1>
            <xm:f>DropDownMenu!$AP$2:$AP$274</xm:f>
          </x14:formula1>
          <xm:sqref>AT2:AT4997</xm:sqref>
        </x14:dataValidation>
        <x14:dataValidation type="list" allowBlank="1" xr:uid="{00000000-0002-0000-0600-000029000000}">
          <x14:formula1>
            <xm:f>DropDownMenu!$AQ$2:$AQ$9</xm:f>
          </x14:formula1>
          <xm:sqref>BB2:BB4997</xm:sqref>
        </x14:dataValidation>
        <x14:dataValidation type="list" allowBlank="1" xr:uid="{00000000-0002-0000-0600-00002A000000}">
          <x14:formula1>
            <xm:f>DropDownMenu!$AR$2:$AR$11</xm:f>
          </x14:formula1>
          <xm:sqref>BC2:BC4997</xm:sqref>
        </x14:dataValidation>
        <x14:dataValidation type="list" allowBlank="1" xr:uid="{00000000-0002-0000-0600-00002B000000}">
          <x14:formula1>
            <xm:f>DropDownMenu!$AS$2:$AS$3</xm:f>
          </x14:formula1>
          <xm:sqref>BD2:BD4997</xm:sqref>
        </x14:dataValidation>
        <x14:dataValidation type="list" allowBlank="1" xr:uid="{00000000-0002-0000-0600-00002C000000}">
          <x14:formula1>
            <xm:f>DropDownMenu!$AT$2:$AT$4</xm:f>
          </x14:formula1>
          <xm:sqref>BE2:BE4997</xm:sqref>
        </x14:dataValidation>
        <x14:dataValidation type="list" allowBlank="1" xr:uid="{00000000-0002-0000-0600-00002D000000}">
          <x14:formula1>
            <xm:f>DropDownMenu!$AU$2:$AU$2</xm:f>
          </x14:formula1>
          <xm:sqref>BG2:BG4997</xm:sqref>
        </x14:dataValidation>
        <x14:dataValidation type="list" allowBlank="1" xr:uid="{00000000-0002-0000-0600-00002E000000}">
          <x14:formula1>
            <xm:f>DropDownMenu!$AV$2:$AV$9</xm:f>
          </x14:formula1>
          <xm:sqref>BH2:BH4997</xm:sqref>
        </x14:dataValidation>
        <x14:dataValidation type="list" allowBlank="1" xr:uid="{00000000-0002-0000-0600-00002F000000}">
          <x14:formula1>
            <xm:f>DropDownMenu!$AW$2:$AW$81</xm:f>
          </x14:formula1>
          <xm:sqref>BI2:BI4997</xm:sqref>
        </x14:dataValidation>
        <x14:dataValidation type="list" allowBlank="1" xr:uid="{00000000-0002-0000-0600-000030000000}">
          <x14:formula1>
            <xm:f>DropDownMenu!$AX$2:$AX$3</xm:f>
          </x14:formula1>
          <xm:sqref>BJ2:BJ4997</xm:sqref>
        </x14:dataValidation>
        <x14:dataValidation type="list" allowBlank="1" xr:uid="{00000000-0002-0000-0600-000031000000}">
          <x14:formula1>
            <xm:f>DropDownMenu!$AY$2:$AY$7</xm:f>
          </x14:formula1>
          <xm:sqref>BK2:BK4997</xm:sqref>
        </x14:dataValidation>
        <x14:dataValidation type="list" allowBlank="1" xr:uid="{00000000-0002-0000-0600-000032000000}">
          <x14:formula1>
            <xm:f>DropDownMenu!$AZ$2:$AZ$9</xm:f>
          </x14:formula1>
          <xm:sqref>BL2:BL4997</xm:sqref>
        </x14:dataValidation>
        <x14:dataValidation type="list" allowBlank="1" xr:uid="{00000000-0002-0000-0600-000033000000}">
          <x14:formula1>
            <xm:f>DropDownMenu!$BA$2:$BA$9</xm:f>
          </x14:formula1>
          <xm:sqref>BM2:BM4997</xm:sqref>
        </x14:dataValidation>
        <x14:dataValidation type="list" allowBlank="1" xr:uid="{00000000-0002-0000-0600-000034000000}">
          <x14:formula1>
            <xm:f>DropDownMenu!$BB$2:$BB$3</xm:f>
          </x14:formula1>
          <xm:sqref>BN2:BN4997</xm:sqref>
        </x14:dataValidation>
        <x14:dataValidation type="list" allowBlank="1" xr:uid="{00000000-0002-0000-0600-000035000000}">
          <x14:formula1>
            <xm:f>DropDownMenu!$BC$2:$BC$2</xm:f>
          </x14:formula1>
          <xm:sqref>BO2:BO4997</xm:sqref>
        </x14:dataValidation>
        <x14:dataValidation type="list" allowBlank="1" xr:uid="{00000000-0002-0000-0600-000036000000}">
          <x14:formula1>
            <xm:f>DropDownMenu!$BD$2:$BD$29</xm:f>
          </x14:formula1>
          <xm:sqref>BQ2:BQ4997</xm:sqref>
        </x14:dataValidation>
        <x14:dataValidation type="list" allowBlank="1" xr:uid="{00000000-0002-0000-0600-000037000000}">
          <x14:formula1>
            <xm:f>DropDownMenu!$BE$2:$BE$2</xm:f>
          </x14:formula1>
          <xm:sqref>BT2:BT4997</xm:sqref>
        </x14:dataValidation>
        <x14:dataValidation type="list" allowBlank="1" xr:uid="{00000000-0002-0000-0600-000038000000}">
          <x14:formula1>
            <xm:f>DropDownMenu!$BF$2:$BF$33</xm:f>
          </x14:formula1>
          <xm:sqref>BU2:BU4997</xm:sqref>
        </x14:dataValidation>
        <x14:dataValidation type="list" allowBlank="1" xr:uid="{00000000-0002-0000-0600-000039000000}">
          <x14:formula1>
            <xm:f>DropDownMenu!$BG$2:$BG$2</xm:f>
          </x14:formula1>
          <xm:sqref>BV2:BV4997</xm:sqref>
        </x14:dataValidation>
        <x14:dataValidation type="list" allowBlank="1" xr:uid="{00000000-0002-0000-0600-00003A000000}">
          <x14:formula1>
            <xm:f>DropDownMenu!$BH$2:$BH$4</xm:f>
          </x14:formula1>
          <xm:sqref>AW2:AW4997</xm:sqref>
        </x14:dataValidation>
        <x14:dataValidation type="list" allowBlank="1" xr:uid="{00000000-0002-0000-0600-00003B000000}">
          <x14:formula1>
            <xm:f>DropDownMenu!$BI$2:$BI$2</xm:f>
          </x14:formula1>
          <xm:sqref>BW2:BW4997</xm:sqref>
        </x14:dataValidation>
        <x14:dataValidation type="list" allowBlank="1" xr:uid="{00000000-0002-0000-0600-00003C000000}">
          <x14:formula1>
            <xm:f>DropDownMenu!$BJ$2:$BJ$2</xm:f>
          </x14:formula1>
          <xm:sqref>BX2:BX4997</xm:sqref>
        </x14:dataValidation>
        <x14:dataValidation type="list" allowBlank="1" xr:uid="{00000000-0002-0000-0600-00003D000000}">
          <x14:formula1>
            <xm:f>DropDownMenu!$BK$2:$BK$2</xm:f>
          </x14:formula1>
          <xm:sqref>BY2:BY4997</xm:sqref>
        </x14:dataValidation>
        <x14:dataValidation type="list" allowBlank="1" xr:uid="{00000000-0002-0000-0600-00003E000000}">
          <x14:formula1>
            <xm:f>DropDownMenu!$BL$2:$BL$8</xm:f>
          </x14:formula1>
          <xm:sqref>BZ2:BZ4997</xm:sqref>
        </x14:dataValidation>
        <x14:dataValidation type="list" allowBlank="1" xr:uid="{00000000-0002-0000-0600-00003F000000}">
          <x14:formula1>
            <xm:f>DropDownMenu!$BM$2:$BM$8</xm:f>
          </x14:formula1>
          <xm:sqref>CA2:CA4997</xm:sqref>
        </x14:dataValidation>
        <x14:dataValidation type="list" allowBlank="1" xr:uid="{00000000-0002-0000-0600-000040000000}">
          <x14:formula1>
            <xm:f>DropDownMenu!$BN$2:$BN$8</xm:f>
          </x14:formula1>
          <xm:sqref>CB2:CB4997</xm:sqref>
        </x14:dataValidation>
        <x14:dataValidation type="list" allowBlank="1" xr:uid="{00000000-0002-0000-0600-000041000000}">
          <x14:formula1>
            <xm:f>DropDownMenu!$BO$2:$BO$6</xm:f>
          </x14:formula1>
          <xm:sqref>CC2:CC4997</xm:sqref>
        </x14:dataValidation>
        <x14:dataValidation type="list" allowBlank="1" xr:uid="{00000000-0002-0000-0600-000042000000}">
          <x14:formula1>
            <xm:f>DropDownMenu!$BP$2:$BP$2</xm:f>
          </x14:formula1>
          <xm:sqref>CD2:CD4997</xm:sqref>
        </x14:dataValidation>
        <x14:dataValidation type="list" allowBlank="1" xr:uid="{00000000-0002-0000-0600-000043000000}">
          <x14:formula1>
            <xm:f>DropDownMenu!$BQ$2:$BQ$2</xm:f>
          </x14:formula1>
          <xm:sqref>CE2:CE4997</xm:sqref>
        </x14:dataValidation>
        <x14:dataValidation type="list" allowBlank="1" xr:uid="{00000000-0002-0000-0600-000044000000}">
          <x14:formula1>
            <xm:f>DropDownMenu!$BR$2:$BR$2</xm:f>
          </x14:formula1>
          <xm:sqref>CF2:CF4997</xm:sqref>
        </x14:dataValidation>
        <x14:dataValidation type="list" allowBlank="1" xr:uid="{00000000-0002-0000-0600-000045000000}">
          <x14:formula1>
            <xm:f>DropDownMenu!$BS$2:$BS$2</xm:f>
          </x14:formula1>
          <xm:sqref>CG2:CG4997</xm:sqref>
        </x14:dataValidation>
        <x14:dataValidation type="list" allowBlank="1" xr:uid="{00000000-0002-0000-0600-000046000000}">
          <x14:formula1>
            <xm:f>DropDownMenu!$BT$2:$BT$2</xm:f>
          </x14:formula1>
          <xm:sqref>CH2:CH4997</xm:sqref>
        </x14:dataValidation>
        <x14:dataValidation type="list" allowBlank="1" xr:uid="{00000000-0002-0000-0600-000047000000}">
          <x14:formula1>
            <xm:f>DropDownMenu!$BU$2:$BU$2</xm:f>
          </x14:formula1>
          <xm:sqref>CN2:CN4997</xm:sqref>
        </x14:dataValidation>
        <x14:dataValidation type="list" allowBlank="1" xr:uid="{00000000-0002-0000-0600-000048000000}">
          <x14:formula1>
            <xm:f>DropDownMenu!$BV$2:$BV$2</xm:f>
          </x14:formula1>
          <xm:sqref>CO2:CO4997</xm:sqref>
        </x14:dataValidation>
        <x14:dataValidation type="list" allowBlank="1" xr:uid="{00000000-0002-0000-0600-000049000000}">
          <x14:formula1>
            <xm:f>DropDownMenu!$BW$2:$BW$2</xm:f>
          </x14:formula1>
          <xm:sqref>CQ2:CQ4997</xm:sqref>
        </x14:dataValidation>
        <x14:dataValidation type="list" allowBlank="1" xr:uid="{00000000-0002-0000-0600-00004A000000}">
          <x14:formula1>
            <xm:f>DropDownMenu!$BX$2:$BX$2</xm:f>
          </x14:formula1>
          <xm:sqref>CT2:CT4997</xm:sqref>
        </x14:dataValidation>
        <x14:dataValidation type="list" allowBlank="1" xr:uid="{00000000-0002-0000-0600-00004B000000}">
          <x14:formula1>
            <xm:f>DropDownMenu!$BY$2:$BY$77</xm:f>
          </x14:formula1>
          <xm:sqref>AU2:AU4997</xm:sqref>
        </x14:dataValidation>
        <x14:dataValidation type="list" allowBlank="1" xr:uid="{00000000-0002-0000-0600-00004C000000}">
          <x14:formula1>
            <xm:f>DropDownMenu!$BZ$2:$BZ$3</xm:f>
          </x14:formula1>
          <xm:sqref>CV2:CV4997</xm:sqref>
        </x14:dataValidation>
        <x14:dataValidation type="list" allowBlank="1" xr:uid="{00000000-0002-0000-0600-00004D000000}">
          <x14:formula1>
            <xm:f>DropDownMenu!$CA$2:$CA$77</xm:f>
          </x14:formula1>
          <xm:sqref>AV2:AV4997</xm:sqref>
        </x14:dataValidation>
        <x14:dataValidation type="list" allowBlank="1" xr:uid="{00000000-0002-0000-0600-00004E000000}">
          <x14:formula1>
            <xm:f>DropDownMenu!$CB$2:$CB$3</xm:f>
          </x14:formula1>
          <xm:sqref>AX2:AX4997</xm:sqref>
        </x14:dataValidation>
        <x14:dataValidation type="list" allowBlank="1" xr:uid="{00000000-0002-0000-0600-00004F000000}">
          <x14:formula1>
            <xm:f>DropDownMenu!$CC$2:$CC$3</xm:f>
          </x14:formula1>
          <xm:sqref>AY2:AY4997</xm:sqref>
        </x14:dataValidation>
        <x14:dataValidation type="list" allowBlank="1" xr:uid="{00000000-0002-0000-0600-000050000000}">
          <x14:formula1>
            <xm:f>DropDownMenu!$CD$2:$CD$10</xm:f>
          </x14:formula1>
          <xm:sqref>BA2:BA4997</xm:sqref>
        </x14:dataValidation>
        <x14:dataValidation type="list" allowBlank="1" showInputMessage="1" showErrorMessage="1" xr:uid="{00000000-0002-0000-0600-000057000000}">
          <x14:formula1>
            <xm:f>DropDownMenu!$H$2:$H$564</xm:f>
          </x14:formula1>
          <xm:sqref>H2:H4997</xm:sqref>
        </x14:dataValidation>
        <x14:dataValidation type="list" allowBlank="1" showInputMessage="1" showErrorMessage="1" xr:uid="{00000000-0002-0000-0600-000058000000}">
          <x14:formula1>
            <xm:f>DropDownMenu!$I$2:$I$352</xm:f>
          </x14:formula1>
          <xm:sqref>I2:I4997</xm:sqref>
        </x14:dataValidation>
        <x14:dataValidation type="list" allowBlank="1" showInputMessage="1" showErrorMessage="1" xr:uid="{00000000-0002-0000-0600-000059000000}">
          <x14:formula1>
            <xm:f>DropDownMenu!$J$2:$J$10</xm:f>
          </x14:formula1>
          <xm:sqref>J2:J4997</xm:sqref>
        </x14:dataValidation>
        <x14:dataValidation type="list" allowBlank="1" showInputMessage="1" showErrorMessage="1" xr:uid="{00000000-0002-0000-0600-00005A000000}">
          <x14:formula1>
            <xm:f>DropDownMenu!$K$2:$K$101</xm:f>
          </x14:formula1>
          <xm:sqref>K2:K4997</xm:sqref>
        </x14:dataValidation>
        <x14:dataValidation type="list" allowBlank="1" showInputMessage="1" showErrorMessage="1" xr:uid="{00000000-0002-0000-0600-00005B000000}">
          <x14:formula1>
            <xm:f>DropDownMenu!$L$2:$L$42</xm:f>
          </x14:formula1>
          <xm:sqref>L2:L4997</xm:sqref>
        </x14:dataValidation>
        <x14:dataValidation type="list" allowBlank="1" showInputMessage="1" showErrorMessage="1" xr:uid="{00000000-0002-0000-0600-00005C000000}">
          <x14:formula1>
            <xm:f>DropDownMenu!$M$2:$M$16</xm:f>
          </x14:formula1>
          <xm:sqref>M2:M4997</xm:sqref>
        </x14:dataValidation>
        <x14:dataValidation type="list" allowBlank="1" showInputMessage="1" showErrorMessage="1" xr:uid="{00000000-0002-0000-0600-00005D000000}">
          <x14:formula1>
            <xm:f>DropDownMenu!$N$2:$N$140</xm:f>
          </x14:formula1>
          <xm:sqref>N2:N4997</xm:sqref>
        </x14:dataValidation>
        <x14:dataValidation type="list" allowBlank="1" showInputMessage="1" showErrorMessage="1" xr:uid="{00000000-0002-0000-0600-00005E000000}">
          <x14:formula1>
            <xm:f>DropDownMenu!$O$2:$O$65</xm:f>
          </x14:formula1>
          <xm:sqref>O2:O4997</xm:sqref>
        </x14:dataValidation>
        <x14:dataValidation type="list" allowBlank="1" showInputMessage="1" showErrorMessage="1" xr:uid="{00000000-0002-0000-0600-00005F000000}">
          <x14:formula1>
            <xm:f>DropDownMenu!$P$2:$P$45</xm:f>
          </x14:formula1>
          <xm:sqref>Q2:Q4997</xm:sqref>
        </x14:dataValidation>
        <x14:dataValidation type="list" allowBlank="1" showInputMessage="1" showErrorMessage="1" xr:uid="{00000000-0002-0000-0600-000060000000}">
          <x14:formula1>
            <xm:f>DropDownMenu!$Q$2:$Q$5</xm:f>
          </x14:formula1>
          <xm:sqref>R2:R4997</xm:sqref>
        </x14:dataValidation>
        <x14:dataValidation type="list" allowBlank="1" showInputMessage="1" showErrorMessage="1" xr:uid="{00000000-0002-0000-0600-000061000000}">
          <x14:formula1>
            <xm:f>DropDownMenu!$R$2:$R$7</xm:f>
          </x14:formula1>
          <xm:sqref>S2:S4997</xm:sqref>
        </x14:dataValidation>
        <x14:dataValidation type="list" allowBlank="1" showInputMessage="1" showErrorMessage="1" xr:uid="{00000000-0002-0000-0600-000062000000}">
          <x14:formula1>
            <xm:f>DropDownMenu!$S$2:$S$11</xm:f>
          </x14:formula1>
          <xm:sqref>T2:T4997</xm:sqref>
        </x14:dataValidation>
        <x14:dataValidation type="list" allowBlank="1" showInputMessage="1" showErrorMessage="1" xr:uid="{00000000-0002-0000-0600-000063000000}">
          <x14:formula1>
            <xm:f>DropDownMenu!$T$2:$T$13</xm:f>
          </x14:formula1>
          <xm:sqref>U2:U4997</xm:sqref>
        </x14:dataValidation>
        <x14:dataValidation type="list" allowBlank="1" showInputMessage="1" showErrorMessage="1" xr:uid="{00000000-0002-0000-0600-000064000000}">
          <x14:formula1>
            <xm:f>DropDownMenu!$U$2:$U$5</xm:f>
          </x14:formula1>
          <xm:sqref>CR2:CR4997</xm:sqref>
        </x14:dataValidation>
        <x14:dataValidation type="list" allowBlank="1" showInputMessage="1" showErrorMessage="1" xr:uid="{00000000-0002-0000-0600-000065000000}">
          <x14:formula1>
            <xm:f>DropDownMenu!$V$2:$V$4</xm:f>
          </x14:formula1>
          <xm:sqref>V2:V4997</xm:sqref>
        </x14:dataValidation>
        <x14:dataValidation type="list" allowBlank="1" showInputMessage="1" showErrorMessage="1" xr:uid="{00000000-0002-0000-0600-000066000000}">
          <x14:formula1>
            <xm:f>DropDownMenu!$W$2:$W$6</xm:f>
          </x14:formula1>
          <xm:sqref>CU2:CU4997</xm:sqref>
        </x14:dataValidation>
        <x14:dataValidation type="list" allowBlank="1" showInputMessage="1" showErrorMessage="1" xr:uid="{00000000-0002-0000-0600-000067000000}">
          <x14:formula1>
            <xm:f>DropDownMenu!$X$2:$X$26</xm:f>
          </x14:formula1>
          <xm:sqref>W2:W4997</xm:sqref>
        </x14:dataValidation>
        <x14:dataValidation type="list" allowBlank="1" showInputMessage="1" showErrorMessage="1" xr:uid="{00000000-0002-0000-0600-000068000000}">
          <x14:formula1>
            <xm:f>DropDownMenu!$Y$2:$Y$7</xm:f>
          </x14:formula1>
          <xm:sqref>X2:X4997</xm:sqref>
        </x14:dataValidation>
        <x14:dataValidation type="list" allowBlank="1" showInputMessage="1" showErrorMessage="1" xr:uid="{00000000-0002-0000-0600-000069000000}">
          <x14:formula1>
            <xm:f>DropDownMenu!$Z$2:$Z$15</xm:f>
          </x14:formula1>
          <xm:sqref>Y2:Y4997</xm:sqref>
        </x14:dataValidation>
        <x14:dataValidation type="list" allowBlank="1" showInputMessage="1" showErrorMessage="1" xr:uid="{00000000-0002-0000-0600-00006A000000}">
          <x14:formula1>
            <xm:f>DropDownMenu!$AA$2:$AA$6</xm:f>
          </x14:formula1>
          <xm:sqref>Z2:Z4997</xm:sqref>
        </x14:dataValidation>
        <x14:dataValidation type="list" allowBlank="1" showInputMessage="1" showErrorMessage="1" xr:uid="{00000000-0002-0000-0600-00006B000000}">
          <x14:formula1>
            <xm:f>DropDownMenu!$AB$2:$AB$7</xm:f>
          </x14:formula1>
          <xm:sqref>AA2:AA4997</xm:sqref>
        </x14:dataValidation>
        <x14:dataValidation type="list" allowBlank="1" showInputMessage="1" showErrorMessage="1" xr:uid="{00000000-0002-0000-0600-00006C000000}">
          <x14:formula1>
            <xm:f>DropDownMenu!$AC$2:$AC$49</xm:f>
          </x14:formula1>
          <xm:sqref>AD2:AD4997</xm:sqref>
        </x14:dataValidation>
        <x14:dataValidation type="list" allowBlank="1" showInputMessage="1" showErrorMessage="1" xr:uid="{00000000-0002-0000-0600-00006D000000}">
          <x14:formula1>
            <xm:f>DropDownMenu!$AD$2:$AD$52</xm:f>
          </x14:formula1>
          <xm:sqref>AE2:AE4997</xm:sqref>
        </x14:dataValidation>
        <x14:dataValidation type="list" allowBlank="1" showInputMessage="1" showErrorMessage="1" xr:uid="{00000000-0002-0000-0600-00006E000000}">
          <x14:formula1>
            <xm:f>DropDownMenu!$AE$2:$AE$9</xm:f>
          </x14:formula1>
          <xm:sqref>AH2:AH4997</xm:sqref>
        </x14:dataValidation>
        <x14:dataValidation type="list" allowBlank="1" showInputMessage="1" showErrorMessage="1" xr:uid="{00000000-0002-0000-0600-00006F000000}">
          <x14:formula1>
            <xm:f>DropDownMenu!$AF$2:$AF$6</xm:f>
          </x14:formula1>
          <xm:sqref>AI2:AI4997</xm:sqref>
        </x14:dataValidation>
        <x14:dataValidation type="list" allowBlank="1" showInputMessage="1" showErrorMessage="1" xr:uid="{00000000-0002-0000-0600-000070000000}">
          <x14:formula1>
            <xm:f>DropDownMenu!$AG$2:$AG$11</xm:f>
          </x14:formula1>
          <xm:sqref>AJ2:AJ4997</xm:sqref>
        </x14:dataValidation>
        <x14:dataValidation type="list" allowBlank="1" showInputMessage="1" showErrorMessage="1" xr:uid="{00000000-0002-0000-0600-000071000000}">
          <x14:formula1>
            <xm:f>DropDownMenu!$AH$2:$AH$2</xm:f>
          </x14:formula1>
          <xm:sqref>AK2:AK4997</xm:sqref>
        </x14:dataValidation>
        <x14:dataValidation type="list" allowBlank="1" showInputMessage="1" showErrorMessage="1" xr:uid="{00000000-0002-0000-0600-000072000000}">
          <x14:formula1>
            <xm:f>DropDownMenu!$AI$2:$AI$2</xm:f>
          </x14:formula1>
          <xm:sqref>AL2:AL4997</xm:sqref>
        </x14:dataValidation>
        <x14:dataValidation type="list" allowBlank="1" showInputMessage="1" showErrorMessage="1" xr:uid="{00000000-0002-0000-0600-000073000000}">
          <x14:formula1>
            <xm:f>DropDownMenu!$AJ$2:$AJ$2</xm:f>
          </x14:formula1>
          <xm:sqref>AM2:AM4997</xm:sqref>
        </x14:dataValidation>
        <x14:dataValidation type="list" allowBlank="1" showInputMessage="1" showErrorMessage="1" xr:uid="{00000000-0002-0000-0600-000074000000}">
          <x14:formula1>
            <xm:f>DropDownMenu!$AK$2:$AK$2</xm:f>
          </x14:formula1>
          <xm:sqref>AN2:AN4997</xm:sqref>
        </x14:dataValidation>
        <x14:dataValidation type="list" allowBlank="1" showInputMessage="1" showErrorMessage="1" xr:uid="{00000000-0002-0000-0600-000075000000}">
          <x14:formula1>
            <xm:f>DropDownMenu!$AL$2:$AL$2</xm:f>
          </x14:formula1>
          <xm:sqref>AO2:AO4997</xm:sqref>
        </x14:dataValidation>
        <x14:dataValidation type="list" allowBlank="1" showInputMessage="1" showErrorMessage="1" xr:uid="{00000000-0002-0000-0600-000076000000}">
          <x14:formula1>
            <xm:f>DropDownMenu!$AM$2:$AM$5</xm:f>
          </x14:formula1>
          <xm:sqref>CS2:CS4997</xm:sqref>
        </x14:dataValidation>
        <x14:dataValidation type="list" allowBlank="1" showInputMessage="1" showErrorMessage="1" xr:uid="{00000000-0002-0000-0600-000077000000}">
          <x14:formula1>
            <xm:f>DropDownMenu!$AN$2:$AN$13</xm:f>
          </x14:formula1>
          <xm:sqref>AR2:AR4997</xm:sqref>
        </x14:dataValidation>
        <x14:dataValidation type="list" allowBlank="1" showInputMessage="1" showErrorMessage="1" xr:uid="{00000000-0002-0000-0600-000078000000}">
          <x14:formula1>
            <xm:f>DropDownMenu!$AO$2:$AO$40</xm:f>
          </x14:formula1>
          <xm:sqref>AS2:AS4997</xm:sqref>
        </x14:dataValidation>
        <x14:dataValidation type="list" allowBlank="1" showInputMessage="1" showErrorMessage="1" xr:uid="{00000000-0002-0000-0600-000079000000}">
          <x14:formula1>
            <xm:f>DropDownMenu!$AP$2:$AP$274</xm:f>
          </x14:formula1>
          <xm:sqref>AT2:AT4997</xm:sqref>
        </x14:dataValidation>
        <x14:dataValidation type="list" allowBlank="1" showInputMessage="1" showErrorMessage="1" xr:uid="{00000000-0002-0000-0600-00007A000000}">
          <x14:formula1>
            <xm:f>DropDownMenu!$AQ$2:$AQ$9</xm:f>
          </x14:formula1>
          <xm:sqref>BB2:BB4997</xm:sqref>
        </x14:dataValidation>
        <x14:dataValidation type="list" allowBlank="1" showInputMessage="1" showErrorMessage="1" xr:uid="{00000000-0002-0000-0600-00007B000000}">
          <x14:formula1>
            <xm:f>DropDownMenu!$AR$2:$AR$11</xm:f>
          </x14:formula1>
          <xm:sqref>BC2:BC4997</xm:sqref>
        </x14:dataValidation>
        <x14:dataValidation type="list" allowBlank="1" showInputMessage="1" showErrorMessage="1" xr:uid="{00000000-0002-0000-0600-00007C000000}">
          <x14:formula1>
            <xm:f>DropDownMenu!$AS$2:$AS$3</xm:f>
          </x14:formula1>
          <xm:sqref>BD2:BD4997</xm:sqref>
        </x14:dataValidation>
        <x14:dataValidation type="list" allowBlank="1" showInputMessage="1" showErrorMessage="1" xr:uid="{00000000-0002-0000-0600-00007D000000}">
          <x14:formula1>
            <xm:f>DropDownMenu!$AT$2:$AT$4</xm:f>
          </x14:formula1>
          <xm:sqref>BE2:BE4997</xm:sqref>
        </x14:dataValidation>
        <x14:dataValidation type="list" allowBlank="1" showInputMessage="1" showErrorMessage="1" xr:uid="{00000000-0002-0000-0600-00007E000000}">
          <x14:formula1>
            <xm:f>DropDownMenu!$AU$2:$AU$2</xm:f>
          </x14:formula1>
          <xm:sqref>BG2:BG4997</xm:sqref>
        </x14:dataValidation>
        <x14:dataValidation type="list" allowBlank="1" showInputMessage="1" showErrorMessage="1" xr:uid="{00000000-0002-0000-0600-00007F000000}">
          <x14:formula1>
            <xm:f>DropDownMenu!$AV$2:$AV$9</xm:f>
          </x14:formula1>
          <xm:sqref>BH2:BH4997</xm:sqref>
        </x14:dataValidation>
        <x14:dataValidation type="list" allowBlank="1" showInputMessage="1" showErrorMessage="1" xr:uid="{00000000-0002-0000-0600-000080000000}">
          <x14:formula1>
            <xm:f>DropDownMenu!$AW$2:$AW$81</xm:f>
          </x14:formula1>
          <xm:sqref>BI2:BI4997</xm:sqref>
        </x14:dataValidation>
        <x14:dataValidation type="list" allowBlank="1" showInputMessage="1" showErrorMessage="1" xr:uid="{00000000-0002-0000-0600-000081000000}">
          <x14:formula1>
            <xm:f>DropDownMenu!$AX$2:$AX$3</xm:f>
          </x14:formula1>
          <xm:sqref>BJ2:BJ4997</xm:sqref>
        </x14:dataValidation>
        <x14:dataValidation type="list" allowBlank="1" showInputMessage="1" showErrorMessage="1" xr:uid="{00000000-0002-0000-0600-000082000000}">
          <x14:formula1>
            <xm:f>DropDownMenu!$AY$2:$AY$7</xm:f>
          </x14:formula1>
          <xm:sqref>BK2:BK4997</xm:sqref>
        </x14:dataValidation>
        <x14:dataValidation type="list" allowBlank="1" showInputMessage="1" showErrorMessage="1" xr:uid="{00000000-0002-0000-0600-000083000000}">
          <x14:formula1>
            <xm:f>DropDownMenu!$AZ$2:$AZ$9</xm:f>
          </x14:formula1>
          <xm:sqref>BL2:BL4997</xm:sqref>
        </x14:dataValidation>
        <x14:dataValidation type="list" allowBlank="1" showInputMessage="1" showErrorMessage="1" xr:uid="{00000000-0002-0000-0600-000084000000}">
          <x14:formula1>
            <xm:f>DropDownMenu!$BA$2:$BA$9</xm:f>
          </x14:formula1>
          <xm:sqref>BM2:BM4997</xm:sqref>
        </x14:dataValidation>
        <x14:dataValidation type="list" allowBlank="1" showInputMessage="1" showErrorMessage="1" xr:uid="{00000000-0002-0000-0600-000085000000}">
          <x14:formula1>
            <xm:f>DropDownMenu!$BB$2:$BB$3</xm:f>
          </x14:formula1>
          <xm:sqref>BN2:BN4997</xm:sqref>
        </x14:dataValidation>
        <x14:dataValidation type="list" allowBlank="1" showInputMessage="1" showErrorMessage="1" xr:uid="{00000000-0002-0000-0600-000086000000}">
          <x14:formula1>
            <xm:f>DropDownMenu!$BC$2:$BC$2</xm:f>
          </x14:formula1>
          <xm:sqref>BO2:BO4997</xm:sqref>
        </x14:dataValidation>
        <x14:dataValidation type="list" allowBlank="1" showInputMessage="1" showErrorMessage="1" xr:uid="{00000000-0002-0000-0600-000087000000}">
          <x14:formula1>
            <xm:f>DropDownMenu!$BD$2:$BD$29</xm:f>
          </x14:formula1>
          <xm:sqref>BQ2:BQ4997</xm:sqref>
        </x14:dataValidation>
        <x14:dataValidation type="list" allowBlank="1" showInputMessage="1" showErrorMessage="1" xr:uid="{00000000-0002-0000-0600-000088000000}">
          <x14:formula1>
            <xm:f>DropDownMenu!$BE$2:$BE$2</xm:f>
          </x14:formula1>
          <xm:sqref>BT2:BT4997</xm:sqref>
        </x14:dataValidation>
        <x14:dataValidation type="list" allowBlank="1" showInputMessage="1" showErrorMessage="1" xr:uid="{00000000-0002-0000-0600-000089000000}">
          <x14:formula1>
            <xm:f>DropDownMenu!$BF$2:$BF$33</xm:f>
          </x14:formula1>
          <xm:sqref>BU2:BU4997</xm:sqref>
        </x14:dataValidation>
        <x14:dataValidation type="list" allowBlank="1" showInputMessage="1" showErrorMessage="1" xr:uid="{00000000-0002-0000-0600-00008A000000}">
          <x14:formula1>
            <xm:f>DropDownMenu!$BG$2:$BG$2</xm:f>
          </x14:formula1>
          <xm:sqref>BV2:BV4997</xm:sqref>
        </x14:dataValidation>
        <x14:dataValidation type="list" allowBlank="1" showInputMessage="1" showErrorMessage="1" xr:uid="{00000000-0002-0000-0600-00008B000000}">
          <x14:formula1>
            <xm:f>DropDownMenu!$BH$2:$BH$4</xm:f>
          </x14:formula1>
          <xm:sqref>AW2:AW4997</xm:sqref>
        </x14:dataValidation>
        <x14:dataValidation type="list" allowBlank="1" showInputMessage="1" showErrorMessage="1" xr:uid="{00000000-0002-0000-0600-00008C000000}">
          <x14:formula1>
            <xm:f>DropDownMenu!$BI$2:$BI$2</xm:f>
          </x14:formula1>
          <xm:sqref>BW2:BW4997</xm:sqref>
        </x14:dataValidation>
        <x14:dataValidation type="list" allowBlank="1" showInputMessage="1" showErrorMessage="1" xr:uid="{00000000-0002-0000-0600-00008D000000}">
          <x14:formula1>
            <xm:f>DropDownMenu!$BJ$2:$BJ$2</xm:f>
          </x14:formula1>
          <xm:sqref>BX2:BX4997</xm:sqref>
        </x14:dataValidation>
        <x14:dataValidation type="list" allowBlank="1" showInputMessage="1" showErrorMessage="1" xr:uid="{00000000-0002-0000-0600-00008E000000}">
          <x14:formula1>
            <xm:f>DropDownMenu!$BK$2:$BK$2</xm:f>
          </x14:formula1>
          <xm:sqref>BY2:BY4997</xm:sqref>
        </x14:dataValidation>
        <x14:dataValidation type="list" allowBlank="1" showInputMessage="1" showErrorMessage="1" xr:uid="{00000000-0002-0000-0600-00008F000000}">
          <x14:formula1>
            <xm:f>DropDownMenu!$BL$2:$BL$8</xm:f>
          </x14:formula1>
          <xm:sqref>BZ2:BZ4997</xm:sqref>
        </x14:dataValidation>
        <x14:dataValidation type="list" allowBlank="1" showInputMessage="1" showErrorMessage="1" xr:uid="{00000000-0002-0000-0600-000090000000}">
          <x14:formula1>
            <xm:f>DropDownMenu!$BM$2:$BM$8</xm:f>
          </x14:formula1>
          <xm:sqref>CA2:CA4997</xm:sqref>
        </x14:dataValidation>
        <x14:dataValidation type="list" allowBlank="1" showInputMessage="1" showErrorMessage="1" xr:uid="{00000000-0002-0000-0600-000091000000}">
          <x14:formula1>
            <xm:f>DropDownMenu!$BN$2:$BN$8</xm:f>
          </x14:formula1>
          <xm:sqref>CB2:CB4997</xm:sqref>
        </x14:dataValidation>
        <x14:dataValidation type="list" allowBlank="1" showInputMessage="1" showErrorMessage="1" xr:uid="{00000000-0002-0000-0600-000092000000}">
          <x14:formula1>
            <xm:f>DropDownMenu!$BO$2:$BO$6</xm:f>
          </x14:formula1>
          <xm:sqref>CC2:CC4997</xm:sqref>
        </x14:dataValidation>
        <x14:dataValidation type="list" allowBlank="1" showInputMessage="1" showErrorMessage="1" xr:uid="{00000000-0002-0000-0600-000093000000}">
          <x14:formula1>
            <xm:f>DropDownMenu!$BP$2:$BP$2</xm:f>
          </x14:formula1>
          <xm:sqref>CD2:CD4997</xm:sqref>
        </x14:dataValidation>
        <x14:dataValidation type="list" allowBlank="1" showInputMessage="1" showErrorMessage="1" xr:uid="{00000000-0002-0000-0600-000094000000}">
          <x14:formula1>
            <xm:f>DropDownMenu!$BQ$2:$BQ$2</xm:f>
          </x14:formula1>
          <xm:sqref>CE2:CE4997</xm:sqref>
        </x14:dataValidation>
        <x14:dataValidation type="list" allowBlank="1" showInputMessage="1" showErrorMessage="1" xr:uid="{00000000-0002-0000-0600-000095000000}">
          <x14:formula1>
            <xm:f>DropDownMenu!$BR$2:$BR$2</xm:f>
          </x14:formula1>
          <xm:sqref>CF2:CF4997</xm:sqref>
        </x14:dataValidation>
        <x14:dataValidation type="list" allowBlank="1" showInputMessage="1" showErrorMessage="1" xr:uid="{00000000-0002-0000-0600-000096000000}">
          <x14:formula1>
            <xm:f>DropDownMenu!$BS$2:$BS$2</xm:f>
          </x14:formula1>
          <xm:sqref>CG2:CG4997</xm:sqref>
        </x14:dataValidation>
        <x14:dataValidation type="list" allowBlank="1" showInputMessage="1" showErrorMessage="1" xr:uid="{00000000-0002-0000-0600-000097000000}">
          <x14:formula1>
            <xm:f>DropDownMenu!$BT$2:$BT$2</xm:f>
          </x14:formula1>
          <xm:sqref>CH2:CH4997</xm:sqref>
        </x14:dataValidation>
        <x14:dataValidation type="list" allowBlank="1" showInputMessage="1" showErrorMessage="1" xr:uid="{00000000-0002-0000-0600-000098000000}">
          <x14:formula1>
            <xm:f>DropDownMenu!$BU$2:$BU$2</xm:f>
          </x14:formula1>
          <xm:sqref>CN2:CN4997</xm:sqref>
        </x14:dataValidation>
        <x14:dataValidation type="list" allowBlank="1" showInputMessage="1" showErrorMessage="1" xr:uid="{00000000-0002-0000-0600-000099000000}">
          <x14:formula1>
            <xm:f>DropDownMenu!$BV$2:$BV$2</xm:f>
          </x14:formula1>
          <xm:sqref>CO2:CO4997</xm:sqref>
        </x14:dataValidation>
        <x14:dataValidation type="list" allowBlank="1" showInputMessage="1" showErrorMessage="1" xr:uid="{00000000-0002-0000-0600-00009A000000}">
          <x14:formula1>
            <xm:f>DropDownMenu!$BW$2:$BW$2</xm:f>
          </x14:formula1>
          <xm:sqref>CQ2:CQ4997</xm:sqref>
        </x14:dataValidation>
        <x14:dataValidation type="list" allowBlank="1" showInputMessage="1" showErrorMessage="1" xr:uid="{00000000-0002-0000-0600-00009B000000}">
          <x14:formula1>
            <xm:f>DropDownMenu!$BX$2:$BX$2</xm:f>
          </x14:formula1>
          <xm:sqref>CT2:CT4997</xm:sqref>
        </x14:dataValidation>
        <x14:dataValidation type="list" allowBlank="1" showInputMessage="1" showErrorMessage="1" xr:uid="{00000000-0002-0000-0600-00009C000000}">
          <x14:formula1>
            <xm:f>DropDownMenu!$BY$2:$BY$77</xm:f>
          </x14:formula1>
          <xm:sqref>AU2:AU4997</xm:sqref>
        </x14:dataValidation>
        <x14:dataValidation type="list" allowBlank="1" showInputMessage="1" showErrorMessage="1" xr:uid="{00000000-0002-0000-0600-00009D000000}">
          <x14:formula1>
            <xm:f>DropDownMenu!$BZ$2:$BZ$3</xm:f>
          </x14:formula1>
          <xm:sqref>CV2:CV4997</xm:sqref>
        </x14:dataValidation>
        <x14:dataValidation type="list" allowBlank="1" showInputMessage="1" showErrorMessage="1" xr:uid="{00000000-0002-0000-0600-00009E000000}">
          <x14:formula1>
            <xm:f>DropDownMenu!$CA$2:$CA$77</xm:f>
          </x14:formula1>
          <xm:sqref>AV2:AV4997</xm:sqref>
        </x14:dataValidation>
        <x14:dataValidation type="list" allowBlank="1" showInputMessage="1" showErrorMessage="1" xr:uid="{00000000-0002-0000-0600-00009F000000}">
          <x14:formula1>
            <xm:f>DropDownMenu!$CB$2:$CB$3</xm:f>
          </x14:formula1>
          <xm:sqref>AX2:AX4997</xm:sqref>
        </x14:dataValidation>
        <x14:dataValidation type="list" allowBlank="1" showInputMessage="1" showErrorMessage="1" xr:uid="{00000000-0002-0000-0600-0000A0000000}">
          <x14:formula1>
            <xm:f>DropDownMenu!$CC$2:$CC$3</xm:f>
          </x14:formula1>
          <xm:sqref>AY2:AY4997</xm:sqref>
        </x14:dataValidation>
        <x14:dataValidation type="list" allowBlank="1" showInputMessage="1" showErrorMessage="1" xr:uid="{00000000-0002-0000-0600-0000A1000000}">
          <x14:formula1>
            <xm:f>DropDownMenu!$CD$2:$CD$10</xm:f>
          </x14:formula1>
          <xm:sqref>BA2:BA4997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applyStyles="1" summaryRight="0"/>
  </sheetPr>
  <dimension ref="A1:CV50"/>
  <sheetViews>
    <sheetView workbookViewId="0">
      <pane xSplit="15" topLeftCell="P1" activePane="topRight" state="frozen"/>
      <selection pane="topRight" activeCell="Y10" sqref="Y10"/>
    </sheetView>
  </sheetViews>
  <sheetFormatPr baseColWidth="10" defaultColWidth="8.83203125" defaultRowHeight="15" outlineLevelCol="1" x14ac:dyDescent="0.2"/>
  <cols>
    <col min="1" max="6" width="4" customWidth="1"/>
    <col min="7" max="7" width="40" customWidth="1"/>
    <col min="8" max="8" width="9" customWidth="1"/>
    <col min="9" max="10" width="6" customWidth="1"/>
    <col min="11" max="12" width="5" customWidth="1"/>
    <col min="13" max="13" width="4" customWidth="1"/>
    <col min="14" max="14" width="36" customWidth="1"/>
    <col min="15" max="15" width="32" customWidth="1"/>
    <col min="16" max="16" width="32.5" bestFit="1" customWidth="1"/>
    <col min="17" max="17" width="5" customWidth="1" outlineLevel="1"/>
    <col min="18" max="19" width="4" customWidth="1" outlineLevel="1"/>
    <col min="20" max="20" width="10.33203125" bestFit="1" customWidth="1" outlineLevel="1"/>
    <col min="21" max="21" width="7" customWidth="1" outlineLevel="1"/>
    <col min="22" max="22" width="4" customWidth="1" outlineLevel="1"/>
    <col min="23" max="23" width="5" customWidth="1"/>
    <col min="24" max="24" width="20" customWidth="1" outlineLevel="1"/>
    <col min="25" max="26" width="6" customWidth="1" outlineLevel="1"/>
    <col min="27" max="27" width="10" customWidth="1"/>
    <col min="28" max="34" width="10" customWidth="1" outlineLevel="1"/>
    <col min="35" max="35" width="6" customWidth="1"/>
    <col min="36" max="36" width="6" customWidth="1" outlineLevel="1"/>
    <col min="37" max="43" width="4" customWidth="1" outlineLevel="1"/>
    <col min="44" max="44" width="6" customWidth="1" outlineLevel="1"/>
    <col min="45" max="45" width="25" customWidth="1" outlineLevel="1"/>
    <col min="46" max="47" width="20" customWidth="1" outlineLevel="1"/>
    <col min="48" max="48" width="10" customWidth="1" outlineLevel="1"/>
    <col min="49" max="49" width="5" customWidth="1" outlineLevel="1"/>
    <col min="50" max="50" width="7.6640625" bestFit="1" customWidth="1"/>
    <col min="51" max="51" width="10.33203125" bestFit="1" customWidth="1" outlineLevel="1"/>
    <col min="52" max="52" width="7.6640625" bestFit="1" customWidth="1" outlineLevel="1"/>
    <col min="53" max="53" width="20" customWidth="1" outlineLevel="1"/>
    <col min="54" max="54" width="4" customWidth="1"/>
    <col min="55" max="59" width="4" customWidth="1" outlineLevel="1"/>
    <col min="60" max="60" width="6" customWidth="1" outlineLevel="1"/>
    <col min="61" max="61" width="11" customWidth="1" outlineLevel="1"/>
    <col min="62" max="66" width="4" customWidth="1" outlineLevel="1"/>
    <col min="67" max="67" width="7" customWidth="1" outlineLevel="1"/>
    <col min="68" max="68" width="4" customWidth="1" outlineLevel="1"/>
    <col min="69" max="69" width="11" customWidth="1" outlineLevel="1"/>
    <col min="70" max="96" width="4" customWidth="1" outlineLevel="1"/>
    <col min="97" max="97" width="6" customWidth="1" outlineLevel="1"/>
    <col min="98" max="98" width="8" customWidth="1" outlineLevel="1"/>
    <col min="99" max="100" width="4" customWidth="1" outlineLevel="1"/>
  </cols>
  <sheetData>
    <row r="1" spans="1:100" ht="15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 t="s">
        <v>22</v>
      </c>
      <c r="X1" s="1" t="s">
        <v>23</v>
      </c>
      <c r="Y1" s="1" t="s">
        <v>24</v>
      </c>
      <c r="Z1" s="1" t="s">
        <v>25</v>
      </c>
      <c r="AA1" s="3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</row>
    <row r="2" spans="1:100" x14ac:dyDescent="0.2">
      <c r="A2" s="33" t="b">
        <v>0</v>
      </c>
      <c r="B2" s="34" t="b">
        <v>0</v>
      </c>
      <c r="C2" s="33" t="b">
        <v>1</v>
      </c>
      <c r="D2" s="34" t="b">
        <v>0</v>
      </c>
      <c r="E2" s="34" t="b">
        <v>0</v>
      </c>
      <c r="F2" s="32" t="b">
        <v>0</v>
      </c>
      <c r="G2" s="25"/>
      <c r="H2" s="11"/>
      <c r="I2" s="12" t="s">
        <v>147</v>
      </c>
      <c r="J2" s="11" t="s">
        <v>1384</v>
      </c>
      <c r="K2" s="11" t="s">
        <v>1266</v>
      </c>
      <c r="L2" s="11" t="s">
        <v>148</v>
      </c>
      <c r="M2" s="11"/>
      <c r="N2" s="17" t="s">
        <v>1385</v>
      </c>
      <c r="O2" s="11"/>
      <c r="P2" s="11"/>
      <c r="Q2" s="11"/>
      <c r="R2" s="11" t="s">
        <v>108</v>
      </c>
      <c r="S2" s="11" t="s">
        <v>108</v>
      </c>
      <c r="T2" s="11" t="s">
        <v>109</v>
      </c>
      <c r="U2" s="11" t="s">
        <v>149</v>
      </c>
      <c r="V2" s="11" t="s">
        <v>111</v>
      </c>
      <c r="W2" s="17" t="s">
        <v>112</v>
      </c>
      <c r="X2" s="11" t="s">
        <v>173</v>
      </c>
      <c r="Y2" s="11" t="s">
        <v>332</v>
      </c>
      <c r="Z2" s="11" t="s">
        <v>114</v>
      </c>
      <c r="AA2" s="11" t="s">
        <v>115</v>
      </c>
      <c r="AB2" s="11"/>
      <c r="AC2" s="11"/>
      <c r="AD2" s="11" t="s">
        <v>115</v>
      </c>
      <c r="AE2" s="11" t="s">
        <v>116</v>
      </c>
      <c r="AF2" s="11"/>
      <c r="AG2" s="11"/>
      <c r="AH2" s="11" t="s">
        <v>116</v>
      </c>
      <c r="AI2" s="12"/>
      <c r="AJ2" s="12"/>
      <c r="AK2" s="11"/>
      <c r="AL2" s="11"/>
      <c r="AM2" s="11"/>
      <c r="AN2" s="11"/>
      <c r="AO2" s="11"/>
      <c r="AP2" s="11"/>
      <c r="AQ2" s="11"/>
      <c r="AR2" s="11"/>
      <c r="AS2" s="11"/>
      <c r="AT2" s="11" t="s">
        <v>1386</v>
      </c>
      <c r="AU2" s="13" t="str">
        <f>IF($AT2="","",IFERROR(INDEX(InstructorMap!$B:$B, MATCH($AT2, InstructorMap!$A:$A, 0)),""))</f>
        <v>jpeckham@andrews.edu</v>
      </c>
      <c r="AV2" s="13" t="str">
        <f>IF($AT2="","",IFERROR(INDEX(InstructorMap!$C:$C, MATCH($AT2, InstructorMap!$A:$A, 0)),""))</f>
        <v>000116996</v>
      </c>
      <c r="AW2" s="11" t="s">
        <v>121</v>
      </c>
      <c r="AX2" s="11" t="s">
        <v>122</v>
      </c>
      <c r="AY2" s="11"/>
      <c r="AZ2" s="11"/>
      <c r="BA2" s="11" t="s">
        <v>1387</v>
      </c>
      <c r="BB2" s="11"/>
      <c r="BC2" s="11"/>
      <c r="BD2" s="11"/>
      <c r="BE2" s="11"/>
      <c r="BF2" s="11"/>
      <c r="BG2" s="11"/>
      <c r="BH2" s="11" t="s">
        <v>1384</v>
      </c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2" t="s">
        <v>147</v>
      </c>
      <c r="CT2" s="11" t="s">
        <v>133</v>
      </c>
      <c r="CU2" s="11"/>
      <c r="CV2" s="11"/>
    </row>
    <row r="3" spans="1:100" hidden="1" x14ac:dyDescent="0.2">
      <c r="A3" s="32" t="b">
        <v>0</v>
      </c>
      <c r="B3" s="32" t="b">
        <v>0</v>
      </c>
      <c r="C3" s="32" t="b">
        <v>1</v>
      </c>
      <c r="D3" s="32" t="b">
        <v>0</v>
      </c>
      <c r="E3" s="32" t="b">
        <v>0</v>
      </c>
      <c r="F3" s="32" t="b">
        <v>0</v>
      </c>
      <c r="G3" s="122" t="s">
        <v>765</v>
      </c>
      <c r="H3" s="11"/>
      <c r="I3" s="12"/>
      <c r="J3" s="11" t="s">
        <v>1384</v>
      </c>
      <c r="K3" s="11" t="s">
        <v>1388</v>
      </c>
      <c r="L3" s="11" t="s">
        <v>137</v>
      </c>
      <c r="M3" s="11"/>
      <c r="N3" s="17" t="s">
        <v>1389</v>
      </c>
      <c r="O3" s="11"/>
      <c r="P3" s="11"/>
      <c r="Q3" s="11"/>
      <c r="R3" s="11" t="s">
        <v>129</v>
      </c>
      <c r="S3" s="11"/>
      <c r="T3" s="11" t="s">
        <v>139</v>
      </c>
      <c r="U3" s="11" t="s">
        <v>140</v>
      </c>
      <c r="V3" s="11"/>
      <c r="W3" s="17" t="s">
        <v>112</v>
      </c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90" t="s">
        <v>117</v>
      </c>
      <c r="AJ3" s="90" t="s">
        <v>118</v>
      </c>
      <c r="AK3" s="11"/>
      <c r="AL3" s="11"/>
      <c r="AM3" s="11"/>
      <c r="AN3" s="11" t="s">
        <v>177</v>
      </c>
      <c r="AO3" s="11"/>
      <c r="AP3" s="11"/>
      <c r="AQ3" s="11"/>
      <c r="AR3" s="11" t="s">
        <v>232</v>
      </c>
      <c r="AS3" s="11"/>
      <c r="AT3" s="11" t="s">
        <v>676</v>
      </c>
      <c r="AU3" s="57" t="str">
        <f>IF($AT3="","",IFERROR(INDEX(InstructorMap!$B:$B, MATCH($AT3, InstructorMap!$A:$A, 0)),""))</f>
        <v>jeroncic@andrews.edu</v>
      </c>
      <c r="AV3" s="57" t="str">
        <f>IF($AT3="","",IFERROR(INDEX(InstructorMap!$C:$C, MATCH($AT3, InstructorMap!$A:$A, 0)),""))</f>
        <v>000066942</v>
      </c>
      <c r="AW3" s="11" t="s">
        <v>121</v>
      </c>
      <c r="AX3" s="11" t="s">
        <v>122</v>
      </c>
      <c r="AY3" s="11"/>
      <c r="AZ3" s="11"/>
      <c r="BA3" s="11" t="s">
        <v>1387</v>
      </c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2"/>
      <c r="CT3" s="11"/>
      <c r="CU3" s="11"/>
      <c r="CV3" s="11"/>
    </row>
    <row r="4" spans="1:100" x14ac:dyDescent="0.2">
      <c r="A4" s="26" t="b">
        <v>0</v>
      </c>
      <c r="B4" s="26" t="b">
        <v>0</v>
      </c>
      <c r="C4" s="26" t="b">
        <v>1</v>
      </c>
      <c r="D4" s="26" t="b">
        <v>0</v>
      </c>
      <c r="E4" s="26" t="b">
        <v>0</v>
      </c>
      <c r="F4" s="26" t="b">
        <v>0</v>
      </c>
      <c r="G4" s="27"/>
      <c r="H4" s="4" t="s">
        <v>1390</v>
      </c>
      <c r="I4" s="4" t="s">
        <v>330</v>
      </c>
      <c r="J4" s="4" t="s">
        <v>1384</v>
      </c>
      <c r="K4" s="4" t="s">
        <v>1391</v>
      </c>
      <c r="L4" s="4" t="s">
        <v>137</v>
      </c>
      <c r="M4" s="4"/>
      <c r="N4" s="4" t="s">
        <v>1392</v>
      </c>
      <c r="O4" s="4"/>
      <c r="P4" s="4" t="s">
        <v>1393</v>
      </c>
      <c r="Q4" s="4" t="s">
        <v>1394</v>
      </c>
      <c r="R4" s="4" t="s">
        <v>129</v>
      </c>
      <c r="S4" s="4"/>
      <c r="T4" s="4" t="s">
        <v>139</v>
      </c>
      <c r="U4" s="4" t="s">
        <v>140</v>
      </c>
      <c r="V4" s="4" t="s">
        <v>111</v>
      </c>
      <c r="W4" s="4" t="s">
        <v>112</v>
      </c>
      <c r="X4" s="4" t="s">
        <v>173</v>
      </c>
      <c r="Y4" s="4" t="s">
        <v>193</v>
      </c>
      <c r="Z4" s="4" t="s">
        <v>142</v>
      </c>
      <c r="AA4" s="4" t="s">
        <v>115</v>
      </c>
      <c r="AB4" s="4"/>
      <c r="AC4" s="4"/>
      <c r="AD4" s="4" t="s">
        <v>115</v>
      </c>
      <c r="AE4" s="4" t="s">
        <v>116</v>
      </c>
      <c r="AF4" s="4"/>
      <c r="AG4" s="4"/>
      <c r="AH4" s="4" t="s">
        <v>116</v>
      </c>
      <c r="AI4" s="4" t="s">
        <v>175</v>
      </c>
      <c r="AJ4" s="4" t="s">
        <v>237</v>
      </c>
      <c r="AK4" s="4"/>
      <c r="AL4" s="4"/>
      <c r="AM4" s="4" t="s">
        <v>211</v>
      </c>
      <c r="AN4" s="4"/>
      <c r="AO4" s="4"/>
      <c r="AP4" s="4"/>
      <c r="AQ4" s="4"/>
      <c r="AR4" s="4" t="s">
        <v>195</v>
      </c>
      <c r="AS4" s="4" t="s">
        <v>144</v>
      </c>
      <c r="AT4" s="4" t="s">
        <v>1386</v>
      </c>
      <c r="AU4" s="5" t="str">
        <f>IF($AT4="","",IFERROR(INDEX(InstructorMap!$B:$B, MATCH($AT4, InstructorMap!$A:$A, 0)),""))</f>
        <v>jpeckham@andrews.edu</v>
      </c>
      <c r="AV4" s="5" t="str">
        <f>IF($AT4="","",IFERROR(INDEX(InstructorMap!$C:$C, MATCH($AT4, InstructorMap!$A:$A, 0)),""))</f>
        <v>000116996</v>
      </c>
      <c r="AW4" s="4" t="s">
        <v>121</v>
      </c>
      <c r="AX4" s="4" t="s">
        <v>122</v>
      </c>
      <c r="AY4" s="4"/>
      <c r="AZ4" s="4"/>
      <c r="BA4" s="4" t="s">
        <v>1387</v>
      </c>
      <c r="BB4" s="4"/>
      <c r="BC4" s="4"/>
      <c r="BD4" s="4"/>
      <c r="BE4" s="4"/>
      <c r="BF4" s="4"/>
      <c r="BG4" s="4"/>
      <c r="BH4" s="4" t="s">
        <v>1384</v>
      </c>
      <c r="BI4" s="4" t="s">
        <v>124</v>
      </c>
      <c r="BJ4" s="4" t="s">
        <v>125</v>
      </c>
      <c r="BK4" s="4" t="s">
        <v>173</v>
      </c>
      <c r="BL4" s="4" t="s">
        <v>125</v>
      </c>
      <c r="BM4" s="4"/>
      <c r="BN4" s="4"/>
      <c r="BO4" s="4" t="s">
        <v>127</v>
      </c>
      <c r="BP4" s="4"/>
      <c r="BQ4" s="4"/>
      <c r="BR4" s="4"/>
      <c r="BS4" s="4"/>
      <c r="BT4" s="4" t="s">
        <v>128</v>
      </c>
      <c r="BU4" s="4" t="s">
        <v>129</v>
      </c>
      <c r="BV4" s="4" t="s">
        <v>145</v>
      </c>
      <c r="BW4" s="4" t="s">
        <v>130</v>
      </c>
      <c r="BX4" s="4" t="s">
        <v>131</v>
      </c>
      <c r="BY4" s="4"/>
      <c r="BZ4" s="4"/>
      <c r="CA4" s="4"/>
      <c r="CB4" s="4"/>
      <c r="CC4" s="4"/>
      <c r="CD4" s="4"/>
      <c r="CE4" s="4"/>
      <c r="CF4" s="4" t="s">
        <v>130</v>
      </c>
      <c r="CG4" s="4"/>
      <c r="CH4" s="4" t="s">
        <v>131</v>
      </c>
      <c r="CI4" s="4"/>
      <c r="CJ4" s="4"/>
      <c r="CK4" s="4"/>
      <c r="CL4" s="4"/>
      <c r="CM4" s="4"/>
      <c r="CN4" s="4"/>
      <c r="CO4" s="4"/>
      <c r="CP4" s="4"/>
      <c r="CQ4" s="4"/>
      <c r="CR4" s="4"/>
      <c r="CS4" s="4" t="s">
        <v>146</v>
      </c>
      <c r="CT4" s="4" t="s">
        <v>133</v>
      </c>
      <c r="CU4" s="4" t="s">
        <v>134</v>
      </c>
      <c r="CV4" s="4"/>
    </row>
    <row r="5" spans="1:100" x14ac:dyDescent="0.2">
      <c r="A5" s="45" t="b">
        <v>0</v>
      </c>
      <c r="B5" s="45" t="b">
        <v>0</v>
      </c>
      <c r="C5" s="45" t="b">
        <v>1</v>
      </c>
      <c r="D5" s="45" t="b">
        <v>0</v>
      </c>
      <c r="E5" s="45" t="b">
        <v>0</v>
      </c>
      <c r="F5" s="45" t="b">
        <v>0</v>
      </c>
      <c r="G5" s="46" t="s">
        <v>186</v>
      </c>
      <c r="H5" s="4" t="s">
        <v>1395</v>
      </c>
      <c r="I5" s="4" t="s">
        <v>1396</v>
      </c>
      <c r="J5" s="4" t="s">
        <v>1384</v>
      </c>
      <c r="K5" s="4" t="s">
        <v>1391</v>
      </c>
      <c r="L5" s="4" t="s">
        <v>105</v>
      </c>
      <c r="M5" s="4"/>
      <c r="N5" s="4" t="s">
        <v>1397</v>
      </c>
      <c r="O5" s="4"/>
      <c r="P5" s="4" t="s">
        <v>1393</v>
      </c>
      <c r="Q5" s="4" t="s">
        <v>1394</v>
      </c>
      <c r="R5" s="4" t="s">
        <v>108</v>
      </c>
      <c r="S5" s="4" t="s">
        <v>108</v>
      </c>
      <c r="T5" s="4" t="s">
        <v>109</v>
      </c>
      <c r="U5" s="4" t="s">
        <v>110</v>
      </c>
      <c r="V5" s="4" t="s">
        <v>111</v>
      </c>
      <c r="W5" s="4" t="s">
        <v>112</v>
      </c>
      <c r="X5" s="4" t="s">
        <v>173</v>
      </c>
      <c r="Y5" s="4" t="s">
        <v>217</v>
      </c>
      <c r="Z5" s="4" t="s">
        <v>114</v>
      </c>
      <c r="AA5" s="4" t="s">
        <v>115</v>
      </c>
      <c r="AB5" s="4"/>
      <c r="AC5" s="4"/>
      <c r="AD5" s="4" t="s">
        <v>115</v>
      </c>
      <c r="AE5" s="4" t="s">
        <v>116</v>
      </c>
      <c r="AF5" s="4"/>
      <c r="AG5" s="4"/>
      <c r="AH5" s="4" t="s">
        <v>116</v>
      </c>
      <c r="AI5" s="4" t="s">
        <v>175</v>
      </c>
      <c r="AJ5" s="4" t="s">
        <v>237</v>
      </c>
      <c r="AK5" s="4"/>
      <c r="AL5" s="4"/>
      <c r="AM5" s="4" t="s">
        <v>211</v>
      </c>
      <c r="AN5" s="4"/>
      <c r="AO5" s="4"/>
      <c r="AP5" s="4"/>
      <c r="AQ5" s="4"/>
      <c r="AR5" s="4"/>
      <c r="AS5" s="4"/>
      <c r="AT5" s="59" t="s">
        <v>1386</v>
      </c>
      <c r="AU5" s="5" t="str">
        <f>IF($AT5="","",IFERROR(INDEX(InstructorMap!$B:$B, MATCH($AT5, InstructorMap!$A:$A, 0)),""))</f>
        <v>jpeckham@andrews.edu</v>
      </c>
      <c r="AV5" s="5" t="str">
        <f>IF($AT5="","",IFERROR(INDEX(InstructorMap!$C:$C, MATCH($AT5, InstructorMap!$A:$A, 0)),""))</f>
        <v>000116996</v>
      </c>
      <c r="AW5" s="4" t="s">
        <v>121</v>
      </c>
      <c r="AX5" s="4"/>
      <c r="AY5" s="4"/>
      <c r="AZ5" s="4"/>
      <c r="BA5" s="4"/>
      <c r="BB5" s="4"/>
      <c r="BC5" s="4"/>
      <c r="BD5" s="4"/>
      <c r="BE5" s="4"/>
      <c r="BF5" s="4"/>
      <c r="BG5" s="4"/>
      <c r="BH5" s="4" t="s">
        <v>1398</v>
      </c>
      <c r="BI5" s="4" t="s">
        <v>124</v>
      </c>
      <c r="BJ5" s="4" t="s">
        <v>125</v>
      </c>
      <c r="BK5" s="4" t="s">
        <v>173</v>
      </c>
      <c r="BL5" s="4" t="s">
        <v>126</v>
      </c>
      <c r="BM5" s="4"/>
      <c r="BN5" s="4"/>
      <c r="BO5" s="4" t="s">
        <v>127</v>
      </c>
      <c r="BP5" s="4"/>
      <c r="BQ5" s="4"/>
      <c r="BR5" s="4"/>
      <c r="BS5" s="4"/>
      <c r="BT5" s="4" t="s">
        <v>128</v>
      </c>
      <c r="BU5" s="4" t="s">
        <v>129</v>
      </c>
      <c r="BV5" s="4" t="s">
        <v>129</v>
      </c>
      <c r="BW5" s="4" t="s">
        <v>130</v>
      </c>
      <c r="BX5" s="4" t="s">
        <v>131</v>
      </c>
      <c r="BY5" s="4"/>
      <c r="BZ5" s="4"/>
      <c r="CA5" s="4"/>
      <c r="CB5" s="4"/>
      <c r="CC5" s="4"/>
      <c r="CD5" s="4"/>
      <c r="CE5" s="4"/>
      <c r="CF5" s="4" t="s">
        <v>130</v>
      </c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 t="s">
        <v>132</v>
      </c>
      <c r="CT5" s="4" t="s">
        <v>133</v>
      </c>
      <c r="CU5" s="4" t="s">
        <v>134</v>
      </c>
      <c r="CV5" s="4"/>
    </row>
    <row r="6" spans="1:100" s="54" customFormat="1" x14ac:dyDescent="0.2">
      <c r="A6" s="33" t="b">
        <v>0</v>
      </c>
      <c r="B6" s="34" t="b">
        <v>0</v>
      </c>
      <c r="C6" s="33" t="b">
        <v>1</v>
      </c>
      <c r="D6" s="34" t="b">
        <v>0</v>
      </c>
      <c r="E6" s="34" t="b">
        <v>0</v>
      </c>
      <c r="F6" s="32" t="b">
        <v>0</v>
      </c>
      <c r="G6" s="55"/>
      <c r="H6" s="17"/>
      <c r="I6" s="56" t="s">
        <v>147</v>
      </c>
      <c r="J6" s="17" t="s">
        <v>1384</v>
      </c>
      <c r="K6" s="17" t="s">
        <v>1399</v>
      </c>
      <c r="L6" s="17" t="s">
        <v>148</v>
      </c>
      <c r="M6" s="17"/>
      <c r="N6" s="17" t="s">
        <v>1400</v>
      </c>
      <c r="O6" s="17"/>
      <c r="P6" s="17"/>
      <c r="Q6" s="17"/>
      <c r="R6" s="17" t="s">
        <v>108</v>
      </c>
      <c r="S6" s="17"/>
      <c r="T6" s="17" t="s">
        <v>109</v>
      </c>
      <c r="U6" s="17" t="s">
        <v>149</v>
      </c>
      <c r="V6" s="17" t="s">
        <v>111</v>
      </c>
      <c r="W6" s="17" t="s">
        <v>112</v>
      </c>
      <c r="X6" s="17" t="s">
        <v>173</v>
      </c>
      <c r="Y6" s="17" t="s">
        <v>151</v>
      </c>
      <c r="Z6" s="17" t="s">
        <v>114</v>
      </c>
      <c r="AA6" s="17" t="s">
        <v>115</v>
      </c>
      <c r="AB6" s="17"/>
      <c r="AC6" s="17"/>
      <c r="AD6" s="17" t="s">
        <v>115</v>
      </c>
      <c r="AE6" s="17" t="s">
        <v>116</v>
      </c>
      <c r="AF6" s="17"/>
      <c r="AG6" s="17"/>
      <c r="AH6" s="17" t="s">
        <v>116</v>
      </c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 t="s">
        <v>1386</v>
      </c>
      <c r="AU6" s="57" t="str">
        <f>IF($AT6="","",IFERROR(INDEX(InstructorMap!$B:$B, MATCH($AT6, InstructorMap!$A:$A, 0)),""))</f>
        <v>jpeckham@andrews.edu</v>
      </c>
      <c r="AV6" s="57" t="str">
        <f>IF($AT6="","",IFERROR(INDEX(InstructorMap!$C:$C, MATCH($AT6, InstructorMap!$A:$A, 0)),""))</f>
        <v>000116996</v>
      </c>
      <c r="AW6" s="17" t="s">
        <v>121</v>
      </c>
      <c r="AX6" s="17" t="s">
        <v>122</v>
      </c>
      <c r="AY6" s="17"/>
      <c r="AZ6" s="17"/>
      <c r="BA6" s="17" t="s">
        <v>1387</v>
      </c>
      <c r="BB6" s="17"/>
      <c r="BC6" s="17"/>
      <c r="BD6" s="17"/>
      <c r="BE6" s="17"/>
      <c r="BF6" s="17"/>
      <c r="BG6" s="17"/>
      <c r="BH6" s="17" t="s">
        <v>1384</v>
      </c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56" t="s">
        <v>147</v>
      </c>
      <c r="CT6" s="17" t="s">
        <v>133</v>
      </c>
      <c r="CU6" s="17"/>
      <c r="CV6" s="17"/>
    </row>
    <row r="7" spans="1:100" x14ac:dyDescent="0.2">
      <c r="A7" s="45" t="b">
        <v>0</v>
      </c>
      <c r="B7" s="45" t="b">
        <v>0</v>
      </c>
      <c r="C7" s="45" t="b">
        <v>1</v>
      </c>
      <c r="D7" s="45" t="b">
        <v>0</v>
      </c>
      <c r="E7" s="45" t="b">
        <v>0</v>
      </c>
      <c r="F7" s="45" t="b">
        <v>0</v>
      </c>
      <c r="G7" s="46" t="s">
        <v>1401</v>
      </c>
      <c r="H7" s="4" t="s">
        <v>1402</v>
      </c>
      <c r="I7" s="4" t="s">
        <v>1403</v>
      </c>
      <c r="J7" s="4" t="s">
        <v>1384</v>
      </c>
      <c r="K7" s="4" t="s">
        <v>601</v>
      </c>
      <c r="L7" s="4" t="s">
        <v>137</v>
      </c>
      <c r="M7" s="4"/>
      <c r="N7" s="4" t="s">
        <v>1404</v>
      </c>
      <c r="O7" s="4"/>
      <c r="P7" s="4" t="s">
        <v>1405</v>
      </c>
      <c r="Q7" s="4" t="s">
        <v>1406</v>
      </c>
      <c r="R7" s="4" t="s">
        <v>129</v>
      </c>
      <c r="S7" s="4"/>
      <c r="T7" s="4" t="s">
        <v>139</v>
      </c>
      <c r="U7" s="4" t="s">
        <v>140</v>
      </c>
      <c r="V7" s="4" t="s">
        <v>111</v>
      </c>
      <c r="W7" s="4" t="s">
        <v>112</v>
      </c>
      <c r="X7" s="4" t="s">
        <v>150</v>
      </c>
      <c r="Y7" s="4" t="s">
        <v>591</v>
      </c>
      <c r="Z7" s="4" t="s">
        <v>142</v>
      </c>
      <c r="AA7" s="4" t="s">
        <v>115</v>
      </c>
      <c r="AB7" s="4"/>
      <c r="AC7" s="4"/>
      <c r="AD7" s="4" t="s">
        <v>115</v>
      </c>
      <c r="AE7" s="4" t="s">
        <v>116</v>
      </c>
      <c r="AF7" s="4"/>
      <c r="AG7" s="4"/>
      <c r="AH7" s="4" t="s">
        <v>116</v>
      </c>
      <c r="AI7" s="4" t="s">
        <v>357</v>
      </c>
      <c r="AJ7" s="4" t="s">
        <v>358</v>
      </c>
      <c r="AK7" s="4"/>
      <c r="AL7" s="4"/>
      <c r="AM7" s="4"/>
      <c r="AN7" s="4" t="s">
        <v>177</v>
      </c>
      <c r="AO7" s="4"/>
      <c r="AP7" s="4"/>
      <c r="AQ7" s="4"/>
      <c r="AR7" s="4" t="s">
        <v>725</v>
      </c>
      <c r="AS7" s="4" t="s">
        <v>144</v>
      </c>
      <c r="AT7" s="4" t="s">
        <v>1407</v>
      </c>
      <c r="AU7" s="5" t="str">
        <f>IF($AT7="","",IFERROR(INDEX(InstructorMap!$B:$B, MATCH($AT7, InstructorMap!$A:$A, 0)),""))</f>
        <v>mhanna@andrews.edu</v>
      </c>
      <c r="AV7" s="5" t="str">
        <f>IF($AT7="","",IFERROR(INDEX(InstructorMap!$C:$C, MATCH($AT7, InstructorMap!$A:$A, 0)),""))</f>
        <v>000057080</v>
      </c>
      <c r="AW7" s="4" t="s">
        <v>121</v>
      </c>
      <c r="AX7" s="4" t="s">
        <v>122</v>
      </c>
      <c r="AY7" s="4"/>
      <c r="AZ7" s="4"/>
      <c r="BA7" s="4" t="s">
        <v>1387</v>
      </c>
      <c r="BB7" s="4"/>
      <c r="BC7" s="4"/>
      <c r="BD7" s="4"/>
      <c r="BE7" s="4"/>
      <c r="BF7" s="4"/>
      <c r="BG7" s="4"/>
      <c r="BH7" s="4" t="s">
        <v>1398</v>
      </c>
      <c r="BI7" s="4" t="s">
        <v>124</v>
      </c>
      <c r="BJ7" s="4" t="s">
        <v>125</v>
      </c>
      <c r="BK7" s="4"/>
      <c r="BL7" s="4" t="s">
        <v>125</v>
      </c>
      <c r="BM7" s="4"/>
      <c r="BN7" s="4"/>
      <c r="BO7" s="4" t="s">
        <v>127</v>
      </c>
      <c r="BP7" s="4"/>
      <c r="BQ7" s="4" t="s">
        <v>1408</v>
      </c>
      <c r="BR7" s="4"/>
      <c r="BS7" s="4"/>
      <c r="BT7" s="4" t="s">
        <v>128</v>
      </c>
      <c r="BU7" s="4" t="s">
        <v>129</v>
      </c>
      <c r="BV7" s="4" t="s">
        <v>129</v>
      </c>
      <c r="BW7" s="4"/>
      <c r="BX7" s="4"/>
      <c r="BY7" s="4"/>
      <c r="BZ7" s="4"/>
      <c r="CA7" s="4"/>
      <c r="CB7" s="4"/>
      <c r="CC7" s="4"/>
      <c r="CD7" s="4"/>
      <c r="CE7" s="4"/>
      <c r="CF7" s="4" t="s">
        <v>130</v>
      </c>
      <c r="CG7" s="4"/>
      <c r="CH7" s="4" t="s">
        <v>131</v>
      </c>
      <c r="CI7" s="4"/>
      <c r="CJ7" s="4"/>
      <c r="CK7" s="4"/>
      <c r="CL7" s="4"/>
      <c r="CM7" s="4"/>
      <c r="CN7" s="4"/>
      <c r="CO7" s="4"/>
      <c r="CP7" s="4"/>
      <c r="CQ7" s="4"/>
      <c r="CR7" s="4"/>
      <c r="CS7" s="4" t="s">
        <v>132</v>
      </c>
      <c r="CT7" s="4" t="s">
        <v>133</v>
      </c>
      <c r="CU7" s="4" t="s">
        <v>134</v>
      </c>
      <c r="CV7" s="4"/>
    </row>
    <row r="8" spans="1:100" s="54" customFormat="1" x14ac:dyDescent="0.2">
      <c r="A8" s="33" t="b">
        <v>0</v>
      </c>
      <c r="B8" s="34" t="b">
        <v>0</v>
      </c>
      <c r="C8" s="33" t="b">
        <v>1</v>
      </c>
      <c r="D8" s="34" t="b">
        <v>0</v>
      </c>
      <c r="E8" s="34" t="b">
        <v>0</v>
      </c>
      <c r="F8" s="32" t="b">
        <v>0</v>
      </c>
      <c r="G8" s="55" t="s">
        <v>765</v>
      </c>
      <c r="H8" s="17"/>
      <c r="I8" s="56" t="s">
        <v>147</v>
      </c>
      <c r="J8" s="17" t="s">
        <v>1384</v>
      </c>
      <c r="K8" s="17" t="s">
        <v>601</v>
      </c>
      <c r="L8" s="17" t="s">
        <v>105</v>
      </c>
      <c r="M8" s="17"/>
      <c r="N8" s="17" t="s">
        <v>1404</v>
      </c>
      <c r="O8" s="17"/>
      <c r="P8" s="17" t="s">
        <v>1405</v>
      </c>
      <c r="Q8" s="17"/>
      <c r="R8" s="17" t="s">
        <v>108</v>
      </c>
      <c r="S8" s="17" t="s">
        <v>108</v>
      </c>
      <c r="T8" s="17" t="s">
        <v>109</v>
      </c>
      <c r="U8" s="17" t="s">
        <v>110</v>
      </c>
      <c r="V8" s="17" t="s">
        <v>111</v>
      </c>
      <c r="W8" s="17" t="s">
        <v>112</v>
      </c>
      <c r="X8" s="17" t="s">
        <v>150</v>
      </c>
      <c r="Y8" s="17" t="s">
        <v>217</v>
      </c>
      <c r="Z8" s="17" t="s">
        <v>114</v>
      </c>
      <c r="AA8" s="17" t="s">
        <v>115</v>
      </c>
      <c r="AB8" s="17"/>
      <c r="AC8" s="17"/>
      <c r="AD8" s="17" t="s">
        <v>115</v>
      </c>
      <c r="AE8" s="17" t="s">
        <v>116</v>
      </c>
      <c r="AF8" s="17"/>
      <c r="AG8" s="17"/>
      <c r="AH8" s="17" t="s">
        <v>116</v>
      </c>
      <c r="AI8" s="17" t="s">
        <v>357</v>
      </c>
      <c r="AJ8" s="17" t="s">
        <v>358</v>
      </c>
      <c r="AK8" s="17"/>
      <c r="AL8" s="17"/>
      <c r="AM8" s="17"/>
      <c r="AN8" s="17" t="s">
        <v>177</v>
      </c>
      <c r="AO8" s="17"/>
      <c r="AP8" s="17"/>
      <c r="AQ8" s="17"/>
      <c r="AR8" s="17"/>
      <c r="AS8" s="17"/>
      <c r="AT8" s="17" t="s">
        <v>1407</v>
      </c>
      <c r="AU8" s="57" t="str">
        <f>IF($AT8="","",IFERROR(INDEX(InstructorMap!$B:$B, MATCH($AT8, InstructorMap!$A:$A, 0)),""))</f>
        <v>mhanna@andrews.edu</v>
      </c>
      <c r="AV8" s="57" t="str">
        <f>IF($AT8="","",IFERROR(INDEX(InstructorMap!$C:$C, MATCH($AT8, InstructorMap!$A:$A, 0)),""))</f>
        <v>000057080</v>
      </c>
      <c r="AW8" s="17" t="s">
        <v>121</v>
      </c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 t="s">
        <v>1384</v>
      </c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 t="s">
        <v>146</v>
      </c>
      <c r="CT8" s="17" t="s">
        <v>133</v>
      </c>
      <c r="CU8" s="17"/>
      <c r="CV8" s="17"/>
    </row>
    <row r="9" spans="1:100" s="54" customFormat="1" x14ac:dyDescent="0.2">
      <c r="A9" s="33" t="b">
        <v>0</v>
      </c>
      <c r="B9" s="34" t="b">
        <v>0</v>
      </c>
      <c r="C9" s="33" t="b">
        <v>1</v>
      </c>
      <c r="D9" s="34" t="b">
        <v>0</v>
      </c>
      <c r="E9" s="34" t="b">
        <v>0</v>
      </c>
      <c r="F9" s="32" t="b">
        <v>0</v>
      </c>
      <c r="G9" s="150" t="s">
        <v>765</v>
      </c>
      <c r="H9" s="17"/>
      <c r="I9" s="56" t="s">
        <v>147</v>
      </c>
      <c r="J9" s="17" t="s">
        <v>1384</v>
      </c>
      <c r="K9" s="17" t="s">
        <v>1303</v>
      </c>
      <c r="L9" s="17" t="s">
        <v>137</v>
      </c>
      <c r="M9" s="17"/>
      <c r="N9" s="17" t="s">
        <v>1409</v>
      </c>
      <c r="O9" s="17"/>
      <c r="P9" s="17" t="s">
        <v>1410</v>
      </c>
      <c r="Q9" s="17"/>
      <c r="R9" s="17" t="s">
        <v>129</v>
      </c>
      <c r="S9" s="17"/>
      <c r="T9" s="17" t="s">
        <v>139</v>
      </c>
      <c r="U9" s="17" t="s">
        <v>140</v>
      </c>
      <c r="V9" s="17" t="s">
        <v>111</v>
      </c>
      <c r="W9" s="17" t="s">
        <v>112</v>
      </c>
      <c r="X9" s="17" t="s">
        <v>173</v>
      </c>
      <c r="Y9" s="17" t="s">
        <v>151</v>
      </c>
      <c r="Z9" s="17" t="s">
        <v>142</v>
      </c>
      <c r="AA9" s="17" t="s">
        <v>115</v>
      </c>
      <c r="AB9" s="17"/>
      <c r="AC9" s="17"/>
      <c r="AD9" s="17" t="s">
        <v>115</v>
      </c>
      <c r="AE9" s="17" t="s">
        <v>116</v>
      </c>
      <c r="AF9" s="17"/>
      <c r="AG9" s="17"/>
      <c r="AH9" s="17" t="s">
        <v>116</v>
      </c>
      <c r="AI9" s="17" t="s">
        <v>175</v>
      </c>
      <c r="AJ9" s="17" t="s">
        <v>237</v>
      </c>
      <c r="AK9" s="17"/>
      <c r="AL9" s="17"/>
      <c r="AM9" s="17" t="s">
        <v>211</v>
      </c>
      <c r="AN9" s="17"/>
      <c r="AO9" s="17"/>
      <c r="AP9" s="17"/>
      <c r="AQ9" s="17"/>
      <c r="AR9" s="17" t="s">
        <v>333</v>
      </c>
      <c r="AS9" s="17" t="s">
        <v>144</v>
      </c>
      <c r="AT9" s="17" t="s">
        <v>676</v>
      </c>
      <c r="AU9" s="57" t="str">
        <f>IF($AT9="","",IFERROR(INDEX(InstructorMap!$B:$B, MATCH($AT9, InstructorMap!$A:$A, 0)),""))</f>
        <v>jeroncic@andrews.edu</v>
      </c>
      <c r="AV9" s="57" t="str">
        <f>IF($AT9="","",IFERROR(INDEX(InstructorMap!$C:$C, MATCH($AT9, InstructorMap!$A:$A, 0)),""))</f>
        <v>000066942</v>
      </c>
      <c r="AW9" s="17" t="s">
        <v>121</v>
      </c>
      <c r="AX9" s="17" t="s">
        <v>122</v>
      </c>
      <c r="AY9" s="17"/>
      <c r="AZ9" s="17"/>
      <c r="BA9" s="17" t="s">
        <v>1387</v>
      </c>
      <c r="BB9" s="17"/>
      <c r="BC9" s="17"/>
      <c r="BD9" s="17"/>
      <c r="BE9" s="17"/>
      <c r="BF9" s="17"/>
      <c r="BG9" s="17"/>
      <c r="BH9" s="17" t="s">
        <v>1384</v>
      </c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 t="s">
        <v>146</v>
      </c>
      <c r="CT9" s="17" t="s">
        <v>133</v>
      </c>
      <c r="CU9" s="17"/>
      <c r="CV9" s="17"/>
    </row>
    <row r="10" spans="1:100" s="54" customFormat="1" x14ac:dyDescent="0.2">
      <c r="A10" s="33" t="b">
        <v>0</v>
      </c>
      <c r="B10" s="34" t="b">
        <v>0</v>
      </c>
      <c r="C10" s="33" t="b">
        <v>1</v>
      </c>
      <c r="D10" s="34" t="b">
        <v>0</v>
      </c>
      <c r="E10" s="34" t="b">
        <v>0</v>
      </c>
      <c r="F10" s="32" t="b">
        <v>0</v>
      </c>
      <c r="G10" s="150" t="s">
        <v>765</v>
      </c>
      <c r="H10" s="17"/>
      <c r="I10" s="56" t="s">
        <v>147</v>
      </c>
      <c r="J10" s="17" t="s">
        <v>1384</v>
      </c>
      <c r="K10" s="17" t="s">
        <v>1303</v>
      </c>
      <c r="L10" s="17" t="s">
        <v>105</v>
      </c>
      <c r="M10" s="17"/>
      <c r="N10" s="17" t="s">
        <v>1409</v>
      </c>
      <c r="O10" s="17"/>
      <c r="P10" s="17" t="s">
        <v>1410</v>
      </c>
      <c r="Q10" s="17"/>
      <c r="R10" s="17" t="s">
        <v>108</v>
      </c>
      <c r="S10" s="17"/>
      <c r="T10" s="17" t="s">
        <v>109</v>
      </c>
      <c r="U10" s="17" t="s">
        <v>110</v>
      </c>
      <c r="V10" s="17" t="s">
        <v>111</v>
      </c>
      <c r="W10" s="17" t="s">
        <v>112</v>
      </c>
      <c r="X10" s="17" t="s">
        <v>173</v>
      </c>
      <c r="Y10" s="17" t="s">
        <v>203</v>
      </c>
      <c r="Z10" s="17" t="s">
        <v>142</v>
      </c>
      <c r="AA10" s="17" t="s">
        <v>115</v>
      </c>
      <c r="AB10" s="17"/>
      <c r="AC10" s="17"/>
      <c r="AD10" s="17" t="s">
        <v>115</v>
      </c>
      <c r="AE10" s="17" t="s">
        <v>116</v>
      </c>
      <c r="AF10" s="17"/>
      <c r="AG10" s="17"/>
      <c r="AH10" s="17" t="s">
        <v>116</v>
      </c>
      <c r="AI10" s="17" t="s">
        <v>175</v>
      </c>
      <c r="AJ10" s="17" t="s">
        <v>237</v>
      </c>
      <c r="AK10" s="17"/>
      <c r="AL10" s="17"/>
      <c r="AM10" s="17" t="s">
        <v>211</v>
      </c>
      <c r="AN10" s="17"/>
      <c r="AO10" s="17"/>
      <c r="AP10" s="17"/>
      <c r="AQ10" s="17"/>
      <c r="AR10" s="17"/>
      <c r="AS10" s="17"/>
      <c r="AT10" s="17" t="s">
        <v>676</v>
      </c>
      <c r="AU10" s="57" t="str">
        <f>IF($AT10="","",IFERROR(INDEX(InstructorMap!$B:$B, MATCH($AT10, InstructorMap!$A:$A, 0)),""))</f>
        <v>jeroncic@andrews.edu</v>
      </c>
      <c r="AV10" s="57" t="str">
        <f>IF($AT10="","",IFERROR(INDEX(InstructorMap!$C:$C, MATCH($AT10, InstructorMap!$A:$A, 0)),""))</f>
        <v>000066942</v>
      </c>
      <c r="AW10" s="17" t="s">
        <v>121</v>
      </c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 t="s">
        <v>1384</v>
      </c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 t="s">
        <v>146</v>
      </c>
      <c r="CT10" s="17" t="s">
        <v>133</v>
      </c>
      <c r="CU10" s="17"/>
      <c r="CV10" s="17"/>
    </row>
    <row r="11" spans="1:100" x14ac:dyDescent="0.2">
      <c r="A11" s="26" t="b">
        <v>0</v>
      </c>
      <c r="B11" s="26" t="b">
        <v>0</v>
      </c>
      <c r="C11" s="26" t="b">
        <v>1</v>
      </c>
      <c r="D11" s="26" t="b">
        <v>0</v>
      </c>
      <c r="E11" s="26" t="b">
        <v>0</v>
      </c>
      <c r="F11" s="26" t="b">
        <v>0</v>
      </c>
      <c r="G11" s="89"/>
      <c r="H11" s="4" t="s">
        <v>1411</v>
      </c>
      <c r="I11" s="4" t="s">
        <v>1412</v>
      </c>
      <c r="J11" s="4" t="s">
        <v>1384</v>
      </c>
      <c r="K11" s="4" t="s">
        <v>409</v>
      </c>
      <c r="L11" s="4" t="s">
        <v>137</v>
      </c>
      <c r="M11" s="4"/>
      <c r="N11" s="4" t="s">
        <v>1413</v>
      </c>
      <c r="O11" s="4"/>
      <c r="P11" s="4"/>
      <c r="Q11" s="4"/>
      <c r="R11" s="4" t="s">
        <v>129</v>
      </c>
      <c r="S11" s="4"/>
      <c r="T11" s="4" t="s">
        <v>139</v>
      </c>
      <c r="U11" s="4" t="s">
        <v>140</v>
      </c>
      <c r="V11" s="4" t="s">
        <v>111</v>
      </c>
      <c r="W11" s="4" t="s">
        <v>112</v>
      </c>
      <c r="X11" s="4" t="s">
        <v>112</v>
      </c>
      <c r="Y11" s="4" t="s">
        <v>141</v>
      </c>
      <c r="Z11" s="4" t="s">
        <v>142</v>
      </c>
      <c r="AA11" s="4" t="s">
        <v>115</v>
      </c>
      <c r="AB11" s="4"/>
      <c r="AC11" s="4"/>
      <c r="AD11" s="4" t="s">
        <v>115</v>
      </c>
      <c r="AE11" s="4" t="s">
        <v>116</v>
      </c>
      <c r="AF11" s="4"/>
      <c r="AG11" s="4"/>
      <c r="AH11" s="4" t="s">
        <v>116</v>
      </c>
      <c r="AI11" s="4" t="s">
        <v>175</v>
      </c>
      <c r="AJ11" s="4" t="s">
        <v>237</v>
      </c>
      <c r="AK11" s="4"/>
      <c r="AL11" s="4"/>
      <c r="AM11" s="4"/>
      <c r="AN11" s="4" t="s">
        <v>177</v>
      </c>
      <c r="AO11" s="4"/>
      <c r="AP11" s="4"/>
      <c r="AQ11" s="4"/>
      <c r="AR11" s="4" t="s">
        <v>195</v>
      </c>
      <c r="AS11" s="4" t="s">
        <v>144</v>
      </c>
      <c r="AT11" s="4" t="s">
        <v>1407</v>
      </c>
      <c r="AU11" s="5" t="str">
        <f>IF($AT11="","",IFERROR(INDEX(InstructorMap!$B:$B, MATCH($AT11, InstructorMap!$A:$A, 0)),""))</f>
        <v>mhanna@andrews.edu</v>
      </c>
      <c r="AV11" s="5" t="str">
        <f>IF($AT11="","",IFERROR(INDEX(InstructorMap!$C:$C, MATCH($AT11, InstructorMap!$A:$A, 0)),""))</f>
        <v>000057080</v>
      </c>
      <c r="AW11" s="4" t="s">
        <v>121</v>
      </c>
      <c r="AX11" s="4" t="s">
        <v>122</v>
      </c>
      <c r="AY11" s="4"/>
      <c r="AZ11" s="4"/>
      <c r="BA11" s="4" t="s">
        <v>1387</v>
      </c>
      <c r="BB11" s="4"/>
      <c r="BC11" s="4"/>
      <c r="BD11" s="4"/>
      <c r="BE11" s="4"/>
      <c r="BF11" s="4"/>
      <c r="BG11" s="4"/>
      <c r="BH11" s="4" t="s">
        <v>1384</v>
      </c>
      <c r="BI11" s="4" t="s">
        <v>124</v>
      </c>
      <c r="BJ11" s="4" t="s">
        <v>125</v>
      </c>
      <c r="BK11" s="4"/>
      <c r="BL11" s="4" t="s">
        <v>125</v>
      </c>
      <c r="BM11" s="4"/>
      <c r="BN11" s="4"/>
      <c r="BO11" s="4" t="s">
        <v>127</v>
      </c>
      <c r="BP11" s="4"/>
      <c r="BQ11" s="4" t="s">
        <v>1414</v>
      </c>
      <c r="BR11" s="4"/>
      <c r="BS11" s="4"/>
      <c r="BT11" s="4" t="s">
        <v>128</v>
      </c>
      <c r="BU11" s="4" t="s">
        <v>129</v>
      </c>
      <c r="BV11" s="4" t="s">
        <v>145</v>
      </c>
      <c r="BW11" s="4" t="s">
        <v>130</v>
      </c>
      <c r="BX11" s="4"/>
      <c r="BY11" s="4"/>
      <c r="BZ11" s="4"/>
      <c r="CA11" s="4"/>
      <c r="CB11" s="4"/>
      <c r="CC11" s="4"/>
      <c r="CD11" s="4"/>
      <c r="CE11" s="4"/>
      <c r="CF11" s="4" t="s">
        <v>130</v>
      </c>
      <c r="CG11" s="4"/>
      <c r="CH11" s="4" t="s">
        <v>131</v>
      </c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 t="s">
        <v>146</v>
      </c>
      <c r="CT11" s="4" t="s">
        <v>133</v>
      </c>
      <c r="CU11" s="4" t="s">
        <v>134</v>
      </c>
      <c r="CV11" s="4"/>
    </row>
    <row r="12" spans="1:100" x14ac:dyDescent="0.2">
      <c r="A12" s="33" t="b">
        <v>0</v>
      </c>
      <c r="B12" s="34" t="b">
        <v>0</v>
      </c>
      <c r="C12" s="33" t="b">
        <v>1</v>
      </c>
      <c r="D12" s="34" t="b">
        <v>0</v>
      </c>
      <c r="E12" s="34" t="b">
        <v>0</v>
      </c>
      <c r="F12" s="32" t="b">
        <v>0</v>
      </c>
      <c r="G12" s="25" t="s">
        <v>765</v>
      </c>
      <c r="H12" s="11"/>
      <c r="I12" s="12" t="s">
        <v>199</v>
      </c>
      <c r="J12" s="11" t="s">
        <v>1384</v>
      </c>
      <c r="K12" s="11" t="s">
        <v>1415</v>
      </c>
      <c r="L12" s="11" t="s">
        <v>137</v>
      </c>
      <c r="M12" s="11"/>
      <c r="N12" s="17" t="s">
        <v>1416</v>
      </c>
      <c r="O12" s="11"/>
      <c r="P12" s="17" t="s">
        <v>1417</v>
      </c>
      <c r="Q12" s="11"/>
      <c r="R12" s="11" t="s">
        <v>129</v>
      </c>
      <c r="S12" s="11"/>
      <c r="T12" s="11" t="s">
        <v>139</v>
      </c>
      <c r="U12" s="11" t="s">
        <v>140</v>
      </c>
      <c r="V12" s="11" t="s">
        <v>111</v>
      </c>
      <c r="W12" s="11" t="s">
        <v>112</v>
      </c>
      <c r="X12" s="11" t="s">
        <v>173</v>
      </c>
      <c r="Y12" s="11" t="s">
        <v>203</v>
      </c>
      <c r="Z12" s="11" t="s">
        <v>142</v>
      </c>
      <c r="AA12" s="11" t="s">
        <v>115</v>
      </c>
      <c r="AB12" s="11"/>
      <c r="AC12" s="11"/>
      <c r="AD12" s="11" t="s">
        <v>115</v>
      </c>
      <c r="AE12" s="11" t="s">
        <v>116</v>
      </c>
      <c r="AF12" s="11"/>
      <c r="AG12" s="11"/>
      <c r="AH12" s="11" t="s">
        <v>116</v>
      </c>
      <c r="AI12" s="17" t="s">
        <v>117</v>
      </c>
      <c r="AJ12" s="17" t="s">
        <v>118</v>
      </c>
      <c r="AK12" s="11"/>
      <c r="AL12" s="11"/>
      <c r="AM12" s="11" t="s">
        <v>211</v>
      </c>
      <c r="AN12" s="11"/>
      <c r="AO12" s="11"/>
      <c r="AP12" s="11"/>
      <c r="AQ12" s="11"/>
      <c r="AR12" s="11" t="s">
        <v>178</v>
      </c>
      <c r="AS12" s="11" t="s">
        <v>144</v>
      </c>
      <c r="AT12" s="11" t="s">
        <v>676</v>
      </c>
      <c r="AU12" s="13" t="str">
        <f>IF($AT12="","",IFERROR(INDEX(InstructorMap!$B:$B, MATCH($AT12, InstructorMap!$A:$A, 0)),""))</f>
        <v>jeroncic@andrews.edu</v>
      </c>
      <c r="AV12" s="13" t="str">
        <f>IF($AT12="","",IFERROR(INDEX(InstructorMap!$C:$C, MATCH($AT12, InstructorMap!$A:$A, 0)),""))</f>
        <v>000066942</v>
      </c>
      <c r="AW12" s="11" t="s">
        <v>121</v>
      </c>
      <c r="AX12" s="11" t="s">
        <v>122</v>
      </c>
      <c r="AY12" s="11"/>
      <c r="AZ12" s="11"/>
      <c r="BA12" s="11" t="s">
        <v>1387</v>
      </c>
      <c r="BB12" s="11"/>
      <c r="BC12" s="11"/>
      <c r="BD12" s="11"/>
      <c r="BE12" s="11"/>
      <c r="BF12" s="11"/>
      <c r="BG12" s="11"/>
      <c r="BH12" s="11" t="s">
        <v>1384</v>
      </c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 t="s">
        <v>146</v>
      </c>
      <c r="CT12" s="11" t="s">
        <v>133</v>
      </c>
      <c r="CU12" s="11"/>
      <c r="CV12" s="11"/>
    </row>
    <row r="13" spans="1:100" x14ac:dyDescent="0.2">
      <c r="A13" s="33" t="b">
        <v>0</v>
      </c>
      <c r="B13" s="34" t="b">
        <v>0</v>
      </c>
      <c r="C13" s="34" t="b">
        <v>1</v>
      </c>
      <c r="D13" s="34" t="b">
        <v>0</v>
      </c>
      <c r="E13" s="34" t="b">
        <v>0</v>
      </c>
      <c r="F13" s="32" t="b">
        <v>0</v>
      </c>
      <c r="G13" s="88" t="s">
        <v>765</v>
      </c>
      <c r="H13" s="11"/>
      <c r="I13" s="12" t="s">
        <v>147</v>
      </c>
      <c r="J13" s="11" t="s">
        <v>1384</v>
      </c>
      <c r="K13" s="17" t="s">
        <v>454</v>
      </c>
      <c r="L13" s="11" t="s">
        <v>137</v>
      </c>
      <c r="M13" s="11"/>
      <c r="N13" s="17" t="s">
        <v>1418</v>
      </c>
      <c r="O13" s="11"/>
      <c r="P13" s="17"/>
      <c r="Q13" s="11"/>
      <c r="R13" s="11" t="s">
        <v>129</v>
      </c>
      <c r="S13" s="11"/>
      <c r="T13" s="11" t="s">
        <v>139</v>
      </c>
      <c r="U13" s="11" t="s">
        <v>140</v>
      </c>
      <c r="V13" s="11" t="s">
        <v>111</v>
      </c>
      <c r="W13" s="17" t="s">
        <v>112</v>
      </c>
      <c r="X13" s="17" t="s">
        <v>150</v>
      </c>
      <c r="Y13" s="11" t="s">
        <v>113</v>
      </c>
      <c r="Z13" s="11" t="s">
        <v>114</v>
      </c>
      <c r="AA13" s="11" t="s">
        <v>115</v>
      </c>
      <c r="AB13" s="11"/>
      <c r="AC13" s="11"/>
      <c r="AD13" s="11" t="s">
        <v>115</v>
      </c>
      <c r="AE13" s="11" t="s">
        <v>116</v>
      </c>
      <c r="AF13" s="11"/>
      <c r="AG13" s="11"/>
      <c r="AH13" s="11" t="s">
        <v>116</v>
      </c>
      <c r="AI13" s="17" t="s">
        <v>357</v>
      </c>
      <c r="AJ13" s="17" t="s">
        <v>358</v>
      </c>
      <c r="AK13" s="11"/>
      <c r="AL13" s="11"/>
      <c r="AM13" s="11"/>
      <c r="AN13" s="11"/>
      <c r="AO13" s="11" t="s">
        <v>221</v>
      </c>
      <c r="AP13" s="11"/>
      <c r="AQ13" s="11"/>
      <c r="AR13" s="11" t="s">
        <v>143</v>
      </c>
      <c r="AS13" s="11" t="s">
        <v>144</v>
      </c>
      <c r="AT13" s="11" t="s">
        <v>1419</v>
      </c>
      <c r="AU13" s="13" t="str">
        <f>IF($AT13="","",IFERROR(INDEX(InstructorMap!$B:$B, MATCH($AT13, InstructorMap!$A:$A, 0)),""))</f>
        <v>drewa@andrews.edu</v>
      </c>
      <c r="AV13" s="13" t="str">
        <f>IF($AT13="","",IFERROR(INDEX(InstructorMap!$C:$C, MATCH($AT13, InstructorMap!$A:$A, 0)),""))</f>
        <v>000043384</v>
      </c>
      <c r="AW13" s="11" t="s">
        <v>121</v>
      </c>
      <c r="AX13" s="11" t="s">
        <v>160</v>
      </c>
      <c r="AY13" s="11" t="s">
        <v>180</v>
      </c>
      <c r="AZ13" s="11" t="s">
        <v>960</v>
      </c>
      <c r="BA13" s="11" t="s">
        <v>1387</v>
      </c>
      <c r="BB13" s="11"/>
      <c r="BC13" s="11"/>
      <c r="BD13" s="11"/>
      <c r="BE13" s="11"/>
      <c r="BF13" s="11"/>
      <c r="BG13" s="11"/>
      <c r="BH13" s="11" t="s">
        <v>1384</v>
      </c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2" t="s">
        <v>147</v>
      </c>
      <c r="CT13" s="11" t="s">
        <v>133</v>
      </c>
      <c r="CU13" s="11"/>
      <c r="CV13" s="11"/>
    </row>
    <row r="14" spans="1:100" x14ac:dyDescent="0.2">
      <c r="A14" s="38" t="b">
        <v>0</v>
      </c>
      <c r="B14" s="39" t="b">
        <v>0</v>
      </c>
      <c r="C14" s="39" t="b">
        <v>1</v>
      </c>
      <c r="D14" s="39" t="b">
        <v>0</v>
      </c>
      <c r="E14" s="39" t="b">
        <v>0</v>
      </c>
      <c r="F14" s="38" t="b">
        <v>0</v>
      </c>
      <c r="G14" s="36"/>
      <c r="H14" s="6" t="s">
        <v>1420</v>
      </c>
      <c r="I14" s="6" t="s">
        <v>1421</v>
      </c>
      <c r="J14" s="6" t="s">
        <v>1384</v>
      </c>
      <c r="K14" s="6" t="s">
        <v>243</v>
      </c>
      <c r="L14" s="6" t="s">
        <v>297</v>
      </c>
      <c r="M14" s="6"/>
      <c r="N14" s="6" t="s">
        <v>245</v>
      </c>
      <c r="O14" s="6"/>
      <c r="P14" s="86"/>
      <c r="Q14" s="6" t="s">
        <v>1422</v>
      </c>
      <c r="R14" s="6" t="s">
        <v>129</v>
      </c>
      <c r="S14" s="6"/>
      <c r="T14" s="6"/>
      <c r="U14" s="6"/>
      <c r="V14" s="6" t="s">
        <v>111</v>
      </c>
      <c r="W14" s="6" t="s">
        <v>247</v>
      </c>
      <c r="X14" s="6" t="s">
        <v>247</v>
      </c>
      <c r="Y14" s="6" t="s">
        <v>148</v>
      </c>
      <c r="Z14" s="6" t="s">
        <v>142</v>
      </c>
      <c r="AA14" s="6" t="s">
        <v>115</v>
      </c>
      <c r="AB14" s="6"/>
      <c r="AC14" s="6"/>
      <c r="AD14" s="6" t="s">
        <v>115</v>
      </c>
      <c r="AE14" s="6" t="s">
        <v>116</v>
      </c>
      <c r="AF14" s="6"/>
      <c r="AG14" s="6"/>
      <c r="AH14" s="6" t="s">
        <v>116</v>
      </c>
      <c r="AI14" s="86"/>
      <c r="AJ14" s="86"/>
      <c r="AK14" s="6"/>
      <c r="AL14" s="6"/>
      <c r="AM14" s="6"/>
      <c r="AN14" s="6"/>
      <c r="AO14" s="6"/>
      <c r="AP14" s="6"/>
      <c r="AQ14" s="6"/>
      <c r="AR14" s="6"/>
      <c r="AS14" s="6"/>
      <c r="AT14" s="6" t="s">
        <v>676</v>
      </c>
      <c r="AU14" s="7" t="str">
        <f>IF($AT14="","",IFERROR(INDEX(InstructorMap!$B:$B, MATCH($AT14, InstructorMap!$A:$A, 0)),""))</f>
        <v>jeroncic@andrews.edu</v>
      </c>
      <c r="AV14" s="7" t="str">
        <f>IF($AT14="","",IFERROR(INDEX(InstructorMap!$C:$C, MATCH($AT14, InstructorMap!$A:$A, 0)),""))</f>
        <v>000066942</v>
      </c>
      <c r="AW14" s="6" t="s">
        <v>121</v>
      </c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 t="s">
        <v>1398</v>
      </c>
      <c r="BI14" s="6" t="s">
        <v>124</v>
      </c>
      <c r="BJ14" s="6" t="s">
        <v>125</v>
      </c>
      <c r="BK14" s="6"/>
      <c r="BL14" s="6" t="s">
        <v>249</v>
      </c>
      <c r="BM14" s="6"/>
      <c r="BN14" s="6"/>
      <c r="BO14" s="6" t="s">
        <v>127</v>
      </c>
      <c r="BP14" s="6"/>
      <c r="BQ14" s="6"/>
      <c r="BR14" s="6"/>
      <c r="BS14" s="6"/>
      <c r="BT14" s="6" t="s">
        <v>128</v>
      </c>
      <c r="BU14" s="6" t="s">
        <v>129</v>
      </c>
      <c r="BV14" s="6" t="s">
        <v>129</v>
      </c>
      <c r="BW14" s="6" t="s">
        <v>130</v>
      </c>
      <c r="BX14" s="6"/>
      <c r="BY14" s="6"/>
      <c r="BZ14" s="6"/>
      <c r="CA14" s="6"/>
      <c r="CB14" s="6"/>
      <c r="CC14" s="6"/>
      <c r="CD14" s="6"/>
      <c r="CE14" s="6"/>
      <c r="CF14" s="6" t="s">
        <v>130</v>
      </c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 t="s">
        <v>315</v>
      </c>
      <c r="CS14" s="6" t="s">
        <v>132</v>
      </c>
      <c r="CT14" s="6" t="s">
        <v>133</v>
      </c>
      <c r="CU14" s="6" t="s">
        <v>134</v>
      </c>
      <c r="CV14" s="6"/>
    </row>
    <row r="15" spans="1:100" x14ac:dyDescent="0.2">
      <c r="A15" s="38" t="b">
        <v>0</v>
      </c>
      <c r="B15" s="39" t="b">
        <v>0</v>
      </c>
      <c r="C15" s="39" t="b">
        <v>1</v>
      </c>
      <c r="D15" s="39" t="b">
        <v>0</v>
      </c>
      <c r="E15" s="39" t="b">
        <v>0</v>
      </c>
      <c r="F15" s="38" t="b">
        <v>0</v>
      </c>
      <c r="G15" s="36"/>
      <c r="H15" s="6" t="s">
        <v>1423</v>
      </c>
      <c r="I15" s="6" t="s">
        <v>1424</v>
      </c>
      <c r="J15" s="6" t="s">
        <v>1384</v>
      </c>
      <c r="K15" s="6" t="s">
        <v>243</v>
      </c>
      <c r="L15" s="6" t="s">
        <v>252</v>
      </c>
      <c r="M15" s="6"/>
      <c r="N15" s="6" t="s">
        <v>245</v>
      </c>
      <c r="O15" s="6" t="s">
        <v>245</v>
      </c>
      <c r="P15" s="86"/>
      <c r="Q15" s="6"/>
      <c r="R15" s="6" t="s">
        <v>129</v>
      </c>
      <c r="S15" s="6"/>
      <c r="T15" s="6"/>
      <c r="U15" s="6"/>
      <c r="V15" s="6" t="s">
        <v>111</v>
      </c>
      <c r="W15" s="6" t="s">
        <v>247</v>
      </c>
      <c r="X15" s="6" t="s">
        <v>247</v>
      </c>
      <c r="Y15" s="6" t="s">
        <v>148</v>
      </c>
      <c r="Z15" s="6" t="s">
        <v>142</v>
      </c>
      <c r="AA15" s="6" t="s">
        <v>115</v>
      </c>
      <c r="AB15" s="6"/>
      <c r="AC15" s="6"/>
      <c r="AD15" s="6" t="s">
        <v>115</v>
      </c>
      <c r="AE15" s="6" t="s">
        <v>116</v>
      </c>
      <c r="AF15" s="6"/>
      <c r="AG15" s="6"/>
      <c r="AH15" s="6" t="s">
        <v>116</v>
      </c>
      <c r="AI15" s="86"/>
      <c r="AJ15" s="86"/>
      <c r="AK15" s="6"/>
      <c r="AL15" s="6"/>
      <c r="AM15" s="6"/>
      <c r="AN15" s="6"/>
      <c r="AO15" s="6"/>
      <c r="AP15" s="6"/>
      <c r="AQ15" s="6"/>
      <c r="AR15" s="6"/>
      <c r="AS15" s="6"/>
      <c r="AT15" s="6" t="s">
        <v>1407</v>
      </c>
      <c r="AU15" s="7" t="str">
        <f>IF($AT15="","",IFERROR(INDEX(InstructorMap!$B:$B, MATCH($AT15, InstructorMap!$A:$A, 0)),""))</f>
        <v>mhanna@andrews.edu</v>
      </c>
      <c r="AV15" s="7" t="str">
        <f>IF($AT15="","",IFERROR(INDEX(InstructorMap!$C:$C, MATCH($AT15, InstructorMap!$A:$A, 0)),""))</f>
        <v>000057080</v>
      </c>
      <c r="AW15" s="6" t="s">
        <v>121</v>
      </c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 t="s">
        <v>1398</v>
      </c>
      <c r="BI15" s="6" t="s">
        <v>124</v>
      </c>
      <c r="BJ15" s="6" t="s">
        <v>125</v>
      </c>
      <c r="BK15" s="6"/>
      <c r="BL15" s="6" t="s">
        <v>249</v>
      </c>
      <c r="BM15" s="6"/>
      <c r="BN15" s="6"/>
      <c r="BO15" s="6" t="s">
        <v>127</v>
      </c>
      <c r="BP15" s="6"/>
      <c r="BQ15" s="6"/>
      <c r="BR15" s="6"/>
      <c r="BS15" s="6"/>
      <c r="BT15" s="6" t="s">
        <v>128</v>
      </c>
      <c r="BU15" s="6" t="s">
        <v>129</v>
      </c>
      <c r="BV15" s="6" t="s">
        <v>129</v>
      </c>
      <c r="BW15" s="6" t="s">
        <v>130</v>
      </c>
      <c r="BX15" s="6"/>
      <c r="BY15" s="6"/>
      <c r="BZ15" s="6"/>
      <c r="CA15" s="6"/>
      <c r="CB15" s="6"/>
      <c r="CC15" s="6"/>
      <c r="CD15" s="6"/>
      <c r="CE15" s="6"/>
      <c r="CF15" s="6" t="s">
        <v>130</v>
      </c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 t="s">
        <v>315</v>
      </c>
      <c r="CS15" s="6" t="s">
        <v>132</v>
      </c>
      <c r="CT15" s="6" t="s">
        <v>133</v>
      </c>
      <c r="CU15" s="6" t="s">
        <v>134</v>
      </c>
      <c r="CV15" s="6"/>
    </row>
    <row r="16" spans="1:100" x14ac:dyDescent="0.2">
      <c r="A16" s="38" t="b">
        <v>0</v>
      </c>
      <c r="B16" s="39" t="b">
        <v>0</v>
      </c>
      <c r="C16" s="39" t="b">
        <v>1</v>
      </c>
      <c r="D16" s="39" t="b">
        <v>0</v>
      </c>
      <c r="E16" s="39" t="b">
        <v>0</v>
      </c>
      <c r="F16" s="38" t="b">
        <v>0</v>
      </c>
      <c r="G16" s="36"/>
      <c r="H16" s="6" t="s">
        <v>1425</v>
      </c>
      <c r="I16" s="6" t="s">
        <v>1426</v>
      </c>
      <c r="J16" s="6" t="s">
        <v>1384</v>
      </c>
      <c r="K16" s="6" t="s">
        <v>243</v>
      </c>
      <c r="L16" s="6" t="s">
        <v>244</v>
      </c>
      <c r="M16" s="6"/>
      <c r="N16" s="6" t="s">
        <v>245</v>
      </c>
      <c r="O16" s="6"/>
      <c r="P16" s="86"/>
      <c r="Q16" s="6"/>
      <c r="R16" s="6" t="s">
        <v>129</v>
      </c>
      <c r="S16" s="6"/>
      <c r="T16" s="6"/>
      <c r="U16" s="6"/>
      <c r="V16" s="6" t="s">
        <v>111</v>
      </c>
      <c r="W16" s="6" t="s">
        <v>247</v>
      </c>
      <c r="X16" s="6" t="s">
        <v>247</v>
      </c>
      <c r="Y16" s="6" t="s">
        <v>148</v>
      </c>
      <c r="Z16" s="6" t="s">
        <v>142</v>
      </c>
      <c r="AA16" s="6" t="s">
        <v>115</v>
      </c>
      <c r="AB16" s="6"/>
      <c r="AC16" s="6"/>
      <c r="AD16" s="6" t="s">
        <v>115</v>
      </c>
      <c r="AE16" s="6" t="s">
        <v>116</v>
      </c>
      <c r="AF16" s="6"/>
      <c r="AG16" s="6"/>
      <c r="AH16" s="6" t="s">
        <v>116</v>
      </c>
      <c r="AI16" s="86"/>
      <c r="AJ16" s="86"/>
      <c r="AK16" s="6"/>
      <c r="AL16" s="6"/>
      <c r="AM16" s="6"/>
      <c r="AN16" s="6"/>
      <c r="AO16" s="6"/>
      <c r="AP16" s="6"/>
      <c r="AQ16" s="6"/>
      <c r="AR16" s="6"/>
      <c r="AS16" s="6"/>
      <c r="AT16" s="6" t="s">
        <v>1427</v>
      </c>
      <c r="AU16" s="7" t="str">
        <f>IF($AT16="","",IFERROR(INDEX(InstructorMap!$B:$B, MATCH($AT16, InstructorMap!$A:$A, 0)),""))</f>
        <v>jad@andrews.edu</v>
      </c>
      <c r="AV16" s="7" t="str">
        <f>IF($AT16="","",IFERROR(INDEX(InstructorMap!$C:$C, MATCH($AT16, InstructorMap!$A:$A, 0)),""))</f>
        <v>000012454</v>
      </c>
      <c r="AW16" s="6" t="s">
        <v>121</v>
      </c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 t="s">
        <v>1398</v>
      </c>
      <c r="BI16" s="6" t="s">
        <v>124</v>
      </c>
      <c r="BJ16" s="6" t="s">
        <v>125</v>
      </c>
      <c r="BK16" s="6"/>
      <c r="BL16" s="6" t="s">
        <v>249</v>
      </c>
      <c r="BM16" s="6"/>
      <c r="BN16" s="6"/>
      <c r="BO16" s="6" t="s">
        <v>127</v>
      </c>
      <c r="BP16" s="6"/>
      <c r="BQ16" s="6"/>
      <c r="BR16" s="6"/>
      <c r="BS16" s="6"/>
      <c r="BT16" s="6" t="s">
        <v>128</v>
      </c>
      <c r="BU16" s="6" t="s">
        <v>129</v>
      </c>
      <c r="BV16" s="6" t="s">
        <v>129</v>
      </c>
      <c r="BW16" s="6" t="s">
        <v>130</v>
      </c>
      <c r="BX16" s="6"/>
      <c r="BY16" s="6"/>
      <c r="BZ16" s="6"/>
      <c r="CA16" s="6"/>
      <c r="CB16" s="6"/>
      <c r="CC16" s="6"/>
      <c r="CD16" s="6"/>
      <c r="CE16" s="6"/>
      <c r="CF16" s="6" t="s">
        <v>130</v>
      </c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 t="s">
        <v>315</v>
      </c>
      <c r="CS16" s="6" t="s">
        <v>132</v>
      </c>
      <c r="CT16" s="6" t="s">
        <v>133</v>
      </c>
      <c r="CU16" s="6" t="s">
        <v>134</v>
      </c>
      <c r="CV16" s="6"/>
    </row>
    <row r="17" spans="1:100" x14ac:dyDescent="0.2">
      <c r="A17" s="66" t="b">
        <v>0</v>
      </c>
      <c r="B17" s="67" t="b">
        <v>0</v>
      </c>
      <c r="C17" s="67" t="b">
        <v>1</v>
      </c>
      <c r="D17" s="67" t="b">
        <v>0</v>
      </c>
      <c r="E17" s="67" t="b">
        <v>0</v>
      </c>
      <c r="F17" s="66" t="b">
        <v>0</v>
      </c>
      <c r="G17" s="60" t="s">
        <v>240</v>
      </c>
      <c r="H17" s="6" t="s">
        <v>1428</v>
      </c>
      <c r="I17" s="6" t="s">
        <v>1429</v>
      </c>
      <c r="J17" s="6" t="s">
        <v>1384</v>
      </c>
      <c r="K17" s="6" t="s">
        <v>243</v>
      </c>
      <c r="L17" s="6" t="s">
        <v>302</v>
      </c>
      <c r="M17" s="6"/>
      <c r="N17" s="6" t="s">
        <v>245</v>
      </c>
      <c r="O17" s="59"/>
      <c r="P17" s="86"/>
      <c r="Q17" s="6"/>
      <c r="R17" s="6" t="s">
        <v>129</v>
      </c>
      <c r="S17" s="6"/>
      <c r="T17" s="6"/>
      <c r="U17" s="6"/>
      <c r="V17" s="6" t="s">
        <v>111</v>
      </c>
      <c r="W17" s="6" t="s">
        <v>247</v>
      </c>
      <c r="X17" s="6" t="s">
        <v>247</v>
      </c>
      <c r="Y17" s="6" t="s">
        <v>203</v>
      </c>
      <c r="Z17" s="6" t="s">
        <v>142</v>
      </c>
      <c r="AA17" s="6" t="s">
        <v>115</v>
      </c>
      <c r="AB17" s="6"/>
      <c r="AC17" s="6"/>
      <c r="AD17" s="6" t="s">
        <v>115</v>
      </c>
      <c r="AE17" s="6" t="s">
        <v>116</v>
      </c>
      <c r="AF17" s="6"/>
      <c r="AG17" s="6"/>
      <c r="AH17" s="6" t="s">
        <v>116</v>
      </c>
      <c r="AI17" s="86"/>
      <c r="AJ17" s="86"/>
      <c r="AK17" s="6"/>
      <c r="AL17" s="6"/>
      <c r="AM17" s="6"/>
      <c r="AN17" s="6"/>
      <c r="AO17" s="6"/>
      <c r="AP17" s="6"/>
      <c r="AQ17" s="6"/>
      <c r="AR17" s="6"/>
      <c r="AS17" s="6"/>
      <c r="AT17" s="6" t="s">
        <v>1430</v>
      </c>
      <c r="AU17" s="7" t="str">
        <f>IF($AT17="","",IFERROR(INDEX(InstructorMap!$B:$B, MATCH($AT17, InstructorMap!$A:$A, 0)),""))</f>
        <v>adriani@andrews.edu</v>
      </c>
      <c r="AV17" s="7" t="str">
        <f>IF($AT17="","",IFERROR(INDEX(InstructorMap!$C:$C, MATCH($AT17, InstructorMap!$A:$A, 0)),""))</f>
        <v>000145425</v>
      </c>
      <c r="AW17" s="6" t="s">
        <v>121</v>
      </c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 t="s">
        <v>1398</v>
      </c>
      <c r="BI17" s="6" t="s">
        <v>124</v>
      </c>
      <c r="BJ17" s="6" t="s">
        <v>125</v>
      </c>
      <c r="BK17" s="6" t="s">
        <v>134</v>
      </c>
      <c r="BL17" s="6" t="s">
        <v>249</v>
      </c>
      <c r="BM17" s="6"/>
      <c r="BN17" s="6"/>
      <c r="BO17" s="6" t="s">
        <v>127</v>
      </c>
      <c r="BP17" s="6"/>
      <c r="BQ17" s="6"/>
      <c r="BR17" s="6"/>
      <c r="BS17" s="6"/>
      <c r="BT17" s="6" t="s">
        <v>128</v>
      </c>
      <c r="BU17" s="6" t="s">
        <v>129</v>
      </c>
      <c r="BV17" s="6" t="s">
        <v>129</v>
      </c>
      <c r="BW17" s="6" t="s">
        <v>130</v>
      </c>
      <c r="BX17" s="6"/>
      <c r="BY17" s="6"/>
      <c r="BZ17" s="6"/>
      <c r="CA17" s="6"/>
      <c r="CB17" s="6"/>
      <c r="CC17" s="6"/>
      <c r="CD17" s="6"/>
      <c r="CE17" s="6"/>
      <c r="CF17" s="6" t="s">
        <v>130</v>
      </c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 t="s">
        <v>249</v>
      </c>
      <c r="CS17" s="6" t="s">
        <v>132</v>
      </c>
      <c r="CT17" s="6" t="s">
        <v>133</v>
      </c>
      <c r="CU17" s="6" t="s">
        <v>134</v>
      </c>
      <c r="CV17" s="6"/>
    </row>
    <row r="18" spans="1:100" x14ac:dyDescent="0.2">
      <c r="A18" s="33" t="b">
        <v>0</v>
      </c>
      <c r="B18" s="34" t="b">
        <v>0</v>
      </c>
      <c r="C18" s="33" t="b">
        <v>1</v>
      </c>
      <c r="D18" s="34" t="b">
        <v>0</v>
      </c>
      <c r="E18" s="34" t="b">
        <v>0</v>
      </c>
      <c r="F18" s="32" t="b">
        <v>0</v>
      </c>
      <c r="G18" s="25" t="s">
        <v>765</v>
      </c>
      <c r="H18" s="11"/>
      <c r="I18" s="12" t="s">
        <v>199</v>
      </c>
      <c r="J18" s="11" t="s">
        <v>1384</v>
      </c>
      <c r="K18" s="11" t="s">
        <v>1431</v>
      </c>
      <c r="L18" s="11" t="s">
        <v>137</v>
      </c>
      <c r="M18" s="11"/>
      <c r="N18" s="17" t="s">
        <v>1432</v>
      </c>
      <c r="O18" s="11"/>
      <c r="P18" s="17" t="s">
        <v>1433</v>
      </c>
      <c r="Q18" s="11"/>
      <c r="R18" s="11" t="s">
        <v>129</v>
      </c>
      <c r="S18" s="11"/>
      <c r="T18" s="11" t="s">
        <v>139</v>
      </c>
      <c r="U18" s="11" t="s">
        <v>140</v>
      </c>
      <c r="V18" s="11" t="s">
        <v>111</v>
      </c>
      <c r="W18" s="11" t="s">
        <v>112</v>
      </c>
      <c r="X18" s="11" t="s">
        <v>112</v>
      </c>
      <c r="Y18" s="11" t="s">
        <v>1110</v>
      </c>
      <c r="Z18" s="11" t="s">
        <v>142</v>
      </c>
      <c r="AA18" s="11" t="s">
        <v>115</v>
      </c>
      <c r="AB18" s="11"/>
      <c r="AC18" s="11"/>
      <c r="AD18" s="11" t="s">
        <v>115</v>
      </c>
      <c r="AE18" s="11" t="s">
        <v>116</v>
      </c>
      <c r="AF18" s="11"/>
      <c r="AG18" s="11"/>
      <c r="AH18" s="11" t="s">
        <v>116</v>
      </c>
      <c r="AI18" s="17" t="s">
        <v>117</v>
      </c>
      <c r="AJ18" s="17" t="s">
        <v>118</v>
      </c>
      <c r="AK18" s="11"/>
      <c r="AL18" s="11"/>
      <c r="AM18" s="11"/>
      <c r="AN18" s="11"/>
      <c r="AO18" s="11" t="s">
        <v>221</v>
      </c>
      <c r="AP18" s="11"/>
      <c r="AQ18" s="11"/>
      <c r="AR18" s="11" t="s">
        <v>232</v>
      </c>
      <c r="AS18" s="11" t="s">
        <v>144</v>
      </c>
      <c r="AT18" s="11" t="s">
        <v>1419</v>
      </c>
      <c r="AU18" s="13" t="str">
        <f>IF($AT18="","",IFERROR(INDEX(InstructorMap!$B:$B, MATCH($AT18, InstructorMap!$A:$A, 0)),""))</f>
        <v>drewa@andrews.edu</v>
      </c>
      <c r="AV18" s="13" t="str">
        <f>IF($AT18="","",IFERROR(INDEX(InstructorMap!$C:$C, MATCH($AT18, InstructorMap!$A:$A, 0)),""))</f>
        <v>000043384</v>
      </c>
      <c r="AW18" s="11" t="s">
        <v>121</v>
      </c>
      <c r="AX18" s="11" t="s">
        <v>160</v>
      </c>
      <c r="AY18" s="11" t="s">
        <v>180</v>
      </c>
      <c r="AZ18" s="11" t="s">
        <v>960</v>
      </c>
      <c r="BA18" s="11" t="s">
        <v>1387</v>
      </c>
      <c r="BB18" s="11"/>
      <c r="BC18" s="11"/>
      <c r="BD18" s="11"/>
      <c r="BE18" s="11"/>
      <c r="BF18" s="11"/>
      <c r="BG18" s="11"/>
      <c r="BH18" s="11" t="s">
        <v>1384</v>
      </c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 t="s">
        <v>146</v>
      </c>
      <c r="CT18" s="11" t="s">
        <v>133</v>
      </c>
      <c r="CU18" s="11"/>
      <c r="CV18" s="11"/>
    </row>
    <row r="19" spans="1:100" s="51" customFormat="1" x14ac:dyDescent="0.2">
      <c r="A19" s="62" t="b">
        <v>0</v>
      </c>
      <c r="B19" s="62" t="b">
        <v>0</v>
      </c>
      <c r="C19" s="62" t="b">
        <v>1</v>
      </c>
      <c r="D19" s="62" t="b">
        <v>0</v>
      </c>
      <c r="E19" s="62" t="b">
        <v>0</v>
      </c>
      <c r="F19" s="62" t="b">
        <v>0</v>
      </c>
      <c r="G19" s="60" t="s">
        <v>1401</v>
      </c>
      <c r="H19" s="6" t="s">
        <v>1434</v>
      </c>
      <c r="I19" s="6" t="s">
        <v>1435</v>
      </c>
      <c r="J19" s="6" t="s">
        <v>1384</v>
      </c>
      <c r="K19" s="6" t="s">
        <v>267</v>
      </c>
      <c r="L19" s="6" t="s">
        <v>137</v>
      </c>
      <c r="M19" s="6"/>
      <c r="N19" s="6" t="s">
        <v>455</v>
      </c>
      <c r="O19" s="6" t="s">
        <v>1436</v>
      </c>
      <c r="P19" s="4" t="s">
        <v>1405</v>
      </c>
      <c r="Q19" s="6" t="s">
        <v>1406</v>
      </c>
      <c r="R19" s="6" t="s">
        <v>129</v>
      </c>
      <c r="S19" s="6"/>
      <c r="T19" s="6" t="s">
        <v>139</v>
      </c>
      <c r="U19" s="6" t="s">
        <v>140</v>
      </c>
      <c r="V19" s="6" t="s">
        <v>239</v>
      </c>
      <c r="W19" s="6" t="s">
        <v>247</v>
      </c>
      <c r="X19" s="6" t="s">
        <v>173</v>
      </c>
      <c r="Y19" s="6" t="s">
        <v>203</v>
      </c>
      <c r="Z19" s="6" t="s">
        <v>142</v>
      </c>
      <c r="AA19" s="6" t="s">
        <v>115</v>
      </c>
      <c r="AB19" s="6"/>
      <c r="AC19" s="6"/>
      <c r="AD19" s="6" t="s">
        <v>115</v>
      </c>
      <c r="AE19" s="6" t="s">
        <v>116</v>
      </c>
      <c r="AF19" s="6"/>
      <c r="AG19" s="6"/>
      <c r="AH19" s="6" t="s">
        <v>116</v>
      </c>
      <c r="AI19" s="86" t="s">
        <v>357</v>
      </c>
      <c r="AJ19" s="86" t="s">
        <v>358</v>
      </c>
      <c r="AK19" s="6"/>
      <c r="AL19" s="6"/>
      <c r="AM19" s="6"/>
      <c r="AN19" s="6" t="s">
        <v>177</v>
      </c>
      <c r="AO19" s="6"/>
      <c r="AP19" s="6"/>
      <c r="AQ19" s="6"/>
      <c r="AR19" s="6" t="s">
        <v>725</v>
      </c>
      <c r="AS19" s="6" t="s">
        <v>144</v>
      </c>
      <c r="AT19" s="6" t="s">
        <v>1407</v>
      </c>
      <c r="AU19" s="7" t="str">
        <f>IF($AT19="","",IFERROR(INDEX(InstructorMap!$B:$B, MATCH($AT19, InstructorMap!$A:$A, 0)),""))</f>
        <v>mhanna@andrews.edu</v>
      </c>
      <c r="AV19" s="7" t="str">
        <f>IF($AT19="","",IFERROR(INDEX(InstructorMap!$C:$C, MATCH($AT19, InstructorMap!$A:$A, 0)),""))</f>
        <v>000057080</v>
      </c>
      <c r="AW19" s="6" t="s">
        <v>121</v>
      </c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 t="s">
        <v>1398</v>
      </c>
      <c r="BI19" s="6" t="s">
        <v>124</v>
      </c>
      <c r="BJ19" s="6" t="s">
        <v>125</v>
      </c>
      <c r="BK19" s="6"/>
      <c r="BL19" s="6" t="s">
        <v>125</v>
      </c>
      <c r="BM19" s="6"/>
      <c r="BN19" s="6"/>
      <c r="BO19" s="6" t="s">
        <v>127</v>
      </c>
      <c r="BP19" s="6"/>
      <c r="BQ19" s="6"/>
      <c r="BR19" s="6"/>
      <c r="BS19" s="6"/>
      <c r="BT19" s="6" t="s">
        <v>128</v>
      </c>
      <c r="BU19" s="6" t="s">
        <v>129</v>
      </c>
      <c r="BV19" s="6" t="s">
        <v>129</v>
      </c>
      <c r="BW19" s="6"/>
      <c r="BX19" s="6"/>
      <c r="BY19" s="6"/>
      <c r="BZ19" s="6"/>
      <c r="CA19" s="6"/>
      <c r="CB19" s="6"/>
      <c r="CC19" s="6"/>
      <c r="CD19" s="6"/>
      <c r="CE19" s="6"/>
      <c r="CF19" s="6" t="s">
        <v>130</v>
      </c>
      <c r="CG19" s="6"/>
      <c r="CH19" s="6" t="s">
        <v>131</v>
      </c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 t="s">
        <v>132</v>
      </c>
      <c r="CT19" s="6" t="s">
        <v>133</v>
      </c>
      <c r="CU19" s="6" t="s">
        <v>134</v>
      </c>
      <c r="CV19" s="6"/>
    </row>
    <row r="20" spans="1:100" s="54" customFormat="1" x14ac:dyDescent="0.2">
      <c r="A20" s="160" t="b">
        <v>0</v>
      </c>
      <c r="B20" s="160" t="b">
        <v>0</v>
      </c>
      <c r="C20" s="160" t="b">
        <v>1</v>
      </c>
      <c r="D20" s="160" t="b">
        <v>0</v>
      </c>
      <c r="E20" s="160" t="b">
        <v>0</v>
      </c>
      <c r="F20" s="160" t="b">
        <v>0</v>
      </c>
      <c r="G20" s="61" t="s">
        <v>765</v>
      </c>
      <c r="H20" s="17"/>
      <c r="I20" s="17"/>
      <c r="J20" s="17" t="s">
        <v>1384</v>
      </c>
      <c r="K20" s="17" t="s">
        <v>267</v>
      </c>
      <c r="L20" s="17" t="s">
        <v>105</v>
      </c>
      <c r="M20" s="17"/>
      <c r="N20" s="17" t="s">
        <v>455</v>
      </c>
      <c r="O20" s="17" t="s">
        <v>1436</v>
      </c>
      <c r="P20" s="17" t="s">
        <v>1405</v>
      </c>
      <c r="Q20" s="17"/>
      <c r="R20" s="17" t="s">
        <v>108</v>
      </c>
      <c r="S20" s="17" t="s">
        <v>108</v>
      </c>
      <c r="T20" s="17" t="s">
        <v>109</v>
      </c>
      <c r="U20" s="17" t="s">
        <v>110</v>
      </c>
      <c r="V20" s="17" t="s">
        <v>239</v>
      </c>
      <c r="W20" s="17" t="s">
        <v>247</v>
      </c>
      <c r="X20" s="17" t="s">
        <v>173</v>
      </c>
      <c r="Y20" s="17" t="s">
        <v>203</v>
      </c>
      <c r="Z20" s="17" t="s">
        <v>142</v>
      </c>
      <c r="AA20" s="17" t="s">
        <v>115</v>
      </c>
      <c r="AB20" s="17"/>
      <c r="AC20" s="17"/>
      <c r="AD20" s="17" t="s">
        <v>115</v>
      </c>
      <c r="AE20" s="17" t="s">
        <v>116</v>
      </c>
      <c r="AF20" s="17"/>
      <c r="AG20" s="17"/>
      <c r="AH20" s="17" t="s">
        <v>116</v>
      </c>
      <c r="AI20" s="17" t="s">
        <v>357</v>
      </c>
      <c r="AJ20" s="17" t="s">
        <v>358</v>
      </c>
      <c r="AK20" s="17"/>
      <c r="AL20" s="17"/>
      <c r="AM20" s="17"/>
      <c r="AN20" s="17" t="s">
        <v>177</v>
      </c>
      <c r="AO20" s="17"/>
      <c r="AP20" s="17"/>
      <c r="AQ20" s="17"/>
      <c r="AR20" s="17"/>
      <c r="AS20" s="17"/>
      <c r="AT20" s="17" t="s">
        <v>1407</v>
      </c>
      <c r="AU20" s="57" t="str">
        <f>IF($AT20="","",IFERROR(INDEX(InstructorMap!$B:$B, MATCH($AT20, InstructorMap!$A:$A, 0)),""))</f>
        <v>mhanna@andrews.edu</v>
      </c>
      <c r="AV20" s="57" t="str">
        <f>IF($AT20="","",IFERROR(INDEX(InstructorMap!$C:$C, MATCH($AT20, InstructorMap!$A:$A, 0)),""))</f>
        <v>000057080</v>
      </c>
      <c r="AW20" s="17" t="s">
        <v>121</v>
      </c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 t="s">
        <v>1398</v>
      </c>
      <c r="BI20" s="17" t="s">
        <v>124</v>
      </c>
      <c r="BJ20" s="17" t="s">
        <v>125</v>
      </c>
      <c r="BK20" s="17"/>
      <c r="BL20" s="17" t="s">
        <v>125</v>
      </c>
      <c r="BM20" s="17"/>
      <c r="BN20" s="17"/>
      <c r="BO20" s="17" t="s">
        <v>127</v>
      </c>
      <c r="BP20" s="17"/>
      <c r="BQ20" s="17"/>
      <c r="BR20" s="17"/>
      <c r="BS20" s="17"/>
      <c r="BT20" s="17" t="s">
        <v>128</v>
      </c>
      <c r="BU20" s="17" t="s">
        <v>129</v>
      </c>
      <c r="BV20" s="17" t="s">
        <v>129</v>
      </c>
      <c r="BW20" s="17"/>
      <c r="BX20" s="17"/>
      <c r="BY20" s="17"/>
      <c r="BZ20" s="17"/>
      <c r="CA20" s="17"/>
      <c r="CB20" s="17"/>
      <c r="CC20" s="17"/>
      <c r="CD20" s="17"/>
      <c r="CE20" s="17"/>
      <c r="CF20" s="17" t="s">
        <v>130</v>
      </c>
      <c r="CG20" s="17"/>
      <c r="CH20" s="17" t="s">
        <v>131</v>
      </c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 t="s">
        <v>132</v>
      </c>
      <c r="CT20" s="17" t="s">
        <v>133</v>
      </c>
      <c r="CU20" s="17" t="s">
        <v>134</v>
      </c>
      <c r="CV20" s="17"/>
    </row>
    <row r="21" spans="1:100" x14ac:dyDescent="0.2">
      <c r="A21" s="66" t="b">
        <v>0</v>
      </c>
      <c r="B21" s="67" t="b">
        <v>0</v>
      </c>
      <c r="C21" s="67" t="b">
        <v>1</v>
      </c>
      <c r="D21" s="67" t="b">
        <v>0</v>
      </c>
      <c r="E21" s="67" t="b">
        <v>0</v>
      </c>
      <c r="F21" s="66" t="b">
        <v>0</v>
      </c>
      <c r="G21" s="121" t="s">
        <v>1437</v>
      </c>
      <c r="H21" s="86" t="s">
        <v>1438</v>
      </c>
      <c r="I21" s="86" t="s">
        <v>1439</v>
      </c>
      <c r="J21" s="86" t="s">
        <v>1384</v>
      </c>
      <c r="K21" s="86" t="s">
        <v>267</v>
      </c>
      <c r="L21" s="86" t="s">
        <v>216</v>
      </c>
      <c r="M21" s="86"/>
      <c r="N21" s="86" t="s">
        <v>455</v>
      </c>
      <c r="O21" s="59" t="s">
        <v>1440</v>
      </c>
      <c r="P21" s="59" t="s">
        <v>1433</v>
      </c>
      <c r="Q21" s="86" t="s">
        <v>1441</v>
      </c>
      <c r="R21" s="86" t="s">
        <v>129</v>
      </c>
      <c r="S21" s="86"/>
      <c r="T21" s="86" t="s">
        <v>139</v>
      </c>
      <c r="U21" s="86" t="s">
        <v>140</v>
      </c>
      <c r="V21" s="86" t="s">
        <v>239</v>
      </c>
      <c r="W21" s="86" t="s">
        <v>247</v>
      </c>
      <c r="X21" s="86" t="s">
        <v>247</v>
      </c>
      <c r="Y21" s="86" t="s">
        <v>203</v>
      </c>
      <c r="Z21" s="86" t="s">
        <v>142</v>
      </c>
      <c r="AA21" s="86" t="s">
        <v>115</v>
      </c>
      <c r="AB21" s="86"/>
      <c r="AC21" s="86"/>
      <c r="AD21" s="86" t="s">
        <v>115</v>
      </c>
      <c r="AE21" s="86" t="s">
        <v>116</v>
      </c>
      <c r="AF21" s="86"/>
      <c r="AG21" s="86"/>
      <c r="AH21" s="86" t="s">
        <v>116</v>
      </c>
      <c r="AI21" s="86" t="s">
        <v>117</v>
      </c>
      <c r="AJ21" s="86" t="s">
        <v>118</v>
      </c>
      <c r="AK21" s="86"/>
      <c r="AL21" s="86"/>
      <c r="AM21" s="86"/>
      <c r="AN21" s="86"/>
      <c r="AO21" s="59" t="s">
        <v>221</v>
      </c>
      <c r="AP21" s="86"/>
      <c r="AQ21" s="86"/>
      <c r="AR21" s="86" t="s">
        <v>232</v>
      </c>
      <c r="AS21" s="86" t="s">
        <v>144</v>
      </c>
      <c r="AT21" s="59" t="s">
        <v>1419</v>
      </c>
      <c r="AU21" s="120" t="str">
        <f>IF($AT21="","",IFERROR(INDEX(InstructorMap!$B:$B, MATCH($AT21, InstructorMap!$A:$A, 0)),""))</f>
        <v>drewa@andrews.edu</v>
      </c>
      <c r="AV21" s="120" t="str">
        <f>IF($AT21="","",IFERROR(INDEX(InstructorMap!$C:$C, MATCH($AT21, InstructorMap!$A:$A, 0)),""))</f>
        <v>000043384</v>
      </c>
      <c r="AW21" s="86" t="s">
        <v>121</v>
      </c>
      <c r="AX21" s="86"/>
      <c r="AY21" s="86"/>
      <c r="AZ21" s="86"/>
      <c r="BA21" s="86"/>
      <c r="BB21" s="86"/>
      <c r="BC21" s="86"/>
      <c r="BD21" s="86"/>
      <c r="BE21" s="86"/>
      <c r="BF21" s="86"/>
      <c r="BG21" s="86"/>
      <c r="BH21" s="86" t="s">
        <v>1398</v>
      </c>
      <c r="BI21" s="86" t="s">
        <v>124</v>
      </c>
      <c r="BJ21" s="86" t="s">
        <v>125</v>
      </c>
      <c r="BK21" s="86"/>
      <c r="BL21" s="86" t="s">
        <v>125</v>
      </c>
      <c r="BM21" s="86"/>
      <c r="BN21" s="86"/>
      <c r="BO21" s="86" t="s">
        <v>127</v>
      </c>
      <c r="BP21" s="86"/>
      <c r="BQ21" s="86"/>
      <c r="BR21" s="86"/>
      <c r="BS21" s="86"/>
      <c r="BT21" s="86" t="s">
        <v>128</v>
      </c>
      <c r="BU21" s="86" t="s">
        <v>129</v>
      </c>
      <c r="BV21" s="86" t="s">
        <v>129</v>
      </c>
      <c r="BW21" s="86" t="s">
        <v>130</v>
      </c>
      <c r="BX21" s="86" t="s">
        <v>131</v>
      </c>
      <c r="BY21" s="86"/>
      <c r="BZ21" s="86"/>
      <c r="CA21" s="86"/>
      <c r="CB21" s="86"/>
      <c r="CC21" s="86"/>
      <c r="CD21" s="86"/>
      <c r="CE21" s="86"/>
      <c r="CF21" s="86" t="s">
        <v>130</v>
      </c>
      <c r="CG21" s="86"/>
      <c r="CH21" s="86" t="s">
        <v>131</v>
      </c>
      <c r="CI21" s="86"/>
      <c r="CJ21" s="86"/>
      <c r="CK21" s="86"/>
      <c r="CL21" s="86"/>
      <c r="CM21" s="86"/>
      <c r="CN21" s="86"/>
      <c r="CO21" s="86"/>
      <c r="CP21" s="86"/>
      <c r="CQ21" s="86"/>
      <c r="CR21" s="86"/>
      <c r="CS21" s="86" t="s">
        <v>132</v>
      </c>
      <c r="CT21" s="86" t="s">
        <v>133</v>
      </c>
      <c r="CU21" s="86" t="s">
        <v>134</v>
      </c>
      <c r="CV21" s="86"/>
    </row>
    <row r="22" spans="1:100" s="54" customFormat="1" x14ac:dyDescent="0.2">
      <c r="A22" s="33" t="b">
        <v>0</v>
      </c>
      <c r="B22" s="34" t="b">
        <v>0</v>
      </c>
      <c r="C22" s="33" t="b">
        <v>1</v>
      </c>
      <c r="D22" s="34" t="b">
        <v>0</v>
      </c>
      <c r="E22" s="34" t="b">
        <v>0</v>
      </c>
      <c r="F22" s="32" t="b">
        <v>0</v>
      </c>
      <c r="G22" s="150" t="s">
        <v>765</v>
      </c>
      <c r="H22" s="17"/>
      <c r="I22" s="56" t="s">
        <v>199</v>
      </c>
      <c r="J22" s="17" t="s">
        <v>1384</v>
      </c>
      <c r="K22" s="17" t="s">
        <v>267</v>
      </c>
      <c r="L22" s="17" t="s">
        <v>560</v>
      </c>
      <c r="M22" s="17"/>
      <c r="N22" s="17" t="s">
        <v>455</v>
      </c>
      <c r="O22" s="17" t="s">
        <v>1442</v>
      </c>
      <c r="P22" s="17" t="s">
        <v>1410</v>
      </c>
      <c r="Q22" s="17"/>
      <c r="R22" s="17" t="s">
        <v>129</v>
      </c>
      <c r="S22" s="17"/>
      <c r="T22" s="17" t="s">
        <v>139</v>
      </c>
      <c r="U22" s="17" t="s">
        <v>140</v>
      </c>
      <c r="V22" s="17" t="s">
        <v>239</v>
      </c>
      <c r="W22" s="17" t="s">
        <v>247</v>
      </c>
      <c r="X22" s="17" t="s">
        <v>173</v>
      </c>
      <c r="Y22" s="17" t="s">
        <v>203</v>
      </c>
      <c r="Z22" s="17" t="s">
        <v>142</v>
      </c>
      <c r="AA22" s="17" t="s">
        <v>115</v>
      </c>
      <c r="AB22" s="17"/>
      <c r="AC22" s="17"/>
      <c r="AD22" s="17" t="s">
        <v>115</v>
      </c>
      <c r="AE22" s="17" t="s">
        <v>116</v>
      </c>
      <c r="AF22" s="17"/>
      <c r="AG22" s="17"/>
      <c r="AH22" s="17" t="s">
        <v>116</v>
      </c>
      <c r="AI22" s="17" t="s">
        <v>175</v>
      </c>
      <c r="AJ22" s="17" t="s">
        <v>237</v>
      </c>
      <c r="AK22" s="17"/>
      <c r="AL22" s="17"/>
      <c r="AM22" s="17" t="s">
        <v>211</v>
      </c>
      <c r="AN22" s="17"/>
      <c r="AO22" s="17"/>
      <c r="AP22" s="17"/>
      <c r="AQ22" s="17"/>
      <c r="AR22" s="17" t="s">
        <v>333</v>
      </c>
      <c r="AS22" s="17" t="s">
        <v>144</v>
      </c>
      <c r="AT22" s="17" t="s">
        <v>676</v>
      </c>
      <c r="AU22" s="57" t="str">
        <f>IF($AT22="","",IFERROR(INDEX(InstructorMap!$B:$B, MATCH($AT22, InstructorMap!$A:$A, 0)),""))</f>
        <v>jeroncic@andrews.edu</v>
      </c>
      <c r="AV22" s="57" t="str">
        <f>IF($AT22="","",IFERROR(INDEX(InstructorMap!$C:$C, MATCH($AT22, InstructorMap!$A:$A, 0)),""))</f>
        <v>000066942</v>
      </c>
      <c r="AW22" s="17" t="s">
        <v>121</v>
      </c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 t="s">
        <v>1384</v>
      </c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 t="s">
        <v>146</v>
      </c>
      <c r="CT22" s="17" t="s">
        <v>133</v>
      </c>
      <c r="CU22" s="17"/>
      <c r="CV22" s="17"/>
    </row>
    <row r="23" spans="1:100" s="54" customFormat="1" x14ac:dyDescent="0.2">
      <c r="A23" s="33" t="b">
        <v>0</v>
      </c>
      <c r="B23" s="34" t="b">
        <v>0</v>
      </c>
      <c r="C23" s="33" t="b">
        <v>1</v>
      </c>
      <c r="D23" s="34" t="b">
        <v>0</v>
      </c>
      <c r="E23" s="34" t="b">
        <v>0</v>
      </c>
      <c r="F23" s="32" t="b">
        <v>0</v>
      </c>
      <c r="G23" s="150" t="s">
        <v>765</v>
      </c>
      <c r="H23" s="17"/>
      <c r="I23" s="56" t="s">
        <v>199</v>
      </c>
      <c r="J23" s="17" t="s">
        <v>1384</v>
      </c>
      <c r="K23" s="17" t="s">
        <v>267</v>
      </c>
      <c r="L23" s="17" t="s">
        <v>105</v>
      </c>
      <c r="M23" s="17"/>
      <c r="N23" s="17" t="s">
        <v>455</v>
      </c>
      <c r="O23" s="17" t="s">
        <v>1442</v>
      </c>
      <c r="P23" s="17" t="s">
        <v>1410</v>
      </c>
      <c r="Q23" s="17"/>
      <c r="R23" s="17" t="s">
        <v>108</v>
      </c>
      <c r="S23" s="17" t="s">
        <v>108</v>
      </c>
      <c r="T23" s="17" t="s">
        <v>109</v>
      </c>
      <c r="U23" s="17" t="s">
        <v>110</v>
      </c>
      <c r="V23" s="17" t="s">
        <v>239</v>
      </c>
      <c r="W23" s="17" t="s">
        <v>247</v>
      </c>
      <c r="X23" s="17" t="s">
        <v>173</v>
      </c>
      <c r="Y23" s="17" t="s">
        <v>203</v>
      </c>
      <c r="Z23" s="17" t="s">
        <v>142</v>
      </c>
      <c r="AA23" s="17" t="s">
        <v>115</v>
      </c>
      <c r="AB23" s="17"/>
      <c r="AC23" s="17"/>
      <c r="AD23" s="17" t="s">
        <v>115</v>
      </c>
      <c r="AE23" s="17" t="s">
        <v>116</v>
      </c>
      <c r="AF23" s="17"/>
      <c r="AG23" s="17"/>
      <c r="AH23" s="17" t="s">
        <v>116</v>
      </c>
      <c r="AI23" s="17" t="s">
        <v>175</v>
      </c>
      <c r="AJ23" s="17" t="s">
        <v>237</v>
      </c>
      <c r="AK23" s="17"/>
      <c r="AL23" s="17"/>
      <c r="AM23" s="17" t="s">
        <v>211</v>
      </c>
      <c r="AN23" s="17"/>
      <c r="AO23" s="17"/>
      <c r="AP23" s="17"/>
      <c r="AQ23" s="17"/>
      <c r="AR23" s="17"/>
      <c r="AS23" s="17"/>
      <c r="AT23" s="17" t="s">
        <v>676</v>
      </c>
      <c r="AU23" s="57" t="str">
        <f>IF($AT23="","",IFERROR(INDEX(InstructorMap!$B:$B, MATCH($AT23, InstructorMap!$A:$A, 0)),""))</f>
        <v>jeroncic@andrews.edu</v>
      </c>
      <c r="AV23" s="57" t="str">
        <f>IF($AT23="","",IFERROR(INDEX(InstructorMap!$C:$C, MATCH($AT23, InstructorMap!$A:$A, 0)),""))</f>
        <v>000066942</v>
      </c>
      <c r="AW23" s="17" t="s">
        <v>121</v>
      </c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 t="s">
        <v>1384</v>
      </c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 t="s">
        <v>146</v>
      </c>
      <c r="CT23" s="17" t="s">
        <v>133</v>
      </c>
      <c r="CU23" s="17"/>
      <c r="CV23" s="17"/>
    </row>
    <row r="24" spans="1:100" s="54" customFormat="1" x14ac:dyDescent="0.2">
      <c r="A24" s="148" t="b">
        <v>0</v>
      </c>
      <c r="B24" s="149" t="b">
        <v>0</v>
      </c>
      <c r="C24" s="149" t="b">
        <v>1</v>
      </c>
      <c r="D24" s="149" t="b">
        <v>0</v>
      </c>
      <c r="E24" s="149" t="b">
        <v>0</v>
      </c>
      <c r="F24" s="148" t="b">
        <v>0</v>
      </c>
      <c r="G24" s="150" t="s">
        <v>765</v>
      </c>
      <c r="H24" s="17"/>
      <c r="I24" s="17"/>
      <c r="J24" s="17" t="s">
        <v>1384</v>
      </c>
      <c r="K24" s="17" t="s">
        <v>267</v>
      </c>
      <c r="L24" s="17" t="s">
        <v>560</v>
      </c>
      <c r="M24" s="17"/>
      <c r="N24" s="17" t="s">
        <v>455</v>
      </c>
      <c r="O24" s="17" t="s">
        <v>1443</v>
      </c>
      <c r="P24" s="17" t="s">
        <v>1393</v>
      </c>
      <c r="Q24" s="17"/>
      <c r="R24" s="17" t="s">
        <v>129</v>
      </c>
      <c r="S24" s="17"/>
      <c r="T24" s="17" t="s">
        <v>139</v>
      </c>
      <c r="U24" s="17" t="s">
        <v>140</v>
      </c>
      <c r="V24" s="17" t="s">
        <v>239</v>
      </c>
      <c r="W24" s="17" t="s">
        <v>247</v>
      </c>
      <c r="X24" s="17" t="s">
        <v>173</v>
      </c>
      <c r="Y24" s="17" t="s">
        <v>203</v>
      </c>
      <c r="Z24" s="17" t="s">
        <v>142</v>
      </c>
      <c r="AA24" s="17" t="s">
        <v>115</v>
      </c>
      <c r="AB24" s="17"/>
      <c r="AC24" s="17"/>
      <c r="AD24" s="17" t="s">
        <v>115</v>
      </c>
      <c r="AE24" s="17" t="s">
        <v>116</v>
      </c>
      <c r="AF24" s="17"/>
      <c r="AG24" s="17"/>
      <c r="AH24" s="17" t="s">
        <v>116</v>
      </c>
      <c r="AI24" s="17" t="s">
        <v>175</v>
      </c>
      <c r="AJ24" s="17" t="s">
        <v>237</v>
      </c>
      <c r="AK24" s="17"/>
      <c r="AL24" s="17"/>
      <c r="AM24" s="17" t="s">
        <v>211</v>
      </c>
      <c r="AN24" s="17"/>
      <c r="AO24" s="17"/>
      <c r="AP24" s="17"/>
      <c r="AQ24" s="17"/>
      <c r="AR24" s="17" t="s">
        <v>195</v>
      </c>
      <c r="AS24" s="17" t="s">
        <v>144</v>
      </c>
      <c r="AT24" s="17" t="s">
        <v>1386</v>
      </c>
      <c r="AU24" s="57" t="str">
        <f>IF($AT24="","",IFERROR(INDEX(InstructorMap!$B:$B, MATCH($AT24, InstructorMap!$A:$A, 0)),""))</f>
        <v>jpeckham@andrews.edu</v>
      </c>
      <c r="AV24" s="57" t="str">
        <f>IF($AT24="","",IFERROR(INDEX(InstructorMap!$C:$C, MATCH($AT24, InstructorMap!$A:$A, 0)),""))</f>
        <v>000116996</v>
      </c>
      <c r="AW24" s="17" t="s">
        <v>121</v>
      </c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 t="s">
        <v>1398</v>
      </c>
      <c r="BI24" s="17" t="s">
        <v>124</v>
      </c>
      <c r="BJ24" s="17" t="s">
        <v>125</v>
      </c>
      <c r="BK24" s="17"/>
      <c r="BL24" s="17" t="s">
        <v>125</v>
      </c>
      <c r="BM24" s="17"/>
      <c r="BN24" s="17"/>
      <c r="BO24" s="17" t="s">
        <v>127</v>
      </c>
      <c r="BP24" s="17"/>
      <c r="BQ24" s="17"/>
      <c r="BR24" s="17"/>
      <c r="BS24" s="17"/>
      <c r="BT24" s="17" t="s">
        <v>128</v>
      </c>
      <c r="BU24" s="17" t="s">
        <v>129</v>
      </c>
      <c r="BV24" s="17" t="s">
        <v>129</v>
      </c>
      <c r="BW24" s="17"/>
      <c r="BX24" s="17"/>
      <c r="BY24" s="17"/>
      <c r="BZ24" s="17"/>
      <c r="CA24" s="17"/>
      <c r="CB24" s="17"/>
      <c r="CC24" s="17"/>
      <c r="CD24" s="17"/>
      <c r="CE24" s="17"/>
      <c r="CF24" s="17" t="s">
        <v>130</v>
      </c>
      <c r="CG24" s="17"/>
      <c r="CH24" s="17" t="s">
        <v>131</v>
      </c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 t="s">
        <v>132</v>
      </c>
      <c r="CT24" s="17" t="s">
        <v>133</v>
      </c>
      <c r="CU24" s="17" t="s">
        <v>134</v>
      </c>
      <c r="CV24" s="17"/>
    </row>
    <row r="25" spans="1:100" s="54" customFormat="1" x14ac:dyDescent="0.2">
      <c r="A25" s="148" t="b">
        <v>0</v>
      </c>
      <c r="B25" s="149" t="b">
        <v>0</v>
      </c>
      <c r="C25" s="149" t="b">
        <v>1</v>
      </c>
      <c r="D25" s="149" t="b">
        <v>0</v>
      </c>
      <c r="E25" s="149" t="b">
        <v>0</v>
      </c>
      <c r="F25" s="148" t="b">
        <v>0</v>
      </c>
      <c r="G25" s="150" t="s">
        <v>765</v>
      </c>
      <c r="H25" s="17"/>
      <c r="I25" s="17"/>
      <c r="J25" s="17" t="s">
        <v>1384</v>
      </c>
      <c r="K25" s="17" t="s">
        <v>267</v>
      </c>
      <c r="L25" s="17" t="s">
        <v>105</v>
      </c>
      <c r="M25" s="17"/>
      <c r="N25" s="17" t="s">
        <v>455</v>
      </c>
      <c r="O25" s="17" t="s">
        <v>1443</v>
      </c>
      <c r="P25" s="17" t="s">
        <v>1393</v>
      </c>
      <c r="Q25" s="17"/>
      <c r="R25" s="17" t="s">
        <v>108</v>
      </c>
      <c r="S25" s="17" t="s">
        <v>108</v>
      </c>
      <c r="T25" s="17" t="s">
        <v>109</v>
      </c>
      <c r="U25" s="17" t="s">
        <v>110</v>
      </c>
      <c r="V25" s="17" t="s">
        <v>239</v>
      </c>
      <c r="W25" s="17" t="s">
        <v>247</v>
      </c>
      <c r="X25" s="17" t="s">
        <v>173</v>
      </c>
      <c r="Y25" s="17" t="s">
        <v>203</v>
      </c>
      <c r="Z25" s="17" t="s">
        <v>142</v>
      </c>
      <c r="AA25" s="17" t="s">
        <v>115</v>
      </c>
      <c r="AB25" s="17"/>
      <c r="AC25" s="17"/>
      <c r="AD25" s="17" t="s">
        <v>115</v>
      </c>
      <c r="AE25" s="17" t="s">
        <v>116</v>
      </c>
      <c r="AF25" s="17"/>
      <c r="AG25" s="17"/>
      <c r="AH25" s="17" t="s">
        <v>116</v>
      </c>
      <c r="AI25" s="17" t="s">
        <v>175</v>
      </c>
      <c r="AJ25" s="17" t="s">
        <v>237</v>
      </c>
      <c r="AK25" s="17"/>
      <c r="AL25" s="17"/>
      <c r="AM25" s="17" t="s">
        <v>211</v>
      </c>
      <c r="AN25" s="17"/>
      <c r="AO25" s="17"/>
      <c r="AP25" s="17"/>
      <c r="AQ25" s="17"/>
      <c r="AR25" s="17"/>
      <c r="AS25" s="17"/>
      <c r="AT25" s="17" t="s">
        <v>1386</v>
      </c>
      <c r="AU25" s="57" t="str">
        <f>IF($AT25="","",IFERROR(INDEX(InstructorMap!$B:$B, MATCH($AT25, InstructorMap!$A:$A, 0)),""))</f>
        <v>jpeckham@andrews.edu</v>
      </c>
      <c r="AV25" s="57" t="str">
        <f>IF($AT25="","",IFERROR(INDEX(InstructorMap!$C:$C, MATCH($AT25, InstructorMap!$A:$A, 0)),""))</f>
        <v>000116996</v>
      </c>
      <c r="AW25" s="17" t="s">
        <v>121</v>
      </c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 t="s">
        <v>1398</v>
      </c>
      <c r="BI25" s="17" t="s">
        <v>124</v>
      </c>
      <c r="BJ25" s="17" t="s">
        <v>125</v>
      </c>
      <c r="BK25" s="17"/>
      <c r="BL25" s="17" t="s">
        <v>125</v>
      </c>
      <c r="BM25" s="17"/>
      <c r="BN25" s="17"/>
      <c r="BO25" s="17" t="s">
        <v>127</v>
      </c>
      <c r="BP25" s="17"/>
      <c r="BQ25" s="17"/>
      <c r="BR25" s="17"/>
      <c r="BS25" s="17"/>
      <c r="BT25" s="17" t="s">
        <v>128</v>
      </c>
      <c r="BU25" s="17" t="s">
        <v>129</v>
      </c>
      <c r="BV25" s="17" t="s">
        <v>129</v>
      </c>
      <c r="BW25" s="17"/>
      <c r="BX25" s="17"/>
      <c r="BY25" s="17"/>
      <c r="BZ25" s="17"/>
      <c r="CA25" s="17"/>
      <c r="CB25" s="17"/>
      <c r="CC25" s="17"/>
      <c r="CD25" s="17"/>
      <c r="CE25" s="17"/>
      <c r="CF25" s="17" t="s">
        <v>130</v>
      </c>
      <c r="CG25" s="17"/>
      <c r="CH25" s="17" t="s">
        <v>131</v>
      </c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 t="s">
        <v>132</v>
      </c>
      <c r="CT25" s="17" t="s">
        <v>133</v>
      </c>
      <c r="CU25" s="17" t="s">
        <v>134</v>
      </c>
      <c r="CV25" s="17"/>
    </row>
    <row r="26" spans="1:100" x14ac:dyDescent="0.2">
      <c r="A26" s="38" t="b">
        <v>0</v>
      </c>
      <c r="B26" s="39" t="b">
        <v>0</v>
      </c>
      <c r="C26" s="39" t="b">
        <v>1</v>
      </c>
      <c r="D26" s="39" t="b">
        <v>0</v>
      </c>
      <c r="E26" s="39" t="b">
        <v>0</v>
      </c>
      <c r="F26" s="38" t="b">
        <v>0</v>
      </c>
      <c r="G26" s="36"/>
      <c r="H26" s="6" t="s">
        <v>1444</v>
      </c>
      <c r="I26" s="6" t="s">
        <v>1445</v>
      </c>
      <c r="J26" s="6" t="s">
        <v>1384</v>
      </c>
      <c r="K26" s="6" t="s">
        <v>288</v>
      </c>
      <c r="L26" s="6" t="s">
        <v>255</v>
      </c>
      <c r="M26" s="6"/>
      <c r="N26" s="6" t="s">
        <v>1446</v>
      </c>
      <c r="O26" s="6"/>
      <c r="P26" s="86"/>
      <c r="Q26" s="6"/>
      <c r="R26" s="6" t="s">
        <v>129</v>
      </c>
      <c r="S26" s="6"/>
      <c r="T26" s="6"/>
      <c r="U26" s="6"/>
      <c r="V26" s="6" t="s">
        <v>239</v>
      </c>
      <c r="W26" s="6" t="s">
        <v>290</v>
      </c>
      <c r="X26" s="6" t="s">
        <v>290</v>
      </c>
      <c r="Y26" s="6" t="s">
        <v>148</v>
      </c>
      <c r="Z26" s="6" t="s">
        <v>142</v>
      </c>
      <c r="AA26" s="6" t="s">
        <v>115</v>
      </c>
      <c r="AB26" s="6"/>
      <c r="AC26" s="6"/>
      <c r="AD26" s="6" t="s">
        <v>115</v>
      </c>
      <c r="AE26" s="6" t="s">
        <v>116</v>
      </c>
      <c r="AF26" s="6"/>
      <c r="AG26" s="6"/>
      <c r="AH26" s="6" t="s">
        <v>116</v>
      </c>
      <c r="AI26" s="86"/>
      <c r="AJ26" s="86"/>
      <c r="AK26" s="6"/>
      <c r="AL26" s="6"/>
      <c r="AM26" s="6"/>
      <c r="AN26" s="6"/>
      <c r="AO26" s="6"/>
      <c r="AP26" s="6"/>
      <c r="AQ26" s="6"/>
      <c r="AR26" s="6"/>
      <c r="AS26" s="6"/>
      <c r="AT26" s="6" t="s">
        <v>1407</v>
      </c>
      <c r="AU26" s="7" t="str">
        <f>IF($AT26="","",IFERROR(INDEX(InstructorMap!$B:$B, MATCH($AT26, InstructorMap!$A:$A, 0)),""))</f>
        <v>mhanna@andrews.edu</v>
      </c>
      <c r="AV26" s="7" t="str">
        <f>IF($AT26="","",IFERROR(INDEX(InstructorMap!$C:$C, MATCH($AT26, InstructorMap!$A:$A, 0)),""))</f>
        <v>000057080</v>
      </c>
      <c r="AW26" s="6" t="s">
        <v>121</v>
      </c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 t="s">
        <v>1398</v>
      </c>
      <c r="BI26" s="6" t="s">
        <v>124</v>
      </c>
      <c r="BJ26" s="6" t="s">
        <v>125</v>
      </c>
      <c r="BK26" s="6"/>
      <c r="BL26" s="6" t="s">
        <v>249</v>
      </c>
      <c r="BM26" s="6"/>
      <c r="BN26" s="6"/>
      <c r="BO26" s="6" t="s">
        <v>127</v>
      </c>
      <c r="BP26" s="6"/>
      <c r="BQ26" s="6" t="s">
        <v>1414</v>
      </c>
      <c r="BR26" s="6"/>
      <c r="BS26" s="6"/>
      <c r="BT26" s="6" t="s">
        <v>128</v>
      </c>
      <c r="BU26" s="6" t="s">
        <v>129</v>
      </c>
      <c r="BV26" s="6" t="s">
        <v>129</v>
      </c>
      <c r="BW26" s="6" t="s">
        <v>130</v>
      </c>
      <c r="BX26" s="6"/>
      <c r="BY26" s="6"/>
      <c r="BZ26" s="6"/>
      <c r="CA26" s="6"/>
      <c r="CB26" s="6"/>
      <c r="CC26" s="6"/>
      <c r="CD26" s="6"/>
      <c r="CE26" s="6"/>
      <c r="CF26" s="6" t="s">
        <v>130</v>
      </c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 t="s">
        <v>249</v>
      </c>
      <c r="CS26" s="6" t="s">
        <v>132</v>
      </c>
      <c r="CT26" s="6" t="s">
        <v>133</v>
      </c>
      <c r="CU26" s="6" t="s">
        <v>134</v>
      </c>
      <c r="CV26" s="6"/>
    </row>
    <row r="27" spans="1:100" s="54" customFormat="1" x14ac:dyDescent="0.2">
      <c r="A27" s="131" t="b">
        <v>0</v>
      </c>
      <c r="B27" s="135" t="b">
        <v>0</v>
      </c>
      <c r="C27" s="135" t="b">
        <v>1</v>
      </c>
      <c r="D27" s="135" t="b">
        <v>0</v>
      </c>
      <c r="E27" s="135" t="b">
        <v>0</v>
      </c>
      <c r="F27" s="131" t="b">
        <v>0</v>
      </c>
      <c r="G27" s="150" t="s">
        <v>765</v>
      </c>
      <c r="H27" s="17"/>
      <c r="I27" s="17"/>
      <c r="J27" s="17" t="s">
        <v>1384</v>
      </c>
      <c r="K27" s="17" t="s">
        <v>288</v>
      </c>
      <c r="L27" s="17" t="s">
        <v>255</v>
      </c>
      <c r="M27" s="17"/>
      <c r="N27" s="17" t="s">
        <v>1446</v>
      </c>
      <c r="O27" s="17"/>
      <c r="P27" s="17"/>
      <c r="Q27" s="17"/>
      <c r="R27" s="17" t="s">
        <v>129</v>
      </c>
      <c r="S27" s="17"/>
      <c r="T27" s="17"/>
      <c r="U27" s="17"/>
      <c r="V27" s="17" t="s">
        <v>239</v>
      </c>
      <c r="W27" s="17" t="s">
        <v>290</v>
      </c>
      <c r="X27" s="17" t="s">
        <v>290</v>
      </c>
      <c r="Y27" s="17" t="s">
        <v>148</v>
      </c>
      <c r="Z27" s="17" t="s">
        <v>142</v>
      </c>
      <c r="AA27" s="17" t="s">
        <v>115</v>
      </c>
      <c r="AB27" s="17"/>
      <c r="AC27" s="17"/>
      <c r="AD27" s="17" t="s">
        <v>115</v>
      </c>
      <c r="AE27" s="17" t="s">
        <v>116</v>
      </c>
      <c r="AF27" s="17"/>
      <c r="AG27" s="17"/>
      <c r="AH27" s="17" t="s">
        <v>116</v>
      </c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 t="s">
        <v>1386</v>
      </c>
      <c r="AU27" s="57" t="str">
        <f>IF($AT27="","",IFERROR(INDEX(InstructorMap!$B:$B, MATCH($AT27, InstructorMap!$A:$A, 0)),""))</f>
        <v>jpeckham@andrews.edu</v>
      </c>
      <c r="AV27" s="57" t="str">
        <f>IF($AT27="","",IFERROR(INDEX(InstructorMap!$C:$C, MATCH($AT27, InstructorMap!$A:$A, 0)),""))</f>
        <v>000116996</v>
      </c>
      <c r="AW27" s="17" t="s">
        <v>121</v>
      </c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 t="s">
        <v>1398</v>
      </c>
      <c r="BI27" s="17" t="s">
        <v>124</v>
      </c>
      <c r="BJ27" s="17" t="s">
        <v>125</v>
      </c>
      <c r="BK27" s="17"/>
      <c r="BL27" s="17" t="s">
        <v>249</v>
      </c>
      <c r="BM27" s="17"/>
      <c r="BN27" s="17"/>
      <c r="BO27" s="17" t="s">
        <v>127</v>
      </c>
      <c r="BP27" s="17"/>
      <c r="BQ27" s="17" t="s">
        <v>1414</v>
      </c>
      <c r="BR27" s="17"/>
      <c r="BS27" s="17"/>
      <c r="BT27" s="17" t="s">
        <v>128</v>
      </c>
      <c r="BU27" s="17" t="s">
        <v>129</v>
      </c>
      <c r="BV27" s="17" t="s">
        <v>129</v>
      </c>
      <c r="BW27" s="17" t="s">
        <v>130</v>
      </c>
      <c r="BX27" s="17"/>
      <c r="BY27" s="17"/>
      <c r="BZ27" s="17"/>
      <c r="CA27" s="17"/>
      <c r="CB27" s="17"/>
      <c r="CC27" s="17"/>
      <c r="CD27" s="17"/>
      <c r="CE27" s="17"/>
      <c r="CF27" s="17" t="s">
        <v>130</v>
      </c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 t="s">
        <v>249</v>
      </c>
      <c r="CS27" s="17" t="s">
        <v>132</v>
      </c>
      <c r="CT27" s="17" t="s">
        <v>133</v>
      </c>
      <c r="CU27" s="17" t="s">
        <v>134</v>
      </c>
      <c r="CV27" s="17"/>
    </row>
    <row r="28" spans="1:100" s="51" customFormat="1" x14ac:dyDescent="0.2">
      <c r="A28" s="38" t="b">
        <v>0</v>
      </c>
      <c r="B28" s="39" t="b">
        <v>0</v>
      </c>
      <c r="C28" s="39" t="b">
        <v>1</v>
      </c>
      <c r="D28" s="39" t="b">
        <v>0</v>
      </c>
      <c r="E28" s="39" t="b">
        <v>0</v>
      </c>
      <c r="F28" s="38" t="b">
        <v>0</v>
      </c>
      <c r="G28" s="60" t="s">
        <v>1447</v>
      </c>
      <c r="H28" s="6" t="s">
        <v>1448</v>
      </c>
      <c r="I28" s="6" t="s">
        <v>1449</v>
      </c>
      <c r="J28" s="6" t="s">
        <v>1384</v>
      </c>
      <c r="K28" s="6" t="s">
        <v>1450</v>
      </c>
      <c r="L28" s="6" t="s">
        <v>255</v>
      </c>
      <c r="M28" s="6"/>
      <c r="N28" s="6" t="s">
        <v>1451</v>
      </c>
      <c r="O28" s="59" t="s">
        <v>1452</v>
      </c>
      <c r="P28" s="86"/>
      <c r="Q28" s="6"/>
      <c r="R28" s="6" t="s">
        <v>129</v>
      </c>
      <c r="S28" s="6"/>
      <c r="T28" s="6"/>
      <c r="U28" s="6"/>
      <c r="V28" s="6" t="s">
        <v>239</v>
      </c>
      <c r="W28" s="6" t="s">
        <v>290</v>
      </c>
      <c r="X28" s="6" t="s">
        <v>290</v>
      </c>
      <c r="Y28" s="59" t="s">
        <v>203</v>
      </c>
      <c r="Z28" s="6" t="s">
        <v>142</v>
      </c>
      <c r="AA28" s="6" t="s">
        <v>115</v>
      </c>
      <c r="AB28" s="6"/>
      <c r="AC28" s="6"/>
      <c r="AD28" s="6" t="s">
        <v>115</v>
      </c>
      <c r="AE28" s="6" t="s">
        <v>116</v>
      </c>
      <c r="AF28" s="6"/>
      <c r="AG28" s="6"/>
      <c r="AH28" s="6" t="s">
        <v>116</v>
      </c>
      <c r="AI28" s="86"/>
      <c r="AJ28" s="86"/>
      <c r="AK28" s="6"/>
      <c r="AL28" s="6"/>
      <c r="AM28" s="6"/>
      <c r="AN28" s="6"/>
      <c r="AO28" s="6"/>
      <c r="AP28" s="6"/>
      <c r="AQ28" s="6"/>
      <c r="AR28" s="6"/>
      <c r="AS28" s="6"/>
      <c r="AT28" s="6" t="s">
        <v>676</v>
      </c>
      <c r="AU28" s="7" t="str">
        <f>IF($AT28="","",IFERROR(INDEX(InstructorMap!$B:$B, MATCH($AT28, InstructorMap!$A:$A, 0)),""))</f>
        <v>jeroncic@andrews.edu</v>
      </c>
      <c r="AV28" s="7" t="str">
        <f>IF($AT28="","",IFERROR(INDEX(InstructorMap!$C:$C, MATCH($AT28, InstructorMap!$A:$A, 0)),""))</f>
        <v>000066942</v>
      </c>
      <c r="AW28" s="6" t="s">
        <v>121</v>
      </c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 t="s">
        <v>1398</v>
      </c>
      <c r="BI28" s="6" t="s">
        <v>124</v>
      </c>
      <c r="BJ28" s="6" t="s">
        <v>125</v>
      </c>
      <c r="BK28" s="6"/>
      <c r="BL28" s="6" t="s">
        <v>249</v>
      </c>
      <c r="BM28" s="6"/>
      <c r="BN28" s="6"/>
      <c r="BO28" s="6" t="s">
        <v>127</v>
      </c>
      <c r="BP28" s="6"/>
      <c r="BQ28" s="6"/>
      <c r="BR28" s="6"/>
      <c r="BS28" s="6"/>
      <c r="BT28" s="6" t="s">
        <v>128</v>
      </c>
      <c r="BU28" s="6" t="s">
        <v>129</v>
      </c>
      <c r="BV28" s="6" t="s">
        <v>129</v>
      </c>
      <c r="BW28" s="6" t="s">
        <v>130</v>
      </c>
      <c r="BX28" s="6"/>
      <c r="BY28" s="6"/>
      <c r="BZ28" s="6"/>
      <c r="CA28" s="6"/>
      <c r="CB28" s="6"/>
      <c r="CC28" s="6"/>
      <c r="CD28" s="6"/>
      <c r="CE28" s="6"/>
      <c r="CF28" s="6" t="s">
        <v>130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 t="s">
        <v>249</v>
      </c>
      <c r="CS28" s="6" t="s">
        <v>132</v>
      </c>
      <c r="CT28" s="6" t="s">
        <v>133</v>
      </c>
      <c r="CU28" s="6" t="s">
        <v>134</v>
      </c>
      <c r="CV28" s="6"/>
    </row>
    <row r="29" spans="1:100" x14ac:dyDescent="0.2">
      <c r="A29" s="66" t="b">
        <v>0</v>
      </c>
      <c r="B29" s="67" t="b">
        <v>0</v>
      </c>
      <c r="C29" s="67" t="b">
        <v>1</v>
      </c>
      <c r="D29" s="67" t="b">
        <v>0</v>
      </c>
      <c r="E29" s="67" t="b">
        <v>0</v>
      </c>
      <c r="F29" s="66" t="b">
        <v>0</v>
      </c>
      <c r="G29" s="60" t="s">
        <v>240</v>
      </c>
      <c r="H29" s="6" t="s">
        <v>1453</v>
      </c>
      <c r="I29" s="6" t="s">
        <v>1454</v>
      </c>
      <c r="J29" s="6" t="s">
        <v>1384</v>
      </c>
      <c r="K29" s="6" t="s">
        <v>879</v>
      </c>
      <c r="L29" s="6" t="s">
        <v>255</v>
      </c>
      <c r="M29" s="6"/>
      <c r="N29" s="6" t="s">
        <v>245</v>
      </c>
      <c r="O29" s="59" t="s">
        <v>1455</v>
      </c>
      <c r="P29" s="86"/>
      <c r="Q29" s="6"/>
      <c r="R29" s="6" t="s">
        <v>129</v>
      </c>
      <c r="S29" s="6"/>
      <c r="T29" s="6"/>
      <c r="U29" s="6"/>
      <c r="V29" s="6" t="s">
        <v>239</v>
      </c>
      <c r="W29" s="6" t="s">
        <v>247</v>
      </c>
      <c r="X29" s="6" t="s">
        <v>247</v>
      </c>
      <c r="Y29" s="6" t="s">
        <v>203</v>
      </c>
      <c r="Z29" s="6" t="s">
        <v>142</v>
      </c>
      <c r="AA29" s="6" t="s">
        <v>115</v>
      </c>
      <c r="AB29" s="6"/>
      <c r="AC29" s="6"/>
      <c r="AD29" s="6" t="s">
        <v>115</v>
      </c>
      <c r="AE29" s="6" t="s">
        <v>116</v>
      </c>
      <c r="AF29" s="6"/>
      <c r="AG29" s="6"/>
      <c r="AH29" s="6" t="s">
        <v>116</v>
      </c>
      <c r="AI29" s="86"/>
      <c r="AJ29" s="86"/>
      <c r="AK29" s="6"/>
      <c r="AL29" s="6"/>
      <c r="AM29" s="6"/>
      <c r="AN29" s="6"/>
      <c r="AO29" s="6"/>
      <c r="AP29" s="6"/>
      <c r="AQ29" s="6"/>
      <c r="AR29" s="6"/>
      <c r="AS29" s="6"/>
      <c r="AT29" s="6" t="s">
        <v>676</v>
      </c>
      <c r="AU29" s="7" t="str">
        <f>IF($AT29="","",IFERROR(INDEX(InstructorMap!$B:$B, MATCH($AT29, InstructorMap!$A:$A, 0)),""))</f>
        <v>jeroncic@andrews.edu</v>
      </c>
      <c r="AV29" s="7" t="str">
        <f>IF($AT29="","",IFERROR(INDEX(InstructorMap!$C:$C, MATCH($AT29, InstructorMap!$A:$A, 0)),""))</f>
        <v>000066942</v>
      </c>
      <c r="AW29" s="6" t="s">
        <v>121</v>
      </c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 t="s">
        <v>1398</v>
      </c>
      <c r="BI29" s="6" t="s">
        <v>124</v>
      </c>
      <c r="BJ29" s="6" t="s">
        <v>125</v>
      </c>
      <c r="BK29" s="6"/>
      <c r="BL29" s="6" t="s">
        <v>249</v>
      </c>
      <c r="BM29" s="6"/>
      <c r="BN29" s="6"/>
      <c r="BO29" s="6" t="s">
        <v>127</v>
      </c>
      <c r="BP29" s="6"/>
      <c r="BQ29" s="6"/>
      <c r="BR29" s="6"/>
      <c r="BS29" s="6"/>
      <c r="BT29" s="6" t="s">
        <v>128</v>
      </c>
      <c r="BU29" s="6" t="s">
        <v>129</v>
      </c>
      <c r="BV29" s="6" t="s">
        <v>129</v>
      </c>
      <c r="BW29" s="6" t="s">
        <v>130</v>
      </c>
      <c r="BX29" s="6"/>
      <c r="BY29" s="6"/>
      <c r="BZ29" s="6"/>
      <c r="CA29" s="6"/>
      <c r="CB29" s="6"/>
      <c r="CC29" s="6"/>
      <c r="CD29" s="6"/>
      <c r="CE29" s="6"/>
      <c r="CF29" s="6" t="s">
        <v>130</v>
      </c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 t="s">
        <v>249</v>
      </c>
      <c r="CS29" s="6" t="s">
        <v>132</v>
      </c>
      <c r="CT29" s="6" t="s">
        <v>133</v>
      </c>
      <c r="CU29" s="6" t="s">
        <v>134</v>
      </c>
      <c r="CV29" s="6"/>
    </row>
    <row r="30" spans="1:100" x14ac:dyDescent="0.2">
      <c r="A30" s="38" t="b">
        <v>0</v>
      </c>
      <c r="B30" s="39" t="b">
        <v>0</v>
      </c>
      <c r="C30" s="39" t="b">
        <v>1</v>
      </c>
      <c r="D30" s="39" t="b">
        <v>0</v>
      </c>
      <c r="E30" s="39" t="b">
        <v>0</v>
      </c>
      <c r="F30" s="38" t="b">
        <v>0</v>
      </c>
      <c r="G30" s="36"/>
      <c r="H30" s="6" t="s">
        <v>1456</v>
      </c>
      <c r="I30" s="6" t="s">
        <v>1457</v>
      </c>
      <c r="J30" s="6" t="s">
        <v>1384</v>
      </c>
      <c r="K30" s="6" t="s">
        <v>879</v>
      </c>
      <c r="L30" s="6" t="s">
        <v>252</v>
      </c>
      <c r="M30" s="6"/>
      <c r="N30" s="6" t="s">
        <v>245</v>
      </c>
      <c r="O30" s="6" t="s">
        <v>1458</v>
      </c>
      <c r="P30" s="86"/>
      <c r="Q30" s="6"/>
      <c r="R30" s="6" t="s">
        <v>129</v>
      </c>
      <c r="S30" s="6"/>
      <c r="T30" s="6"/>
      <c r="U30" s="6"/>
      <c r="V30" s="6" t="s">
        <v>239</v>
      </c>
      <c r="W30" s="6" t="s">
        <v>247</v>
      </c>
      <c r="X30" s="6" t="s">
        <v>247</v>
      </c>
      <c r="Y30" s="6" t="s">
        <v>203</v>
      </c>
      <c r="Z30" s="6" t="s">
        <v>142</v>
      </c>
      <c r="AA30" s="6" t="s">
        <v>115</v>
      </c>
      <c r="AB30" s="6"/>
      <c r="AC30" s="6"/>
      <c r="AD30" s="6" t="s">
        <v>115</v>
      </c>
      <c r="AE30" s="6" t="s">
        <v>116</v>
      </c>
      <c r="AF30" s="6"/>
      <c r="AG30" s="6"/>
      <c r="AH30" s="6" t="s">
        <v>116</v>
      </c>
      <c r="AI30" s="86"/>
      <c r="AJ30" s="86"/>
      <c r="AK30" s="6"/>
      <c r="AL30" s="6"/>
      <c r="AM30" s="6"/>
      <c r="AN30" s="6"/>
      <c r="AO30" s="6"/>
      <c r="AP30" s="6"/>
      <c r="AQ30" s="6"/>
      <c r="AR30" s="6"/>
      <c r="AS30" s="6"/>
      <c r="AT30" s="6" t="s">
        <v>1430</v>
      </c>
      <c r="AU30" s="7" t="str">
        <f>IF($AT30="","",IFERROR(INDEX(InstructorMap!$B:$B, MATCH($AT30, InstructorMap!$A:$A, 0)),""))</f>
        <v>adriani@andrews.edu</v>
      </c>
      <c r="AV30" s="7" t="str">
        <f>IF($AT30="","",IFERROR(INDEX(InstructorMap!$C:$C, MATCH($AT30, InstructorMap!$A:$A, 0)),""))</f>
        <v>000145425</v>
      </c>
      <c r="AW30" s="6" t="s">
        <v>121</v>
      </c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 t="s">
        <v>1398</v>
      </c>
      <c r="BI30" s="6" t="s">
        <v>124</v>
      </c>
      <c r="BJ30" s="6" t="s">
        <v>125</v>
      </c>
      <c r="BK30" s="6"/>
      <c r="BL30" s="6" t="s">
        <v>249</v>
      </c>
      <c r="BM30" s="6"/>
      <c r="BN30" s="6"/>
      <c r="BO30" s="6" t="s">
        <v>127</v>
      </c>
      <c r="BP30" s="6"/>
      <c r="BQ30" s="6"/>
      <c r="BR30" s="6"/>
      <c r="BS30" s="6"/>
      <c r="BT30" s="6" t="s">
        <v>128</v>
      </c>
      <c r="BU30" s="6" t="s">
        <v>129</v>
      </c>
      <c r="BV30" s="6" t="s">
        <v>129</v>
      </c>
      <c r="BW30" s="6" t="s">
        <v>130</v>
      </c>
      <c r="BX30" s="6"/>
      <c r="BY30" s="6"/>
      <c r="BZ30" s="6"/>
      <c r="CA30" s="6"/>
      <c r="CB30" s="6"/>
      <c r="CC30" s="6"/>
      <c r="CD30" s="6"/>
      <c r="CE30" s="6"/>
      <c r="CF30" s="6" t="s">
        <v>130</v>
      </c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 t="s">
        <v>249</v>
      </c>
      <c r="CS30" s="6" t="s">
        <v>132</v>
      </c>
      <c r="CT30" s="6" t="s">
        <v>133</v>
      </c>
      <c r="CU30" s="6" t="s">
        <v>134</v>
      </c>
      <c r="CV30" s="6"/>
    </row>
    <row r="31" spans="1:100" s="51" customFormat="1" x14ac:dyDescent="0.2">
      <c r="A31" s="66" t="b">
        <v>0</v>
      </c>
      <c r="B31" s="67" t="b">
        <v>0</v>
      </c>
      <c r="C31" s="67" t="b">
        <v>1</v>
      </c>
      <c r="D31" s="67" t="b">
        <v>0</v>
      </c>
      <c r="E31" s="67" t="b">
        <v>0</v>
      </c>
      <c r="F31" s="66" t="b">
        <v>0</v>
      </c>
      <c r="G31" s="60" t="s">
        <v>1459</v>
      </c>
      <c r="H31" s="6" t="s">
        <v>1460</v>
      </c>
      <c r="I31" s="6" t="s">
        <v>1461</v>
      </c>
      <c r="J31" s="6" t="s">
        <v>1384</v>
      </c>
      <c r="K31" s="6" t="s">
        <v>879</v>
      </c>
      <c r="L31" s="6" t="s">
        <v>258</v>
      </c>
      <c r="M31" s="6"/>
      <c r="N31" s="6" t="s">
        <v>245</v>
      </c>
      <c r="O31" s="59" t="s">
        <v>1455</v>
      </c>
      <c r="P31" s="86"/>
      <c r="Q31" s="6"/>
      <c r="R31" s="6" t="s">
        <v>129</v>
      </c>
      <c r="S31" s="6"/>
      <c r="T31" s="6"/>
      <c r="U31" s="6"/>
      <c r="V31" s="6" t="s">
        <v>239</v>
      </c>
      <c r="W31" s="6" t="s">
        <v>247</v>
      </c>
      <c r="X31" s="6" t="s">
        <v>247</v>
      </c>
      <c r="Y31" s="6" t="s">
        <v>203</v>
      </c>
      <c r="Z31" s="6" t="s">
        <v>142</v>
      </c>
      <c r="AA31" s="6" t="s">
        <v>115</v>
      </c>
      <c r="AB31" s="6"/>
      <c r="AC31" s="6"/>
      <c r="AD31" s="6" t="s">
        <v>115</v>
      </c>
      <c r="AE31" s="6" t="s">
        <v>116</v>
      </c>
      <c r="AF31" s="6"/>
      <c r="AG31" s="6"/>
      <c r="AH31" s="6" t="s">
        <v>116</v>
      </c>
      <c r="AI31" s="86"/>
      <c r="AJ31" s="86"/>
      <c r="AK31" s="6"/>
      <c r="AL31" s="6"/>
      <c r="AM31" s="6"/>
      <c r="AN31" s="6"/>
      <c r="AO31" s="6"/>
      <c r="AP31" s="6"/>
      <c r="AQ31" s="6"/>
      <c r="AR31" s="6"/>
      <c r="AS31" s="6"/>
      <c r="AT31" s="59" t="s">
        <v>1386</v>
      </c>
      <c r="AU31" s="7" t="str">
        <f>IF($AT31="","",IFERROR(INDEX(InstructorMap!$B:$B, MATCH($AT31, InstructorMap!$A:$A, 0)),""))</f>
        <v>jpeckham@andrews.edu</v>
      </c>
      <c r="AV31" s="7" t="str">
        <f>IF($AT31="","",IFERROR(INDEX(InstructorMap!$C:$C, MATCH($AT31, InstructorMap!$A:$A, 0)),""))</f>
        <v>000116996</v>
      </c>
      <c r="AW31" s="6" t="s">
        <v>121</v>
      </c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 t="s">
        <v>1398</v>
      </c>
      <c r="BI31" s="6" t="s">
        <v>124</v>
      </c>
      <c r="BJ31" s="6" t="s">
        <v>125</v>
      </c>
      <c r="BK31" s="6"/>
      <c r="BL31" s="6" t="s">
        <v>249</v>
      </c>
      <c r="BM31" s="6"/>
      <c r="BN31" s="6"/>
      <c r="BO31" s="6" t="s">
        <v>127</v>
      </c>
      <c r="BP31" s="6"/>
      <c r="BQ31" s="6"/>
      <c r="BR31" s="6"/>
      <c r="BS31" s="6"/>
      <c r="BT31" s="6" t="s">
        <v>128</v>
      </c>
      <c r="BU31" s="6" t="s">
        <v>129</v>
      </c>
      <c r="BV31" s="6" t="s">
        <v>129</v>
      </c>
      <c r="BW31" s="6" t="s">
        <v>130</v>
      </c>
      <c r="BX31" s="6"/>
      <c r="BY31" s="6"/>
      <c r="BZ31" s="6"/>
      <c r="CA31" s="6"/>
      <c r="CB31" s="6"/>
      <c r="CC31" s="6"/>
      <c r="CD31" s="6"/>
      <c r="CE31" s="6"/>
      <c r="CF31" s="6" t="s">
        <v>130</v>
      </c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 t="s">
        <v>249</v>
      </c>
      <c r="CS31" s="6" t="s">
        <v>132</v>
      </c>
      <c r="CT31" s="6" t="s">
        <v>133</v>
      </c>
      <c r="CU31" s="6" t="s">
        <v>134</v>
      </c>
      <c r="CV31" s="6"/>
    </row>
    <row r="32" spans="1:100" x14ac:dyDescent="0.2">
      <c r="A32" s="33" t="b">
        <v>0</v>
      </c>
      <c r="B32" s="34" t="b">
        <v>0</v>
      </c>
      <c r="C32" s="33" t="b">
        <v>1</v>
      </c>
      <c r="D32" s="34" t="b">
        <v>0</v>
      </c>
      <c r="E32" s="34" t="b">
        <v>0</v>
      </c>
      <c r="F32" s="32" t="b">
        <v>0</v>
      </c>
      <c r="G32" s="25" t="s">
        <v>765</v>
      </c>
      <c r="H32" s="11"/>
      <c r="I32" s="12" t="s">
        <v>199</v>
      </c>
      <c r="J32" s="11" t="s">
        <v>1384</v>
      </c>
      <c r="K32" s="11" t="s">
        <v>689</v>
      </c>
      <c r="L32" s="11" t="s">
        <v>137</v>
      </c>
      <c r="M32" s="11"/>
      <c r="N32" s="17" t="s">
        <v>1416</v>
      </c>
      <c r="O32" s="11"/>
      <c r="P32" s="17" t="s">
        <v>1417</v>
      </c>
      <c r="Q32" s="11"/>
      <c r="R32" s="11" t="s">
        <v>129</v>
      </c>
      <c r="S32" s="11"/>
      <c r="T32" s="11" t="s">
        <v>139</v>
      </c>
      <c r="U32" s="11" t="s">
        <v>140</v>
      </c>
      <c r="V32" s="11" t="s">
        <v>239</v>
      </c>
      <c r="W32" s="11" t="s">
        <v>173</v>
      </c>
      <c r="X32" s="11" t="s">
        <v>173</v>
      </c>
      <c r="Y32" s="11" t="s">
        <v>108</v>
      </c>
      <c r="Z32" s="11" t="s">
        <v>142</v>
      </c>
      <c r="AA32" s="11" t="s">
        <v>115</v>
      </c>
      <c r="AB32" s="11"/>
      <c r="AC32" s="11"/>
      <c r="AD32" s="11" t="s">
        <v>115</v>
      </c>
      <c r="AE32" s="11" t="s">
        <v>116</v>
      </c>
      <c r="AF32" s="11"/>
      <c r="AG32" s="11"/>
      <c r="AH32" s="11" t="s">
        <v>116</v>
      </c>
      <c r="AI32" s="17" t="s">
        <v>175</v>
      </c>
      <c r="AJ32" s="17" t="s">
        <v>237</v>
      </c>
      <c r="AK32" s="11"/>
      <c r="AL32" s="11"/>
      <c r="AM32" s="11" t="s">
        <v>211</v>
      </c>
      <c r="AN32" s="11"/>
      <c r="AO32" s="11"/>
      <c r="AP32" s="11"/>
      <c r="AQ32" s="11"/>
      <c r="AR32" s="11" t="s">
        <v>178</v>
      </c>
      <c r="AS32" s="11" t="s">
        <v>144</v>
      </c>
      <c r="AT32" s="11" t="s">
        <v>676</v>
      </c>
      <c r="AU32" s="13" t="str">
        <f>IF($AT32="","",IFERROR(INDEX(InstructorMap!$B:$B, MATCH($AT32, InstructorMap!$A:$A, 0)),""))</f>
        <v>jeroncic@andrews.edu</v>
      </c>
      <c r="AV32" s="13" t="str">
        <f>IF($AT32="","",IFERROR(INDEX(InstructorMap!$C:$C, MATCH($AT32, InstructorMap!$A:$A, 0)),""))</f>
        <v>000066942</v>
      </c>
      <c r="AW32" s="11" t="s">
        <v>121</v>
      </c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 t="s">
        <v>1384</v>
      </c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 t="s">
        <v>146</v>
      </c>
      <c r="CT32" s="11" t="s">
        <v>133</v>
      </c>
      <c r="CU32" s="11"/>
      <c r="CV32" s="11"/>
    </row>
    <row r="33" spans="1:100" x14ac:dyDescent="0.2">
      <c r="A33" s="30" t="b">
        <v>0</v>
      </c>
      <c r="B33" s="31" t="b">
        <v>0</v>
      </c>
      <c r="C33" s="31" t="b">
        <v>1</v>
      </c>
      <c r="D33" s="31" t="b">
        <v>0</v>
      </c>
      <c r="E33" s="31" t="b">
        <v>0</v>
      </c>
      <c r="F33" s="31" t="b">
        <v>0</v>
      </c>
      <c r="G33" s="79" t="s">
        <v>271</v>
      </c>
      <c r="H33" s="8" t="s">
        <v>1462</v>
      </c>
      <c r="I33" s="8" t="s">
        <v>1463</v>
      </c>
      <c r="J33" s="8" t="s">
        <v>1384</v>
      </c>
      <c r="K33" s="8" t="s">
        <v>1266</v>
      </c>
      <c r="L33" s="8" t="s">
        <v>137</v>
      </c>
      <c r="M33" s="8"/>
      <c r="N33" s="8" t="s">
        <v>1385</v>
      </c>
      <c r="O33" s="8"/>
      <c r="P33" s="8"/>
      <c r="Q33" s="8" t="s">
        <v>1464</v>
      </c>
      <c r="R33" s="8" t="s">
        <v>129</v>
      </c>
      <c r="S33" s="8"/>
      <c r="T33" s="8"/>
      <c r="U33" s="8"/>
      <c r="V33" s="8"/>
      <c r="W33" s="8" t="s">
        <v>112</v>
      </c>
      <c r="X33" s="8" t="s">
        <v>173</v>
      </c>
      <c r="Y33" s="8" t="s">
        <v>151</v>
      </c>
      <c r="Z33" s="8" t="s">
        <v>142</v>
      </c>
      <c r="AA33" s="8" t="s">
        <v>115</v>
      </c>
      <c r="AB33" s="8"/>
      <c r="AC33" s="8"/>
      <c r="AD33" s="8" t="s">
        <v>115</v>
      </c>
      <c r="AE33" s="8" t="s">
        <v>116</v>
      </c>
      <c r="AF33" s="8"/>
      <c r="AG33" s="8"/>
      <c r="AH33" s="8" t="s">
        <v>116</v>
      </c>
      <c r="AI33" s="8" t="s">
        <v>366</v>
      </c>
      <c r="AJ33" s="8" t="s">
        <v>358</v>
      </c>
      <c r="AK33" s="8"/>
      <c r="AL33" s="8"/>
      <c r="AM33" s="8"/>
      <c r="AN33" s="8"/>
      <c r="AO33" s="8" t="s">
        <v>221</v>
      </c>
      <c r="AP33" s="8"/>
      <c r="AQ33" s="8"/>
      <c r="AR33" s="8"/>
      <c r="AS33" s="8" t="s">
        <v>144</v>
      </c>
      <c r="AT33" s="8" t="s">
        <v>676</v>
      </c>
      <c r="AU33" s="9" t="str">
        <f>IF($AT33="","",IFERROR(INDEX(InstructorMap!$B:$B, MATCH($AT33, InstructorMap!$A:$A, 0)),""))</f>
        <v>jeroncic@andrews.edu</v>
      </c>
      <c r="AV33" s="9" t="str">
        <f>IF($AT33="","",IFERROR(INDEX(InstructorMap!$C:$C, MATCH($AT33, InstructorMap!$A:$A, 0)),""))</f>
        <v>000066942</v>
      </c>
      <c r="AW33" s="8" t="s">
        <v>121</v>
      </c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 t="s">
        <v>1398</v>
      </c>
      <c r="BI33" s="8" t="s">
        <v>124</v>
      </c>
      <c r="BJ33" s="8" t="s">
        <v>125</v>
      </c>
      <c r="BK33" s="8" t="s">
        <v>173</v>
      </c>
      <c r="BL33" s="8" t="s">
        <v>125</v>
      </c>
      <c r="BM33" s="8"/>
      <c r="BN33" s="8"/>
      <c r="BO33" s="8" t="s">
        <v>127</v>
      </c>
      <c r="BP33" s="8"/>
      <c r="BQ33" s="8"/>
      <c r="BR33" s="8"/>
      <c r="BS33" s="8"/>
      <c r="BT33" s="8" t="s">
        <v>128</v>
      </c>
      <c r="BU33" s="8" t="s">
        <v>129</v>
      </c>
      <c r="BV33" s="8" t="s">
        <v>129</v>
      </c>
      <c r="BW33" s="8" t="s">
        <v>130</v>
      </c>
      <c r="BX33" s="8" t="s">
        <v>131</v>
      </c>
      <c r="BY33" s="8"/>
      <c r="BZ33" s="8"/>
      <c r="CA33" s="8"/>
      <c r="CB33" s="8"/>
      <c r="CC33" s="8"/>
      <c r="CD33" s="8"/>
      <c r="CE33" s="8"/>
      <c r="CF33" s="8" t="s">
        <v>130</v>
      </c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 t="s">
        <v>132</v>
      </c>
      <c r="CT33" s="8" t="s">
        <v>133</v>
      </c>
      <c r="CU33" s="8" t="s">
        <v>134</v>
      </c>
      <c r="CV33" s="8"/>
    </row>
    <row r="34" spans="1:100" x14ac:dyDescent="0.2">
      <c r="A34" s="30" t="b">
        <v>0</v>
      </c>
      <c r="B34" s="31" t="b">
        <v>0</v>
      </c>
      <c r="C34" s="31" t="b">
        <v>1</v>
      </c>
      <c r="D34" s="31" t="b">
        <v>0</v>
      </c>
      <c r="E34" s="31" t="b">
        <v>0</v>
      </c>
      <c r="F34" s="31" t="b">
        <v>0</v>
      </c>
      <c r="G34" s="79" t="s">
        <v>271</v>
      </c>
      <c r="H34" s="8" t="s">
        <v>1465</v>
      </c>
      <c r="I34" s="8" t="s">
        <v>1466</v>
      </c>
      <c r="J34" s="8" t="s">
        <v>1384</v>
      </c>
      <c r="K34" s="8" t="s">
        <v>1266</v>
      </c>
      <c r="L34" s="8" t="s">
        <v>105</v>
      </c>
      <c r="M34" s="8"/>
      <c r="N34" s="8" t="s">
        <v>1385</v>
      </c>
      <c r="O34" s="8"/>
      <c r="P34" s="8"/>
      <c r="Q34" s="8" t="s">
        <v>1464</v>
      </c>
      <c r="R34" s="8" t="s">
        <v>108</v>
      </c>
      <c r="S34" s="8"/>
      <c r="T34" s="8"/>
      <c r="U34" s="8" t="s">
        <v>110</v>
      </c>
      <c r="V34" s="8"/>
      <c r="W34" s="8" t="s">
        <v>112</v>
      </c>
      <c r="X34" s="8" t="s">
        <v>173</v>
      </c>
      <c r="Y34" s="8" t="s">
        <v>151</v>
      </c>
      <c r="Z34" s="8" t="s">
        <v>114</v>
      </c>
      <c r="AA34" s="8" t="s">
        <v>115</v>
      </c>
      <c r="AB34" s="8"/>
      <c r="AC34" s="8"/>
      <c r="AD34" s="8" t="s">
        <v>115</v>
      </c>
      <c r="AE34" s="8" t="s">
        <v>116</v>
      </c>
      <c r="AF34" s="8"/>
      <c r="AG34" s="8"/>
      <c r="AH34" s="8" t="s">
        <v>116</v>
      </c>
      <c r="AI34" s="8" t="s">
        <v>366</v>
      </c>
      <c r="AJ34" s="8" t="s">
        <v>358</v>
      </c>
      <c r="AK34" s="8"/>
      <c r="AL34" s="8"/>
      <c r="AM34" s="8"/>
      <c r="AN34" s="8"/>
      <c r="AO34" s="8" t="s">
        <v>221</v>
      </c>
      <c r="AP34" s="8"/>
      <c r="AQ34" s="8"/>
      <c r="AR34" s="8"/>
      <c r="AS34" s="8"/>
      <c r="AT34" s="8" t="s">
        <v>676</v>
      </c>
      <c r="AU34" s="9" t="str">
        <f>IF($AT34="","",IFERROR(INDEX(InstructorMap!$B:$B, MATCH($AT34, InstructorMap!$A:$A, 0)),""))</f>
        <v>jeroncic@andrews.edu</v>
      </c>
      <c r="AV34" s="9" t="str">
        <f>IF($AT34="","",IFERROR(INDEX(InstructorMap!$C:$C, MATCH($AT34, InstructorMap!$A:$A, 0)),""))</f>
        <v>000066942</v>
      </c>
      <c r="AW34" s="8" t="s">
        <v>121</v>
      </c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 t="s">
        <v>1398</v>
      </c>
      <c r="BI34" s="8" t="s">
        <v>124</v>
      </c>
      <c r="BJ34" s="8" t="s">
        <v>125</v>
      </c>
      <c r="BK34" s="8" t="s">
        <v>173</v>
      </c>
      <c r="BL34" s="8" t="s">
        <v>126</v>
      </c>
      <c r="BM34" s="8"/>
      <c r="BN34" s="8"/>
      <c r="BO34" s="8" t="s">
        <v>127</v>
      </c>
      <c r="BP34" s="8"/>
      <c r="BQ34" s="8"/>
      <c r="BR34" s="8"/>
      <c r="BS34" s="8"/>
      <c r="BT34" s="8" t="s">
        <v>128</v>
      </c>
      <c r="BU34" s="8" t="s">
        <v>129</v>
      </c>
      <c r="BV34" s="8" t="s">
        <v>129</v>
      </c>
      <c r="BW34" s="8" t="s">
        <v>130</v>
      </c>
      <c r="BX34" s="8"/>
      <c r="BY34" s="8"/>
      <c r="BZ34" s="8"/>
      <c r="CA34" s="8"/>
      <c r="CB34" s="8"/>
      <c r="CC34" s="8"/>
      <c r="CD34" s="8"/>
      <c r="CE34" s="8"/>
      <c r="CF34" s="8" t="s">
        <v>130</v>
      </c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 t="s">
        <v>132</v>
      </c>
      <c r="CT34" s="8" t="s">
        <v>133</v>
      </c>
      <c r="CU34" s="8" t="s">
        <v>134</v>
      </c>
      <c r="CV34" s="8"/>
    </row>
    <row r="35" spans="1:100" x14ac:dyDescent="0.2">
      <c r="A35" s="161" t="b">
        <v>0</v>
      </c>
      <c r="B35" s="162" t="b">
        <v>0</v>
      </c>
      <c r="C35" s="162" t="b">
        <v>1</v>
      </c>
      <c r="D35" s="162" t="b">
        <v>0</v>
      </c>
      <c r="E35" s="162" t="b">
        <v>0</v>
      </c>
      <c r="F35" s="162" t="b">
        <v>0</v>
      </c>
      <c r="G35" s="79" t="s">
        <v>271</v>
      </c>
      <c r="H35" s="8" t="s">
        <v>1467</v>
      </c>
      <c r="I35" s="8" t="s">
        <v>1468</v>
      </c>
      <c r="J35" s="8" t="s">
        <v>1384</v>
      </c>
      <c r="K35" s="115" t="s">
        <v>1388</v>
      </c>
      <c r="L35" s="8" t="s">
        <v>148</v>
      </c>
      <c r="M35" s="8"/>
      <c r="N35" s="8" t="s">
        <v>1389</v>
      </c>
      <c r="O35" s="8"/>
      <c r="P35" s="8"/>
      <c r="Q35" s="8"/>
      <c r="R35" s="8" t="s">
        <v>108</v>
      </c>
      <c r="S35" s="8"/>
      <c r="T35" s="8"/>
      <c r="U35" s="8" t="s">
        <v>149</v>
      </c>
      <c r="V35" s="8"/>
      <c r="W35" s="8" t="s">
        <v>112</v>
      </c>
      <c r="X35" s="8" t="s">
        <v>173</v>
      </c>
      <c r="Y35" s="8" t="s">
        <v>148</v>
      </c>
      <c r="Z35" s="8" t="s">
        <v>114</v>
      </c>
      <c r="AA35" s="8" t="s">
        <v>115</v>
      </c>
      <c r="AB35" s="8"/>
      <c r="AC35" s="8"/>
      <c r="AD35" s="8" t="s">
        <v>115</v>
      </c>
      <c r="AE35" s="8" t="s">
        <v>116</v>
      </c>
      <c r="AF35" s="8"/>
      <c r="AG35" s="8"/>
      <c r="AH35" s="8" t="s">
        <v>116</v>
      </c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 t="s">
        <v>676</v>
      </c>
      <c r="AU35" s="9" t="str">
        <f>IF($AT35="","",IFERROR(INDEX(InstructorMap!$B:$B, MATCH($AT35, InstructorMap!$A:$A, 0)),""))</f>
        <v>jeroncic@andrews.edu</v>
      </c>
      <c r="AV35" s="9" t="str">
        <f>IF($AT35="","",IFERROR(INDEX(InstructorMap!$C:$C, MATCH($AT35, InstructorMap!$A:$A, 0)),""))</f>
        <v>000066942</v>
      </c>
      <c r="AW35" s="8" t="s">
        <v>121</v>
      </c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 t="s">
        <v>1398</v>
      </c>
      <c r="BI35" s="8" t="s">
        <v>124</v>
      </c>
      <c r="BJ35" s="8" t="s">
        <v>125</v>
      </c>
      <c r="BK35" s="8" t="s">
        <v>173</v>
      </c>
      <c r="BL35" s="8" t="s">
        <v>126</v>
      </c>
      <c r="BM35" s="8"/>
      <c r="BN35" s="8"/>
      <c r="BO35" s="8" t="s">
        <v>127</v>
      </c>
      <c r="BP35" s="8"/>
      <c r="BQ35" s="8" t="s">
        <v>1469</v>
      </c>
      <c r="BR35" s="8"/>
      <c r="BS35" s="8"/>
      <c r="BT35" s="8" t="s">
        <v>128</v>
      </c>
      <c r="BU35" s="8" t="s">
        <v>129</v>
      </c>
      <c r="BV35" s="8" t="s">
        <v>129</v>
      </c>
      <c r="BW35" s="8" t="s">
        <v>130</v>
      </c>
      <c r="BX35" s="8"/>
      <c r="BY35" s="8"/>
      <c r="BZ35" s="8"/>
      <c r="CA35" s="8"/>
      <c r="CB35" s="8"/>
      <c r="CC35" s="8"/>
      <c r="CD35" s="8"/>
      <c r="CE35" s="8"/>
      <c r="CF35" s="8" t="s">
        <v>130</v>
      </c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 t="s">
        <v>132</v>
      </c>
      <c r="CT35" s="8" t="s">
        <v>133</v>
      </c>
      <c r="CU35" s="8" t="s">
        <v>134</v>
      </c>
      <c r="CV35" s="8"/>
    </row>
    <row r="36" spans="1:100" x14ac:dyDescent="0.2">
      <c r="A36" s="30" t="b">
        <v>0</v>
      </c>
      <c r="B36" s="31" t="b">
        <v>0</v>
      </c>
      <c r="C36" s="31" t="b">
        <v>1</v>
      </c>
      <c r="D36" s="31" t="b">
        <v>0</v>
      </c>
      <c r="E36" s="31" t="b">
        <v>0</v>
      </c>
      <c r="F36" s="161" t="b">
        <v>0</v>
      </c>
      <c r="G36" s="79" t="s">
        <v>271</v>
      </c>
      <c r="H36" s="8" t="s">
        <v>1470</v>
      </c>
      <c r="I36" s="8" t="s">
        <v>1471</v>
      </c>
      <c r="J36" s="8" t="s">
        <v>1384</v>
      </c>
      <c r="K36" s="8" t="s">
        <v>391</v>
      </c>
      <c r="L36" s="8" t="s">
        <v>137</v>
      </c>
      <c r="M36" s="8"/>
      <c r="N36" s="8" t="s">
        <v>1472</v>
      </c>
      <c r="O36" s="8"/>
      <c r="P36" s="49"/>
      <c r="Q36" s="8" t="s">
        <v>1441</v>
      </c>
      <c r="R36" s="8" t="s">
        <v>129</v>
      </c>
      <c r="S36" s="8"/>
      <c r="T36" s="8"/>
      <c r="U36" s="8"/>
      <c r="V36" s="8"/>
      <c r="W36" s="8" t="s">
        <v>112</v>
      </c>
      <c r="X36" s="8" t="s">
        <v>173</v>
      </c>
      <c r="Y36" s="8" t="s">
        <v>591</v>
      </c>
      <c r="Z36" s="8" t="s">
        <v>142</v>
      </c>
      <c r="AA36" s="8" t="s">
        <v>115</v>
      </c>
      <c r="AB36" s="8"/>
      <c r="AC36" s="8"/>
      <c r="AD36" s="8" t="s">
        <v>115</v>
      </c>
      <c r="AE36" s="8" t="s">
        <v>116</v>
      </c>
      <c r="AF36" s="8"/>
      <c r="AG36" s="8"/>
      <c r="AH36" s="8" t="s">
        <v>116</v>
      </c>
      <c r="AI36" s="49" t="s">
        <v>175</v>
      </c>
      <c r="AJ36" s="49" t="s">
        <v>237</v>
      </c>
      <c r="AK36" s="8"/>
      <c r="AL36" s="8"/>
      <c r="AM36" s="8" t="s">
        <v>211</v>
      </c>
      <c r="AN36" s="8"/>
      <c r="AO36" s="8"/>
      <c r="AP36" s="8"/>
      <c r="AQ36" s="8"/>
      <c r="AR36" s="8"/>
      <c r="AS36" s="8" t="s">
        <v>144</v>
      </c>
      <c r="AT36" s="8" t="s">
        <v>320</v>
      </c>
      <c r="AU36" s="9" t="str">
        <f>IF($AT36="","",IFERROR(INDEX(InstructorMap!$B:$B, MATCH($AT36, InstructorMap!$A:$A, 0)),""))</f>
        <v>fortind@andrews.edu</v>
      </c>
      <c r="AV36" s="9" t="str">
        <f>IF($AT36="","",IFERROR(INDEX(InstructorMap!$C:$C, MATCH($AT36, InstructorMap!$A:$A, 0)),""))</f>
        <v>000043638</v>
      </c>
      <c r="AW36" s="8" t="s">
        <v>121</v>
      </c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 t="s">
        <v>1398</v>
      </c>
      <c r="BI36" s="8" t="s">
        <v>124</v>
      </c>
      <c r="BJ36" s="8" t="s">
        <v>125</v>
      </c>
      <c r="BK36" s="8" t="s">
        <v>173</v>
      </c>
      <c r="BL36" s="8" t="s">
        <v>125</v>
      </c>
      <c r="BM36" s="8"/>
      <c r="BN36" s="8"/>
      <c r="BO36" s="8" t="s">
        <v>127</v>
      </c>
      <c r="BP36" s="8"/>
      <c r="BQ36" s="8" t="s">
        <v>1414</v>
      </c>
      <c r="BR36" s="8"/>
      <c r="BS36" s="8"/>
      <c r="BT36" s="8" t="s">
        <v>128</v>
      </c>
      <c r="BU36" s="8" t="s">
        <v>129</v>
      </c>
      <c r="BV36" s="8" t="s">
        <v>145</v>
      </c>
      <c r="BW36" s="8" t="s">
        <v>130</v>
      </c>
      <c r="BX36" s="8" t="s">
        <v>131</v>
      </c>
      <c r="BY36" s="8"/>
      <c r="BZ36" s="8"/>
      <c r="CA36" s="8"/>
      <c r="CB36" s="8"/>
      <c r="CC36" s="8"/>
      <c r="CD36" s="8"/>
      <c r="CE36" s="8"/>
      <c r="CF36" s="8" t="s">
        <v>130</v>
      </c>
      <c r="CG36" s="8"/>
      <c r="CH36" s="8" t="s">
        <v>131</v>
      </c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 t="s">
        <v>132</v>
      </c>
      <c r="CT36" s="8" t="s">
        <v>133</v>
      </c>
      <c r="CU36" s="8" t="s">
        <v>134</v>
      </c>
      <c r="CV36" s="8"/>
    </row>
    <row r="37" spans="1:100" x14ac:dyDescent="0.2">
      <c r="A37" s="30" t="b">
        <v>1</v>
      </c>
      <c r="B37" s="31" t="b">
        <v>0</v>
      </c>
      <c r="C37" s="31" t="b">
        <v>1</v>
      </c>
      <c r="D37" s="31" t="b">
        <v>0</v>
      </c>
      <c r="E37" s="31" t="b">
        <v>0</v>
      </c>
      <c r="F37" s="31" t="b">
        <v>0</v>
      </c>
      <c r="G37" s="79" t="s">
        <v>271</v>
      </c>
      <c r="H37" s="8" t="s">
        <v>1473</v>
      </c>
      <c r="I37" s="8" t="s">
        <v>1474</v>
      </c>
      <c r="J37" s="8" t="s">
        <v>1384</v>
      </c>
      <c r="K37" s="8" t="s">
        <v>391</v>
      </c>
      <c r="L37" s="8" t="s">
        <v>105</v>
      </c>
      <c r="M37" s="8"/>
      <c r="N37" s="8" t="s">
        <v>1472</v>
      </c>
      <c r="O37" s="8"/>
      <c r="P37" s="49"/>
      <c r="Q37" s="8" t="s">
        <v>1441</v>
      </c>
      <c r="R37" s="8" t="s">
        <v>108</v>
      </c>
      <c r="S37" s="8"/>
      <c r="T37" s="8"/>
      <c r="U37" s="8" t="s">
        <v>110</v>
      </c>
      <c r="V37" s="8"/>
      <c r="W37" s="8" t="s">
        <v>112</v>
      </c>
      <c r="X37" s="8" t="s">
        <v>173</v>
      </c>
      <c r="Y37" s="8" t="s">
        <v>203</v>
      </c>
      <c r="Z37" s="8" t="s">
        <v>114</v>
      </c>
      <c r="AA37" s="8" t="s">
        <v>115</v>
      </c>
      <c r="AB37" s="8"/>
      <c r="AC37" s="8"/>
      <c r="AD37" s="8" t="s">
        <v>115</v>
      </c>
      <c r="AE37" s="8" t="s">
        <v>116</v>
      </c>
      <c r="AF37" s="8"/>
      <c r="AG37" s="8"/>
      <c r="AH37" s="8" t="s">
        <v>116</v>
      </c>
      <c r="AI37" s="49" t="s">
        <v>175</v>
      </c>
      <c r="AJ37" s="49" t="s">
        <v>237</v>
      </c>
      <c r="AK37" s="8"/>
      <c r="AL37" s="8"/>
      <c r="AM37" s="8" t="s">
        <v>211</v>
      </c>
      <c r="AN37" s="8"/>
      <c r="AO37" s="8"/>
      <c r="AP37" s="8"/>
      <c r="AQ37" s="8"/>
      <c r="AR37" s="8"/>
      <c r="AS37" s="8"/>
      <c r="AT37" s="8" t="s">
        <v>320</v>
      </c>
      <c r="AU37" s="9" t="str">
        <f>IF($AT37="","",IFERROR(INDEX(InstructorMap!$B:$B, MATCH($AT37, InstructorMap!$A:$A, 0)),""))</f>
        <v>fortind@andrews.edu</v>
      </c>
      <c r="AV37" s="9" t="str">
        <f>IF($AT37="","",IFERROR(INDEX(InstructorMap!$C:$C, MATCH($AT37, InstructorMap!$A:$A, 0)),""))</f>
        <v>000043638</v>
      </c>
      <c r="AW37" s="8" t="s">
        <v>121</v>
      </c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 t="s">
        <v>1398</v>
      </c>
      <c r="BI37" s="8" t="s">
        <v>124</v>
      </c>
      <c r="BJ37" s="8" t="s">
        <v>125</v>
      </c>
      <c r="BK37" s="8" t="s">
        <v>173</v>
      </c>
      <c r="BL37" s="8" t="s">
        <v>126</v>
      </c>
      <c r="BM37" s="8"/>
      <c r="BN37" s="8"/>
      <c r="BO37" s="8" t="s">
        <v>127</v>
      </c>
      <c r="BP37" s="8"/>
      <c r="BQ37" s="8" t="s">
        <v>1414</v>
      </c>
      <c r="BR37" s="8"/>
      <c r="BS37" s="8"/>
      <c r="BT37" s="8" t="s">
        <v>128</v>
      </c>
      <c r="BU37" s="8" t="s">
        <v>129</v>
      </c>
      <c r="BV37" s="8" t="s">
        <v>129</v>
      </c>
      <c r="BW37" s="8" t="s">
        <v>130</v>
      </c>
      <c r="BX37" s="8" t="s">
        <v>131</v>
      </c>
      <c r="BY37" s="8"/>
      <c r="BZ37" s="8"/>
      <c r="CA37" s="8"/>
      <c r="CB37" s="8"/>
      <c r="CC37" s="8"/>
      <c r="CD37" s="8"/>
      <c r="CE37" s="8"/>
      <c r="CF37" s="8" t="s">
        <v>130</v>
      </c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 t="s">
        <v>132</v>
      </c>
      <c r="CT37" s="8" t="s">
        <v>133</v>
      </c>
      <c r="CU37" s="8" t="s">
        <v>134</v>
      </c>
      <c r="CV37" s="8"/>
    </row>
    <row r="38" spans="1:100" x14ac:dyDescent="0.2">
      <c r="A38" s="30" t="b">
        <v>0</v>
      </c>
      <c r="B38" s="31" t="b">
        <v>0</v>
      </c>
      <c r="C38" s="31" t="b">
        <v>1</v>
      </c>
      <c r="D38" s="31" t="b">
        <v>0</v>
      </c>
      <c r="E38" s="31" t="b">
        <v>0</v>
      </c>
      <c r="F38" s="31" t="b">
        <v>0</v>
      </c>
      <c r="G38" s="79" t="s">
        <v>271</v>
      </c>
      <c r="H38" s="8" t="s">
        <v>1475</v>
      </c>
      <c r="I38" s="8" t="s">
        <v>1476</v>
      </c>
      <c r="J38" s="8" t="s">
        <v>1384</v>
      </c>
      <c r="K38" s="8" t="s">
        <v>1477</v>
      </c>
      <c r="L38" s="8" t="s">
        <v>137</v>
      </c>
      <c r="M38" s="8"/>
      <c r="N38" s="8" t="s">
        <v>1478</v>
      </c>
      <c r="O38" s="8"/>
      <c r="P38" s="49"/>
      <c r="Q38" s="8" t="s">
        <v>1479</v>
      </c>
      <c r="R38" s="8" t="s">
        <v>129</v>
      </c>
      <c r="S38" s="8"/>
      <c r="T38" s="8"/>
      <c r="U38" s="8"/>
      <c r="V38" s="8"/>
      <c r="W38" s="8" t="s">
        <v>112</v>
      </c>
      <c r="X38" s="8"/>
      <c r="Y38" s="8" t="s">
        <v>591</v>
      </c>
      <c r="Z38" s="8" t="s">
        <v>142</v>
      </c>
      <c r="AA38" s="8" t="s">
        <v>115</v>
      </c>
      <c r="AB38" s="8"/>
      <c r="AC38" s="8"/>
      <c r="AD38" s="8" t="s">
        <v>115</v>
      </c>
      <c r="AE38" s="8" t="s">
        <v>116</v>
      </c>
      <c r="AF38" s="8"/>
      <c r="AG38" s="8"/>
      <c r="AH38" s="8" t="s">
        <v>116</v>
      </c>
      <c r="AI38" s="49" t="s">
        <v>175</v>
      </c>
      <c r="AJ38" s="49" t="s">
        <v>237</v>
      </c>
      <c r="AK38" s="8"/>
      <c r="AL38" s="8"/>
      <c r="AM38" s="8"/>
      <c r="AN38" s="8"/>
      <c r="AO38" s="8" t="s">
        <v>221</v>
      </c>
      <c r="AP38" s="8"/>
      <c r="AQ38" s="8"/>
      <c r="AR38" s="8"/>
      <c r="AS38" s="8" t="s">
        <v>144</v>
      </c>
      <c r="AT38" s="8" t="s">
        <v>320</v>
      </c>
      <c r="AU38" s="9" t="str">
        <f>IF($AT38="","",IFERROR(INDEX(InstructorMap!$B:$B, MATCH($AT38, InstructorMap!$A:$A, 0)),""))</f>
        <v>fortind@andrews.edu</v>
      </c>
      <c r="AV38" s="9" t="str">
        <f>IF($AT38="","",IFERROR(INDEX(InstructorMap!$C:$C, MATCH($AT38, InstructorMap!$A:$A, 0)),""))</f>
        <v>000043638</v>
      </c>
      <c r="AW38" s="8" t="s">
        <v>121</v>
      </c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 t="s">
        <v>1398</v>
      </c>
      <c r="BI38" s="8" t="s">
        <v>124</v>
      </c>
      <c r="BJ38" s="8" t="s">
        <v>125</v>
      </c>
      <c r="BK38" s="8"/>
      <c r="BL38" s="8" t="s">
        <v>125</v>
      </c>
      <c r="BM38" s="8"/>
      <c r="BN38" s="8"/>
      <c r="BO38" s="8" t="s">
        <v>127</v>
      </c>
      <c r="BP38" s="8"/>
      <c r="BQ38" s="8" t="s">
        <v>1480</v>
      </c>
      <c r="BR38" s="8"/>
      <c r="BS38" s="8"/>
      <c r="BT38" s="8" t="s">
        <v>128</v>
      </c>
      <c r="BU38" s="8" t="s">
        <v>129</v>
      </c>
      <c r="BV38" s="8" t="s">
        <v>145</v>
      </c>
      <c r="BW38" s="8" t="s">
        <v>130</v>
      </c>
      <c r="BX38" s="8" t="s">
        <v>131</v>
      </c>
      <c r="BY38" s="8"/>
      <c r="BZ38" s="8"/>
      <c r="CA38" s="8"/>
      <c r="CB38" s="8"/>
      <c r="CC38" s="8"/>
      <c r="CD38" s="8"/>
      <c r="CE38" s="8"/>
      <c r="CF38" s="8" t="s">
        <v>130</v>
      </c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 t="s">
        <v>132</v>
      </c>
      <c r="CT38" s="8" t="s">
        <v>133</v>
      </c>
      <c r="CU38" s="8" t="s">
        <v>134</v>
      </c>
      <c r="CV38" s="8"/>
    </row>
    <row r="39" spans="1:100" x14ac:dyDescent="0.2">
      <c r="A39" s="30" t="b">
        <v>0</v>
      </c>
      <c r="B39" s="31" t="b">
        <v>0</v>
      </c>
      <c r="C39" s="31" t="b">
        <v>1</v>
      </c>
      <c r="D39" s="31" t="b">
        <v>0</v>
      </c>
      <c r="E39" s="31" t="b">
        <v>0</v>
      </c>
      <c r="F39" s="31" t="b">
        <v>0</v>
      </c>
      <c r="G39" s="79" t="s">
        <v>271</v>
      </c>
      <c r="H39" s="8" t="s">
        <v>1481</v>
      </c>
      <c r="I39" s="8" t="s">
        <v>1482</v>
      </c>
      <c r="J39" s="8" t="s">
        <v>1384</v>
      </c>
      <c r="K39" s="8" t="s">
        <v>1477</v>
      </c>
      <c r="L39" s="8" t="s">
        <v>105</v>
      </c>
      <c r="M39" s="8"/>
      <c r="N39" s="8" t="s">
        <v>1478</v>
      </c>
      <c r="O39" s="8"/>
      <c r="P39" s="49"/>
      <c r="Q39" s="8" t="s">
        <v>1479</v>
      </c>
      <c r="R39" s="8" t="s">
        <v>108</v>
      </c>
      <c r="S39" s="8"/>
      <c r="T39" s="8"/>
      <c r="U39" s="8" t="s">
        <v>110</v>
      </c>
      <c r="V39" s="8"/>
      <c r="W39" s="8" t="s">
        <v>112</v>
      </c>
      <c r="X39" s="8"/>
      <c r="Y39" s="8" t="s">
        <v>203</v>
      </c>
      <c r="Z39" s="8" t="s">
        <v>114</v>
      </c>
      <c r="AA39" s="8" t="s">
        <v>115</v>
      </c>
      <c r="AB39" s="8"/>
      <c r="AC39" s="8"/>
      <c r="AD39" s="8" t="s">
        <v>115</v>
      </c>
      <c r="AE39" s="8" t="s">
        <v>116</v>
      </c>
      <c r="AF39" s="8"/>
      <c r="AG39" s="8"/>
      <c r="AH39" s="8" t="s">
        <v>116</v>
      </c>
      <c r="AI39" s="49" t="s">
        <v>175</v>
      </c>
      <c r="AJ39" s="49" t="s">
        <v>237</v>
      </c>
      <c r="AK39" s="8"/>
      <c r="AL39" s="8"/>
      <c r="AM39" s="8"/>
      <c r="AN39" s="8"/>
      <c r="AO39" s="8" t="s">
        <v>221</v>
      </c>
      <c r="AP39" s="8"/>
      <c r="AQ39" s="8"/>
      <c r="AR39" s="8"/>
      <c r="AS39" s="8"/>
      <c r="AT39" s="8" t="s">
        <v>320</v>
      </c>
      <c r="AU39" s="9" t="str">
        <f>IF($AT39="","",IFERROR(INDEX(InstructorMap!$B:$B, MATCH($AT39, InstructorMap!$A:$A, 0)),""))</f>
        <v>fortind@andrews.edu</v>
      </c>
      <c r="AV39" s="9" t="str">
        <f>IF($AT39="","",IFERROR(INDEX(InstructorMap!$C:$C, MATCH($AT39, InstructorMap!$A:$A, 0)),""))</f>
        <v>000043638</v>
      </c>
      <c r="AW39" s="8" t="s">
        <v>121</v>
      </c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 t="s">
        <v>1398</v>
      </c>
      <c r="BI39" s="8" t="s">
        <v>124</v>
      </c>
      <c r="BJ39" s="8" t="s">
        <v>125</v>
      </c>
      <c r="BK39" s="8"/>
      <c r="BL39" s="8" t="s">
        <v>126</v>
      </c>
      <c r="BM39" s="8"/>
      <c r="BN39" s="8"/>
      <c r="BO39" s="8" t="s">
        <v>127</v>
      </c>
      <c r="BP39" s="8"/>
      <c r="BQ39" s="8" t="s">
        <v>1480</v>
      </c>
      <c r="BR39" s="8"/>
      <c r="BS39" s="8"/>
      <c r="BT39" s="8" t="s">
        <v>128</v>
      </c>
      <c r="BU39" s="8" t="s">
        <v>129</v>
      </c>
      <c r="BV39" s="8" t="s">
        <v>145</v>
      </c>
      <c r="BW39" s="8" t="s">
        <v>130</v>
      </c>
      <c r="BX39" s="8" t="s">
        <v>131</v>
      </c>
      <c r="BY39" s="8"/>
      <c r="BZ39" s="8"/>
      <c r="CA39" s="8"/>
      <c r="CB39" s="8"/>
      <c r="CC39" s="8"/>
      <c r="CD39" s="8"/>
      <c r="CE39" s="8"/>
      <c r="CF39" s="8" t="s">
        <v>130</v>
      </c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 t="s">
        <v>132</v>
      </c>
      <c r="CT39" s="8" t="s">
        <v>133</v>
      </c>
      <c r="CU39" s="8" t="s">
        <v>134</v>
      </c>
      <c r="CV39" s="8"/>
    </row>
    <row r="40" spans="1:100" x14ac:dyDescent="0.2">
      <c r="A40" s="30" t="b">
        <v>0</v>
      </c>
      <c r="B40" s="31" t="b">
        <v>0</v>
      </c>
      <c r="C40" s="31" t="b">
        <v>1</v>
      </c>
      <c r="D40" s="31" t="b">
        <v>0</v>
      </c>
      <c r="E40" s="31" t="b">
        <v>0</v>
      </c>
      <c r="F40" s="31" t="b">
        <v>0</v>
      </c>
      <c r="G40" s="79" t="s">
        <v>271</v>
      </c>
      <c r="H40" s="8" t="s">
        <v>1483</v>
      </c>
      <c r="I40" s="8" t="s">
        <v>1484</v>
      </c>
      <c r="J40" s="8" t="s">
        <v>1384</v>
      </c>
      <c r="K40" s="8" t="s">
        <v>1431</v>
      </c>
      <c r="L40" s="8" t="s">
        <v>148</v>
      </c>
      <c r="M40" s="8"/>
      <c r="N40" s="8" t="s">
        <v>1432</v>
      </c>
      <c r="O40" s="8"/>
      <c r="P40" s="49"/>
      <c r="Q40" s="8"/>
      <c r="R40" s="8" t="s">
        <v>108</v>
      </c>
      <c r="S40" s="8"/>
      <c r="T40" s="8"/>
      <c r="U40" s="8" t="s">
        <v>149</v>
      </c>
      <c r="V40" s="8"/>
      <c r="W40" s="8" t="s">
        <v>112</v>
      </c>
      <c r="X40" s="8"/>
      <c r="Y40" s="8" t="s">
        <v>1485</v>
      </c>
      <c r="Z40" s="8" t="s">
        <v>114</v>
      </c>
      <c r="AA40" s="8" t="s">
        <v>115</v>
      </c>
      <c r="AB40" s="8"/>
      <c r="AC40" s="8"/>
      <c r="AD40" s="8" t="s">
        <v>115</v>
      </c>
      <c r="AE40" s="8" t="s">
        <v>116</v>
      </c>
      <c r="AF40" s="8"/>
      <c r="AG40" s="8"/>
      <c r="AH40" s="8" t="s">
        <v>116</v>
      </c>
      <c r="AI40" s="49" t="s">
        <v>175</v>
      </c>
      <c r="AJ40" s="49" t="s">
        <v>237</v>
      </c>
      <c r="AK40" s="8"/>
      <c r="AL40" s="8"/>
      <c r="AM40" s="8"/>
      <c r="AN40" s="8"/>
      <c r="AO40" s="8"/>
      <c r="AP40" s="8"/>
      <c r="AQ40" s="8"/>
      <c r="AR40" s="8"/>
      <c r="AS40" s="8"/>
      <c r="AT40" s="8" t="s">
        <v>320</v>
      </c>
      <c r="AU40" s="9" t="str">
        <f>IF($AT40="","",IFERROR(INDEX(InstructorMap!$B:$B, MATCH($AT40, InstructorMap!$A:$A, 0)),""))</f>
        <v>fortind@andrews.edu</v>
      </c>
      <c r="AV40" s="9" t="str">
        <f>IF($AT40="","",IFERROR(INDEX(InstructorMap!$C:$C, MATCH($AT40, InstructorMap!$A:$A, 0)),""))</f>
        <v>000043638</v>
      </c>
      <c r="AW40" s="8" t="s">
        <v>121</v>
      </c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 t="s">
        <v>1398</v>
      </c>
      <c r="BI40" s="8" t="s">
        <v>124</v>
      </c>
      <c r="BJ40" s="8" t="s">
        <v>125</v>
      </c>
      <c r="BK40" s="8"/>
      <c r="BL40" s="8" t="s">
        <v>126</v>
      </c>
      <c r="BM40" s="8"/>
      <c r="BN40" s="8"/>
      <c r="BO40" s="8" t="s">
        <v>127</v>
      </c>
      <c r="BP40" s="8"/>
      <c r="BQ40" s="8" t="s">
        <v>1414</v>
      </c>
      <c r="BR40" s="8"/>
      <c r="BS40" s="8"/>
      <c r="BT40" s="8" t="s">
        <v>128</v>
      </c>
      <c r="BU40" s="8" t="s">
        <v>129</v>
      </c>
      <c r="BV40" s="8" t="s">
        <v>145</v>
      </c>
      <c r="BW40" s="8" t="s">
        <v>130</v>
      </c>
      <c r="BX40" s="8"/>
      <c r="BY40" s="8"/>
      <c r="BZ40" s="8"/>
      <c r="CA40" s="8"/>
      <c r="CB40" s="8"/>
      <c r="CC40" s="8"/>
      <c r="CD40" s="8"/>
      <c r="CE40" s="8"/>
      <c r="CF40" s="8" t="s">
        <v>130</v>
      </c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 t="s">
        <v>132</v>
      </c>
      <c r="CT40" s="8" t="s">
        <v>133</v>
      </c>
      <c r="CU40" s="8" t="s">
        <v>134</v>
      </c>
      <c r="CV40" s="8"/>
    </row>
    <row r="41" spans="1:100" x14ac:dyDescent="0.2">
      <c r="A41" s="30" t="b">
        <v>0</v>
      </c>
      <c r="B41" s="31" t="b">
        <v>0</v>
      </c>
      <c r="C41" s="31" t="b">
        <v>1</v>
      </c>
      <c r="D41" s="31" t="b">
        <v>0</v>
      </c>
      <c r="E41" s="31" t="b">
        <v>0</v>
      </c>
      <c r="F41" s="31" t="b">
        <v>0</v>
      </c>
      <c r="G41" s="79" t="s">
        <v>271</v>
      </c>
      <c r="H41" s="8" t="s">
        <v>1486</v>
      </c>
      <c r="I41" s="8" t="s">
        <v>1487</v>
      </c>
      <c r="J41" s="8" t="s">
        <v>1384</v>
      </c>
      <c r="K41" s="8" t="s">
        <v>720</v>
      </c>
      <c r="L41" s="8" t="s">
        <v>137</v>
      </c>
      <c r="M41" s="8"/>
      <c r="N41" s="8" t="s">
        <v>1488</v>
      </c>
      <c r="O41" s="8"/>
      <c r="P41" s="49"/>
      <c r="Q41" s="8" t="s">
        <v>284</v>
      </c>
      <c r="R41" s="8" t="s">
        <v>129</v>
      </c>
      <c r="S41" s="8"/>
      <c r="T41" s="8"/>
      <c r="U41" s="8"/>
      <c r="V41" s="8"/>
      <c r="W41" s="8" t="s">
        <v>112</v>
      </c>
      <c r="X41" s="8" t="s">
        <v>173</v>
      </c>
      <c r="Y41" s="8" t="s">
        <v>151</v>
      </c>
      <c r="Z41" s="8" t="s">
        <v>142</v>
      </c>
      <c r="AA41" s="8" t="s">
        <v>115</v>
      </c>
      <c r="AB41" s="8"/>
      <c r="AC41" s="8"/>
      <c r="AD41" s="8" t="s">
        <v>115</v>
      </c>
      <c r="AE41" s="8" t="s">
        <v>116</v>
      </c>
      <c r="AF41" s="8"/>
      <c r="AG41" s="8"/>
      <c r="AH41" s="8" t="s">
        <v>116</v>
      </c>
      <c r="AI41" s="49" t="s">
        <v>175</v>
      </c>
      <c r="AJ41" s="49" t="s">
        <v>237</v>
      </c>
      <c r="AK41" s="8"/>
      <c r="AL41" s="8"/>
      <c r="AM41" s="8"/>
      <c r="AN41" s="8" t="s">
        <v>177</v>
      </c>
      <c r="AO41" s="8"/>
      <c r="AP41" s="8"/>
      <c r="AQ41" s="8"/>
      <c r="AR41" s="8"/>
      <c r="AS41" s="8" t="s">
        <v>144</v>
      </c>
      <c r="AT41" s="8" t="s">
        <v>285</v>
      </c>
      <c r="AU41" s="9" t="str">
        <f>IF($AT41="","",IFERROR(INDEX(InstructorMap!$B:$B, MATCH($AT41, InstructorMap!$A:$A, 0)),""))</f>
        <v/>
      </c>
      <c r="AV41" s="9" t="str">
        <f>IF($AT41="","",IFERROR(INDEX(InstructorMap!$C:$C, MATCH($AT41, InstructorMap!$A:$A, 0)),""))</f>
        <v/>
      </c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 t="s">
        <v>1398</v>
      </c>
      <c r="BI41" s="8" t="s">
        <v>124</v>
      </c>
      <c r="BJ41" s="8" t="s">
        <v>125</v>
      </c>
      <c r="BK41" s="8" t="s">
        <v>173</v>
      </c>
      <c r="BL41" s="8" t="s">
        <v>125</v>
      </c>
      <c r="BM41" s="8"/>
      <c r="BN41" s="8"/>
      <c r="BO41" s="8" t="s">
        <v>127</v>
      </c>
      <c r="BP41" s="8"/>
      <c r="BQ41" s="8" t="s">
        <v>1469</v>
      </c>
      <c r="BR41" s="8"/>
      <c r="BS41" s="8"/>
      <c r="BT41" s="8" t="s">
        <v>128</v>
      </c>
      <c r="BU41" s="8" t="s">
        <v>129</v>
      </c>
      <c r="BV41" s="8" t="s">
        <v>129</v>
      </c>
      <c r="BW41" s="8"/>
      <c r="BX41" s="8"/>
      <c r="BY41" s="8"/>
      <c r="BZ41" s="8"/>
      <c r="CA41" s="8"/>
      <c r="CB41" s="8"/>
      <c r="CC41" s="8"/>
      <c r="CD41" s="8"/>
      <c r="CE41" s="8"/>
      <c r="CF41" s="8" t="s">
        <v>130</v>
      </c>
      <c r="CG41" s="8"/>
      <c r="CH41" s="8" t="s">
        <v>131</v>
      </c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 t="s">
        <v>132</v>
      </c>
      <c r="CT41" s="8" t="s">
        <v>133</v>
      </c>
      <c r="CU41" s="8" t="s">
        <v>134</v>
      </c>
      <c r="CV41" s="8"/>
    </row>
    <row r="42" spans="1:100" x14ac:dyDescent="0.2">
      <c r="A42" s="30" t="b">
        <v>0</v>
      </c>
      <c r="B42" s="31" t="b">
        <v>0</v>
      </c>
      <c r="C42" s="31" t="b">
        <v>1</v>
      </c>
      <c r="D42" s="31" t="b">
        <v>0</v>
      </c>
      <c r="E42" s="31" t="b">
        <v>0</v>
      </c>
      <c r="F42" s="31" t="b">
        <v>0</v>
      </c>
      <c r="G42" s="79" t="s">
        <v>271</v>
      </c>
      <c r="H42" s="8" t="s">
        <v>1489</v>
      </c>
      <c r="I42" s="8" t="s">
        <v>1490</v>
      </c>
      <c r="J42" s="8" t="s">
        <v>1384</v>
      </c>
      <c r="K42" s="8" t="s">
        <v>720</v>
      </c>
      <c r="L42" s="8" t="s">
        <v>105</v>
      </c>
      <c r="M42" s="8"/>
      <c r="N42" s="8" t="s">
        <v>1488</v>
      </c>
      <c r="O42" s="8"/>
      <c r="P42" s="49"/>
      <c r="Q42" s="8" t="s">
        <v>284</v>
      </c>
      <c r="R42" s="8" t="s">
        <v>108</v>
      </c>
      <c r="S42" s="8"/>
      <c r="T42" s="8"/>
      <c r="U42" s="8" t="s">
        <v>110</v>
      </c>
      <c r="V42" s="8"/>
      <c r="W42" s="8" t="s">
        <v>112</v>
      </c>
      <c r="X42" s="8" t="s">
        <v>173</v>
      </c>
      <c r="Y42" s="8" t="s">
        <v>203</v>
      </c>
      <c r="Z42" s="8" t="s">
        <v>114</v>
      </c>
      <c r="AA42" s="8" t="s">
        <v>115</v>
      </c>
      <c r="AB42" s="8"/>
      <c r="AC42" s="8"/>
      <c r="AD42" s="8" t="s">
        <v>115</v>
      </c>
      <c r="AE42" s="8" t="s">
        <v>116</v>
      </c>
      <c r="AF42" s="8"/>
      <c r="AG42" s="8"/>
      <c r="AH42" s="8" t="s">
        <v>116</v>
      </c>
      <c r="AI42" s="49" t="s">
        <v>175</v>
      </c>
      <c r="AJ42" s="49" t="s">
        <v>237</v>
      </c>
      <c r="AK42" s="8"/>
      <c r="AL42" s="8"/>
      <c r="AM42" s="8"/>
      <c r="AN42" s="8" t="s">
        <v>177</v>
      </c>
      <c r="AO42" s="8"/>
      <c r="AP42" s="8"/>
      <c r="AQ42" s="8"/>
      <c r="AR42" s="8"/>
      <c r="AS42" s="8"/>
      <c r="AT42" s="8" t="s">
        <v>285</v>
      </c>
      <c r="AU42" s="9" t="str">
        <f>IF($AT42="","",IFERROR(INDEX(InstructorMap!$B:$B, MATCH($AT42, InstructorMap!$A:$A, 0)),""))</f>
        <v/>
      </c>
      <c r="AV42" s="9" t="str">
        <f>IF($AT42="","",IFERROR(INDEX(InstructorMap!$C:$C, MATCH($AT42, InstructorMap!$A:$A, 0)),""))</f>
        <v/>
      </c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 t="s">
        <v>1398</v>
      </c>
      <c r="BI42" s="8" t="s">
        <v>124</v>
      </c>
      <c r="BJ42" s="8" t="s">
        <v>125</v>
      </c>
      <c r="BK42" s="8" t="s">
        <v>173</v>
      </c>
      <c r="BL42" s="8" t="s">
        <v>126</v>
      </c>
      <c r="BM42" s="8"/>
      <c r="BN42" s="8"/>
      <c r="BO42" s="8" t="s">
        <v>127</v>
      </c>
      <c r="BP42" s="8"/>
      <c r="BQ42" s="8" t="s">
        <v>1469</v>
      </c>
      <c r="BR42" s="8"/>
      <c r="BS42" s="8"/>
      <c r="BT42" s="8" t="s">
        <v>128</v>
      </c>
      <c r="BU42" s="8" t="s">
        <v>129</v>
      </c>
      <c r="BV42" s="8" t="s">
        <v>129</v>
      </c>
      <c r="BW42" s="8"/>
      <c r="BX42" s="8"/>
      <c r="BY42" s="8"/>
      <c r="BZ42" s="8"/>
      <c r="CA42" s="8"/>
      <c r="CB42" s="8"/>
      <c r="CC42" s="8"/>
      <c r="CD42" s="8"/>
      <c r="CE42" s="8"/>
      <c r="CF42" s="8" t="s">
        <v>130</v>
      </c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 t="s">
        <v>132</v>
      </c>
      <c r="CT42" s="8" t="s">
        <v>133</v>
      </c>
      <c r="CU42" s="8" t="s">
        <v>134</v>
      </c>
      <c r="CV42" s="8"/>
    </row>
    <row r="43" spans="1:100" x14ac:dyDescent="0.2">
      <c r="A43" s="77" t="b">
        <v>0</v>
      </c>
      <c r="B43" s="78" t="b">
        <v>0</v>
      </c>
      <c r="C43" s="78" t="b">
        <v>1</v>
      </c>
      <c r="D43" s="78" t="b">
        <v>0</v>
      </c>
      <c r="E43" s="78" t="b">
        <v>0</v>
      </c>
      <c r="F43" s="77" t="b">
        <v>0</v>
      </c>
      <c r="G43" s="79" t="s">
        <v>271</v>
      </c>
      <c r="H43" s="49" t="s">
        <v>1491</v>
      </c>
      <c r="I43" s="49" t="s">
        <v>1492</v>
      </c>
      <c r="J43" s="49" t="s">
        <v>1384</v>
      </c>
      <c r="K43" s="49" t="s">
        <v>243</v>
      </c>
      <c r="L43" s="49" t="s">
        <v>255</v>
      </c>
      <c r="M43" s="49"/>
      <c r="N43" s="49" t="s">
        <v>245</v>
      </c>
      <c r="O43" s="49"/>
      <c r="P43" s="49"/>
      <c r="Q43" s="49"/>
      <c r="R43" s="49" t="s">
        <v>129</v>
      </c>
      <c r="S43" s="49"/>
      <c r="T43" s="49"/>
      <c r="U43" s="49"/>
      <c r="V43" s="49"/>
      <c r="W43" s="49" t="s">
        <v>247</v>
      </c>
      <c r="X43" s="49" t="s">
        <v>134</v>
      </c>
      <c r="Y43" s="49" t="s">
        <v>148</v>
      </c>
      <c r="Z43" s="49" t="s">
        <v>142</v>
      </c>
      <c r="AA43" s="49" t="s">
        <v>115</v>
      </c>
      <c r="AB43" s="49"/>
      <c r="AC43" s="49"/>
      <c r="AD43" s="49" t="s">
        <v>115</v>
      </c>
      <c r="AE43" s="49" t="s">
        <v>116</v>
      </c>
      <c r="AF43" s="49"/>
      <c r="AG43" s="49"/>
      <c r="AH43" s="49" t="s">
        <v>116</v>
      </c>
      <c r="AI43" s="49" t="s">
        <v>175</v>
      </c>
      <c r="AJ43" s="49" t="s">
        <v>237</v>
      </c>
      <c r="AK43" s="49"/>
      <c r="AL43" s="49"/>
      <c r="AM43" s="49"/>
      <c r="AN43" s="49"/>
      <c r="AO43" s="49"/>
      <c r="AP43" s="49"/>
      <c r="AQ43" s="49"/>
      <c r="AR43" s="49"/>
      <c r="AS43" s="49"/>
      <c r="AT43" s="49" t="s">
        <v>320</v>
      </c>
      <c r="AU43" s="50" t="str">
        <f>IF($AT43="","",IFERROR(INDEX(InstructorMap!$B:$B, MATCH($AT43, InstructorMap!$A:$A, 0)),""))</f>
        <v>fortind@andrews.edu</v>
      </c>
      <c r="AV43" s="50" t="str">
        <f>IF($AT43="","",IFERROR(INDEX(InstructorMap!$C:$C, MATCH($AT43, InstructorMap!$A:$A, 0)),""))</f>
        <v>000043638</v>
      </c>
      <c r="AW43" s="49" t="s">
        <v>121</v>
      </c>
      <c r="AX43" s="49"/>
      <c r="AY43" s="49"/>
      <c r="AZ43" s="49"/>
      <c r="BA43" s="49"/>
      <c r="BB43" s="49"/>
      <c r="BC43" s="49"/>
      <c r="BD43" s="49"/>
      <c r="BE43" s="49"/>
      <c r="BF43" s="49"/>
      <c r="BG43" s="49"/>
      <c r="BH43" s="49" t="s">
        <v>1398</v>
      </c>
      <c r="BI43" s="49" t="s">
        <v>124</v>
      </c>
      <c r="BJ43" s="49" t="s">
        <v>125</v>
      </c>
      <c r="BK43" s="49" t="s">
        <v>134</v>
      </c>
      <c r="BL43" s="49" t="s">
        <v>249</v>
      </c>
      <c r="BM43" s="49"/>
      <c r="BN43" s="49"/>
      <c r="BO43" s="49" t="s">
        <v>127</v>
      </c>
      <c r="BP43" s="49"/>
      <c r="BQ43" s="49"/>
      <c r="BR43" s="49"/>
      <c r="BS43" s="49"/>
      <c r="BT43" s="49" t="s">
        <v>128</v>
      </c>
      <c r="BU43" s="49" t="s">
        <v>129</v>
      </c>
      <c r="BV43" s="49" t="s">
        <v>129</v>
      </c>
      <c r="BW43" s="49" t="s">
        <v>130</v>
      </c>
      <c r="BX43" s="49"/>
      <c r="BY43" s="49"/>
      <c r="BZ43" s="49"/>
      <c r="CA43" s="49"/>
      <c r="CB43" s="49"/>
      <c r="CC43" s="49"/>
      <c r="CD43" s="49"/>
      <c r="CE43" s="49"/>
      <c r="CF43" s="49" t="s">
        <v>130</v>
      </c>
      <c r="CG43" s="49"/>
      <c r="CH43" s="49"/>
      <c r="CI43" s="49"/>
      <c r="CJ43" s="49"/>
      <c r="CK43" s="49"/>
      <c r="CL43" s="49"/>
      <c r="CM43" s="49"/>
      <c r="CN43" s="49"/>
      <c r="CO43" s="49"/>
      <c r="CP43" s="49"/>
      <c r="CQ43" s="49"/>
      <c r="CR43" s="49" t="s">
        <v>315</v>
      </c>
      <c r="CS43" s="49" t="s">
        <v>132</v>
      </c>
      <c r="CT43" s="49" t="s">
        <v>133</v>
      </c>
      <c r="CU43" s="49" t="s">
        <v>134</v>
      </c>
      <c r="CV43" s="49"/>
    </row>
    <row r="44" spans="1:100" x14ac:dyDescent="0.2">
      <c r="A44" s="77" t="b">
        <v>0</v>
      </c>
      <c r="B44" s="78" t="b">
        <v>0</v>
      </c>
      <c r="C44" s="78" t="b">
        <v>1</v>
      </c>
      <c r="D44" s="78" t="b">
        <v>0</v>
      </c>
      <c r="E44" s="78" t="b">
        <v>0</v>
      </c>
      <c r="F44" s="77" t="b">
        <v>0</v>
      </c>
      <c r="G44" s="79" t="s">
        <v>271</v>
      </c>
      <c r="H44" s="49" t="s">
        <v>1493</v>
      </c>
      <c r="I44" s="49" t="s">
        <v>1494</v>
      </c>
      <c r="J44" s="49" t="s">
        <v>1384</v>
      </c>
      <c r="K44" s="49" t="s">
        <v>243</v>
      </c>
      <c r="L44" s="49" t="s">
        <v>258</v>
      </c>
      <c r="M44" s="49"/>
      <c r="N44" s="49" t="s">
        <v>245</v>
      </c>
      <c r="O44" s="49"/>
      <c r="P44" s="49"/>
      <c r="Q44" s="49"/>
      <c r="R44" s="49" t="s">
        <v>129</v>
      </c>
      <c r="S44" s="49"/>
      <c r="T44" s="49"/>
      <c r="U44" s="49"/>
      <c r="V44" s="49"/>
      <c r="W44" s="49" t="s">
        <v>247</v>
      </c>
      <c r="X44" s="49"/>
      <c r="Y44" s="49" t="s">
        <v>203</v>
      </c>
      <c r="Z44" s="49" t="s">
        <v>142</v>
      </c>
      <c r="AA44" s="49" t="s">
        <v>115</v>
      </c>
      <c r="AB44" s="49"/>
      <c r="AC44" s="49"/>
      <c r="AD44" s="49" t="s">
        <v>115</v>
      </c>
      <c r="AE44" s="49" t="s">
        <v>116</v>
      </c>
      <c r="AF44" s="49"/>
      <c r="AG44" s="49"/>
      <c r="AH44" s="49" t="s">
        <v>116</v>
      </c>
      <c r="AI44" s="49" t="s">
        <v>175</v>
      </c>
      <c r="AJ44" s="49" t="s">
        <v>237</v>
      </c>
      <c r="AK44" s="49"/>
      <c r="AL44" s="49"/>
      <c r="AM44" s="49"/>
      <c r="AN44" s="49"/>
      <c r="AO44" s="49"/>
      <c r="AP44" s="49"/>
      <c r="AQ44" s="49"/>
      <c r="AR44" s="49"/>
      <c r="AS44" s="49"/>
      <c r="AT44" s="49" t="s">
        <v>1427</v>
      </c>
      <c r="AU44" s="50" t="str">
        <f>IF($AT44="","",IFERROR(INDEX(InstructorMap!$B:$B, MATCH($AT44, InstructorMap!$A:$A, 0)),""))</f>
        <v>jad@andrews.edu</v>
      </c>
      <c r="AV44" s="50" t="str">
        <f>IF($AT44="","",IFERROR(INDEX(InstructorMap!$C:$C, MATCH($AT44, InstructorMap!$A:$A, 0)),""))</f>
        <v>000012454</v>
      </c>
      <c r="AW44" s="49" t="s">
        <v>121</v>
      </c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9" t="s">
        <v>1398</v>
      </c>
      <c r="BI44" s="49" t="s">
        <v>124</v>
      </c>
      <c r="BJ44" s="49" t="s">
        <v>125</v>
      </c>
      <c r="BK44" s="49"/>
      <c r="BL44" s="49" t="s">
        <v>249</v>
      </c>
      <c r="BM44" s="49"/>
      <c r="BN44" s="49"/>
      <c r="BO44" s="49" t="s">
        <v>127</v>
      </c>
      <c r="BP44" s="49"/>
      <c r="BQ44" s="49"/>
      <c r="BR44" s="49"/>
      <c r="BS44" s="49"/>
      <c r="BT44" s="49" t="s">
        <v>128</v>
      </c>
      <c r="BU44" s="49" t="s">
        <v>129</v>
      </c>
      <c r="BV44" s="49" t="s">
        <v>129</v>
      </c>
      <c r="BW44" s="49" t="s">
        <v>130</v>
      </c>
      <c r="BX44" s="49"/>
      <c r="BY44" s="49"/>
      <c r="BZ44" s="49"/>
      <c r="CA44" s="49"/>
      <c r="CB44" s="49"/>
      <c r="CC44" s="49"/>
      <c r="CD44" s="49"/>
      <c r="CE44" s="49"/>
      <c r="CF44" s="49" t="s">
        <v>130</v>
      </c>
      <c r="CG44" s="49"/>
      <c r="CH44" s="49"/>
      <c r="CI44" s="49"/>
      <c r="CJ44" s="49"/>
      <c r="CK44" s="49"/>
      <c r="CL44" s="49"/>
      <c r="CM44" s="49"/>
      <c r="CN44" s="49"/>
      <c r="CO44" s="49"/>
      <c r="CP44" s="49"/>
      <c r="CQ44" s="49"/>
      <c r="CR44" s="49" t="s">
        <v>249</v>
      </c>
      <c r="CS44" s="49" t="s">
        <v>132</v>
      </c>
      <c r="CT44" s="49" t="s">
        <v>133</v>
      </c>
      <c r="CU44" s="49" t="s">
        <v>134</v>
      </c>
      <c r="CV44" s="49"/>
    </row>
    <row r="45" spans="1:100" x14ac:dyDescent="0.2">
      <c r="A45" s="77" t="b">
        <v>0</v>
      </c>
      <c r="B45" s="78" t="b">
        <v>0</v>
      </c>
      <c r="C45" s="78" t="b">
        <v>1</v>
      </c>
      <c r="D45" s="78" t="b">
        <v>0</v>
      </c>
      <c r="E45" s="78" t="b">
        <v>0</v>
      </c>
      <c r="F45" s="77" t="b">
        <v>0</v>
      </c>
      <c r="G45" s="79" t="s">
        <v>271</v>
      </c>
      <c r="H45" s="49" t="s">
        <v>1495</v>
      </c>
      <c r="I45" s="49" t="s">
        <v>1496</v>
      </c>
      <c r="J45" s="49" t="s">
        <v>1384</v>
      </c>
      <c r="K45" s="49" t="s">
        <v>267</v>
      </c>
      <c r="L45" s="49" t="s">
        <v>148</v>
      </c>
      <c r="M45" s="49"/>
      <c r="N45" s="49" t="s">
        <v>455</v>
      </c>
      <c r="O45" s="49" t="s">
        <v>1443</v>
      </c>
      <c r="P45" s="49"/>
      <c r="Q45" s="49" t="s">
        <v>1394</v>
      </c>
      <c r="R45" s="49" t="s">
        <v>108</v>
      </c>
      <c r="S45" s="49"/>
      <c r="T45" s="49"/>
      <c r="U45" s="49" t="s">
        <v>149</v>
      </c>
      <c r="V45" s="49"/>
      <c r="W45" s="49" t="s">
        <v>247</v>
      </c>
      <c r="X45" s="49"/>
      <c r="Y45" s="49" t="s">
        <v>203</v>
      </c>
      <c r="Z45" s="49" t="s">
        <v>114</v>
      </c>
      <c r="AA45" s="49" t="s">
        <v>115</v>
      </c>
      <c r="AB45" s="49"/>
      <c r="AC45" s="49"/>
      <c r="AD45" s="49" t="s">
        <v>115</v>
      </c>
      <c r="AE45" s="49" t="s">
        <v>116</v>
      </c>
      <c r="AF45" s="49"/>
      <c r="AG45" s="49"/>
      <c r="AH45" s="49" t="s">
        <v>116</v>
      </c>
      <c r="AI45" s="49" t="s">
        <v>175</v>
      </c>
      <c r="AJ45" s="49" t="s">
        <v>237</v>
      </c>
      <c r="AK45" s="49"/>
      <c r="AL45" s="49"/>
      <c r="AM45" s="49"/>
      <c r="AN45" s="49"/>
      <c r="AO45" s="49"/>
      <c r="AP45" s="49"/>
      <c r="AQ45" s="49"/>
      <c r="AR45" s="49"/>
      <c r="AS45" s="49"/>
      <c r="AT45" s="49" t="s">
        <v>1407</v>
      </c>
      <c r="AU45" s="50" t="str">
        <f>IF($AT45="","",IFERROR(INDEX(InstructorMap!$B:$B, MATCH($AT45, InstructorMap!$A:$A, 0)),""))</f>
        <v>mhanna@andrews.edu</v>
      </c>
      <c r="AV45" s="50" t="str">
        <f>IF($AT45="","",IFERROR(INDEX(InstructorMap!$C:$C, MATCH($AT45, InstructorMap!$A:$A, 0)),""))</f>
        <v>000057080</v>
      </c>
      <c r="AW45" s="49" t="s">
        <v>121</v>
      </c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 t="s">
        <v>1398</v>
      </c>
      <c r="BI45" s="49" t="s">
        <v>124</v>
      </c>
      <c r="BJ45" s="49" t="s">
        <v>125</v>
      </c>
      <c r="BK45" s="49"/>
      <c r="BL45" s="49" t="s">
        <v>126</v>
      </c>
      <c r="BM45" s="49"/>
      <c r="BN45" s="49"/>
      <c r="BO45" s="49" t="s">
        <v>127</v>
      </c>
      <c r="BP45" s="49"/>
      <c r="BQ45" s="49"/>
      <c r="BR45" s="49"/>
      <c r="BS45" s="49"/>
      <c r="BT45" s="49" t="s">
        <v>128</v>
      </c>
      <c r="BU45" s="49" t="s">
        <v>129</v>
      </c>
      <c r="BV45" s="49" t="s">
        <v>129</v>
      </c>
      <c r="BW45" s="49" t="s">
        <v>130</v>
      </c>
      <c r="BX45" s="49"/>
      <c r="BY45" s="49"/>
      <c r="BZ45" s="49"/>
      <c r="CA45" s="49"/>
      <c r="CB45" s="49"/>
      <c r="CC45" s="49"/>
      <c r="CD45" s="49"/>
      <c r="CE45" s="49"/>
      <c r="CF45" s="49" t="s">
        <v>130</v>
      </c>
      <c r="CG45" s="49"/>
      <c r="CH45" s="49"/>
      <c r="CI45" s="49"/>
      <c r="CJ45" s="49"/>
      <c r="CK45" s="49"/>
      <c r="CL45" s="49"/>
      <c r="CM45" s="49"/>
      <c r="CN45" s="49"/>
      <c r="CO45" s="49"/>
      <c r="CP45" s="49"/>
      <c r="CQ45" s="49"/>
      <c r="CR45" s="49"/>
      <c r="CS45" s="49" t="s">
        <v>132</v>
      </c>
      <c r="CT45" s="49" t="s">
        <v>133</v>
      </c>
      <c r="CU45" s="49" t="s">
        <v>134</v>
      </c>
      <c r="CV45" s="49"/>
    </row>
    <row r="46" spans="1:100" x14ac:dyDescent="0.2">
      <c r="A46" s="77" t="b">
        <v>0</v>
      </c>
      <c r="B46" s="78" t="b">
        <v>0</v>
      </c>
      <c r="C46" s="78" t="b">
        <v>1</v>
      </c>
      <c r="D46" s="78" t="b">
        <v>0</v>
      </c>
      <c r="E46" s="78" t="b">
        <v>0</v>
      </c>
      <c r="F46" s="77" t="b">
        <v>0</v>
      </c>
      <c r="G46" s="79" t="s">
        <v>271</v>
      </c>
      <c r="H46" s="49" t="s">
        <v>1497</v>
      </c>
      <c r="I46" s="49" t="s">
        <v>1498</v>
      </c>
      <c r="J46" s="49" t="s">
        <v>1384</v>
      </c>
      <c r="K46" s="49" t="s">
        <v>267</v>
      </c>
      <c r="L46" s="49" t="s">
        <v>105</v>
      </c>
      <c r="M46" s="49"/>
      <c r="N46" s="49" t="s">
        <v>455</v>
      </c>
      <c r="O46" s="49" t="s">
        <v>1499</v>
      </c>
      <c r="P46" s="49"/>
      <c r="Q46" s="49" t="s">
        <v>1441</v>
      </c>
      <c r="R46" s="49" t="s">
        <v>108</v>
      </c>
      <c r="S46" s="49"/>
      <c r="T46" s="49"/>
      <c r="U46" s="49" t="s">
        <v>110</v>
      </c>
      <c r="V46" s="49"/>
      <c r="W46" s="49" t="s">
        <v>247</v>
      </c>
      <c r="X46" s="49"/>
      <c r="Y46" s="49" t="s">
        <v>203</v>
      </c>
      <c r="Z46" s="49" t="s">
        <v>114</v>
      </c>
      <c r="AA46" s="49" t="s">
        <v>115</v>
      </c>
      <c r="AB46" s="49"/>
      <c r="AC46" s="49"/>
      <c r="AD46" s="49" t="s">
        <v>115</v>
      </c>
      <c r="AE46" s="49" t="s">
        <v>116</v>
      </c>
      <c r="AF46" s="49"/>
      <c r="AG46" s="49"/>
      <c r="AH46" s="49" t="s">
        <v>116</v>
      </c>
      <c r="AI46" s="49" t="s">
        <v>175</v>
      </c>
      <c r="AJ46" s="49" t="s">
        <v>237</v>
      </c>
      <c r="AK46" s="49"/>
      <c r="AL46" s="49"/>
      <c r="AM46" s="49" t="s">
        <v>211</v>
      </c>
      <c r="AN46" s="49"/>
      <c r="AO46" s="49"/>
      <c r="AP46" s="49"/>
      <c r="AQ46" s="49"/>
      <c r="AR46" s="49"/>
      <c r="AS46" s="49"/>
      <c r="AT46" s="49"/>
      <c r="AU46" s="50" t="str">
        <f>IF($AT46="","",IFERROR(INDEX(InstructorMap!$B:$B, MATCH($AT46, InstructorMap!$A:$A, 0)),""))</f>
        <v/>
      </c>
      <c r="AV46" s="50" t="str">
        <f>IF($AT46="","",IFERROR(INDEX(InstructorMap!$C:$C, MATCH($AT46, InstructorMap!$A:$A, 0)),""))</f>
        <v/>
      </c>
      <c r="AW46" s="49" t="s">
        <v>121</v>
      </c>
      <c r="AX46" s="49"/>
      <c r="AY46" s="49"/>
      <c r="AZ46" s="49"/>
      <c r="BA46" s="49"/>
      <c r="BB46" s="49"/>
      <c r="BC46" s="49"/>
      <c r="BD46" s="49"/>
      <c r="BE46" s="49"/>
      <c r="BF46" s="49"/>
      <c r="BG46" s="49"/>
      <c r="BH46" s="49" t="s">
        <v>1398</v>
      </c>
      <c r="BI46" s="49" t="s">
        <v>124</v>
      </c>
      <c r="BJ46" s="49" t="s">
        <v>125</v>
      </c>
      <c r="BK46" s="49"/>
      <c r="BL46" s="49" t="s">
        <v>126</v>
      </c>
      <c r="BM46" s="49"/>
      <c r="BN46" s="49"/>
      <c r="BO46" s="49" t="s">
        <v>127</v>
      </c>
      <c r="BP46" s="49"/>
      <c r="BQ46" s="49"/>
      <c r="BR46" s="49"/>
      <c r="BS46" s="49"/>
      <c r="BT46" s="49" t="s">
        <v>128</v>
      </c>
      <c r="BU46" s="49" t="s">
        <v>129</v>
      </c>
      <c r="BV46" s="49" t="s">
        <v>129</v>
      </c>
      <c r="BW46" s="49" t="s">
        <v>130</v>
      </c>
      <c r="BX46" s="49" t="s">
        <v>131</v>
      </c>
      <c r="BY46" s="49"/>
      <c r="BZ46" s="49"/>
      <c r="CA46" s="49"/>
      <c r="CB46" s="49"/>
      <c r="CC46" s="49"/>
      <c r="CD46" s="49"/>
      <c r="CE46" s="49"/>
      <c r="CF46" s="49" t="s">
        <v>130</v>
      </c>
      <c r="CG46" s="49"/>
      <c r="CH46" s="49" t="s">
        <v>131</v>
      </c>
      <c r="CI46" s="49"/>
      <c r="CJ46" s="49"/>
      <c r="CK46" s="49"/>
      <c r="CL46" s="49"/>
      <c r="CM46" s="49"/>
      <c r="CN46" s="49"/>
      <c r="CO46" s="49"/>
      <c r="CP46" s="49"/>
      <c r="CQ46" s="49"/>
      <c r="CR46" s="49"/>
      <c r="CS46" s="49" t="s">
        <v>132</v>
      </c>
      <c r="CT46" s="49" t="s">
        <v>133</v>
      </c>
      <c r="CU46" s="49" t="s">
        <v>134</v>
      </c>
      <c r="CV46" s="49"/>
    </row>
    <row r="47" spans="1:100" x14ac:dyDescent="0.2">
      <c r="A47" s="77" t="b">
        <v>0</v>
      </c>
      <c r="B47" s="78" t="b">
        <v>0</v>
      </c>
      <c r="C47" s="78" t="b">
        <v>1</v>
      </c>
      <c r="D47" s="78" t="b">
        <v>0</v>
      </c>
      <c r="E47" s="78" t="b">
        <v>0</v>
      </c>
      <c r="F47" s="77" t="b">
        <v>0</v>
      </c>
      <c r="G47" s="79" t="s">
        <v>271</v>
      </c>
      <c r="H47" s="49" t="s">
        <v>1500</v>
      </c>
      <c r="I47" s="49" t="s">
        <v>104</v>
      </c>
      <c r="J47" s="49" t="s">
        <v>1384</v>
      </c>
      <c r="K47" s="49" t="s">
        <v>267</v>
      </c>
      <c r="L47" s="49" t="s">
        <v>234</v>
      </c>
      <c r="M47" s="49"/>
      <c r="N47" s="49" t="s">
        <v>455</v>
      </c>
      <c r="O47" s="49" t="s">
        <v>283</v>
      </c>
      <c r="P47" s="49"/>
      <c r="Q47" s="49" t="s">
        <v>284</v>
      </c>
      <c r="R47" s="49" t="s">
        <v>129</v>
      </c>
      <c r="S47" s="49"/>
      <c r="T47" s="49"/>
      <c r="U47" s="49"/>
      <c r="V47" s="49"/>
      <c r="W47" s="49" t="s">
        <v>247</v>
      </c>
      <c r="X47" s="49"/>
      <c r="Y47" s="49" t="s">
        <v>203</v>
      </c>
      <c r="Z47" s="49" t="s">
        <v>142</v>
      </c>
      <c r="AA47" s="49" t="s">
        <v>115</v>
      </c>
      <c r="AB47" s="49"/>
      <c r="AC47" s="49"/>
      <c r="AD47" s="49" t="s">
        <v>115</v>
      </c>
      <c r="AE47" s="49" t="s">
        <v>116</v>
      </c>
      <c r="AF47" s="49"/>
      <c r="AG47" s="49"/>
      <c r="AH47" s="49" t="s">
        <v>116</v>
      </c>
      <c r="AI47" s="49" t="s">
        <v>175</v>
      </c>
      <c r="AJ47" s="49" t="s">
        <v>237</v>
      </c>
      <c r="AK47" s="49"/>
      <c r="AL47" s="49"/>
      <c r="AM47" s="49"/>
      <c r="AN47" s="49" t="s">
        <v>177</v>
      </c>
      <c r="AO47" s="49"/>
      <c r="AP47" s="49"/>
      <c r="AQ47" s="49"/>
      <c r="AR47" s="49"/>
      <c r="AS47" s="49"/>
      <c r="AT47" s="49" t="s">
        <v>676</v>
      </c>
      <c r="AU47" s="50" t="str">
        <f>IF($AT47="","",IFERROR(INDEX(InstructorMap!$B:$B, MATCH($AT47, InstructorMap!$A:$A, 0)),""))</f>
        <v>jeroncic@andrews.edu</v>
      </c>
      <c r="AV47" s="50" t="str">
        <f>IF($AT47="","",IFERROR(INDEX(InstructorMap!$C:$C, MATCH($AT47, InstructorMap!$A:$A, 0)),""))</f>
        <v>000066942</v>
      </c>
      <c r="AW47" s="49"/>
      <c r="AX47" s="49"/>
      <c r="AY47" s="49"/>
      <c r="AZ47" s="49"/>
      <c r="BA47" s="49"/>
      <c r="BB47" s="49"/>
      <c r="BC47" s="49"/>
      <c r="BD47" s="49"/>
      <c r="BE47" s="49"/>
      <c r="BF47" s="49"/>
      <c r="BG47" s="49"/>
      <c r="BH47" s="49" t="s">
        <v>1398</v>
      </c>
      <c r="BI47" s="49" t="s">
        <v>124</v>
      </c>
      <c r="BJ47" s="49" t="s">
        <v>125</v>
      </c>
      <c r="BK47" s="49"/>
      <c r="BL47" s="49" t="s">
        <v>125</v>
      </c>
      <c r="BM47" s="49"/>
      <c r="BN47" s="49"/>
      <c r="BO47" s="49" t="s">
        <v>127</v>
      </c>
      <c r="BP47" s="49"/>
      <c r="BQ47" s="49"/>
      <c r="BR47" s="49"/>
      <c r="BS47" s="49"/>
      <c r="BT47" s="49" t="s">
        <v>128</v>
      </c>
      <c r="BU47" s="49" t="s">
        <v>129</v>
      </c>
      <c r="BV47" s="49" t="s">
        <v>129</v>
      </c>
      <c r="BW47" s="49"/>
      <c r="BX47" s="49"/>
      <c r="BY47" s="49"/>
      <c r="BZ47" s="49"/>
      <c r="CA47" s="49"/>
      <c r="CB47" s="49"/>
      <c r="CC47" s="49"/>
      <c r="CD47" s="49"/>
      <c r="CE47" s="49"/>
      <c r="CF47" s="49" t="s">
        <v>130</v>
      </c>
      <c r="CG47" s="49"/>
      <c r="CH47" s="49" t="s">
        <v>131</v>
      </c>
      <c r="CI47" s="49"/>
      <c r="CJ47" s="49"/>
      <c r="CK47" s="49"/>
      <c r="CL47" s="49"/>
      <c r="CM47" s="49"/>
      <c r="CN47" s="49"/>
      <c r="CO47" s="49"/>
      <c r="CP47" s="49"/>
      <c r="CQ47" s="49"/>
      <c r="CR47" s="49"/>
      <c r="CS47" s="49" t="s">
        <v>132</v>
      </c>
      <c r="CT47" s="49" t="s">
        <v>133</v>
      </c>
      <c r="CU47" s="49" t="s">
        <v>134</v>
      </c>
      <c r="CV47" s="49"/>
    </row>
    <row r="48" spans="1:100" x14ac:dyDescent="0.2">
      <c r="A48" s="77" t="b">
        <v>0</v>
      </c>
      <c r="B48" s="78" t="b">
        <v>0</v>
      </c>
      <c r="C48" s="78" t="b">
        <v>1</v>
      </c>
      <c r="D48" s="78" t="b">
        <v>0</v>
      </c>
      <c r="E48" s="78" t="b">
        <v>0</v>
      </c>
      <c r="F48" s="77" t="b">
        <v>0</v>
      </c>
      <c r="G48" s="79" t="s">
        <v>271</v>
      </c>
      <c r="H48" s="49" t="s">
        <v>1501</v>
      </c>
      <c r="I48" s="49" t="s">
        <v>1502</v>
      </c>
      <c r="J48" s="49" t="s">
        <v>1384</v>
      </c>
      <c r="K48" s="49" t="s">
        <v>267</v>
      </c>
      <c r="L48" s="49" t="s">
        <v>560</v>
      </c>
      <c r="M48" s="49"/>
      <c r="N48" s="49" t="s">
        <v>455</v>
      </c>
      <c r="O48" s="49" t="s">
        <v>1503</v>
      </c>
      <c r="P48" s="49"/>
      <c r="Q48" s="49" t="s">
        <v>1479</v>
      </c>
      <c r="R48" s="49" t="s">
        <v>129</v>
      </c>
      <c r="S48" s="49"/>
      <c r="T48" s="49"/>
      <c r="U48" s="49"/>
      <c r="V48" s="49"/>
      <c r="W48" s="49" t="s">
        <v>247</v>
      </c>
      <c r="X48" s="49"/>
      <c r="Y48" s="49" t="s">
        <v>591</v>
      </c>
      <c r="Z48" s="49" t="s">
        <v>142</v>
      </c>
      <c r="AA48" s="49" t="s">
        <v>115</v>
      </c>
      <c r="AB48" s="49"/>
      <c r="AC48" s="49"/>
      <c r="AD48" s="49" t="s">
        <v>115</v>
      </c>
      <c r="AE48" s="49" t="s">
        <v>116</v>
      </c>
      <c r="AF48" s="49"/>
      <c r="AG48" s="49"/>
      <c r="AH48" s="49" t="s">
        <v>116</v>
      </c>
      <c r="AI48" s="49" t="s">
        <v>175</v>
      </c>
      <c r="AJ48" s="49" t="s">
        <v>237</v>
      </c>
      <c r="AK48" s="49"/>
      <c r="AL48" s="49"/>
      <c r="AM48" s="49"/>
      <c r="AN48" s="49"/>
      <c r="AO48" s="49" t="s">
        <v>221</v>
      </c>
      <c r="AP48" s="49"/>
      <c r="AQ48" s="49"/>
      <c r="AR48" s="49"/>
      <c r="AS48" s="49" t="s">
        <v>144</v>
      </c>
      <c r="AT48" s="49"/>
      <c r="AU48" s="50" t="str">
        <f>IF($AT48="","",IFERROR(INDEX(InstructorMap!$B:$B, MATCH($AT48, InstructorMap!$A:$A, 0)),""))</f>
        <v/>
      </c>
      <c r="AV48" s="50" t="str">
        <f>IF($AT48="","",IFERROR(INDEX(InstructorMap!$C:$C, MATCH($AT48, InstructorMap!$A:$A, 0)),""))</f>
        <v/>
      </c>
      <c r="AW48" s="49" t="s">
        <v>121</v>
      </c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 t="s">
        <v>1398</v>
      </c>
      <c r="BI48" s="49" t="s">
        <v>124</v>
      </c>
      <c r="BJ48" s="49" t="s">
        <v>125</v>
      </c>
      <c r="BK48" s="49"/>
      <c r="BL48" s="49" t="s">
        <v>125</v>
      </c>
      <c r="BM48" s="49"/>
      <c r="BN48" s="49"/>
      <c r="BO48" s="49" t="s">
        <v>127</v>
      </c>
      <c r="BP48" s="49"/>
      <c r="BQ48" s="49"/>
      <c r="BR48" s="49"/>
      <c r="BS48" s="49"/>
      <c r="BT48" s="49" t="s">
        <v>128</v>
      </c>
      <c r="BU48" s="49" t="s">
        <v>129</v>
      </c>
      <c r="BV48" s="49" t="s">
        <v>129</v>
      </c>
      <c r="BW48" s="49" t="s">
        <v>130</v>
      </c>
      <c r="BX48" s="49" t="s">
        <v>131</v>
      </c>
      <c r="BY48" s="49"/>
      <c r="BZ48" s="49"/>
      <c r="CA48" s="49"/>
      <c r="CB48" s="49"/>
      <c r="CC48" s="49"/>
      <c r="CD48" s="49"/>
      <c r="CE48" s="49"/>
      <c r="CF48" s="49" t="s">
        <v>130</v>
      </c>
      <c r="CG48" s="49"/>
      <c r="CH48" s="49" t="s">
        <v>131</v>
      </c>
      <c r="CI48" s="49"/>
      <c r="CJ48" s="49"/>
      <c r="CK48" s="49"/>
      <c r="CL48" s="49"/>
      <c r="CM48" s="49"/>
      <c r="CN48" s="49"/>
      <c r="CO48" s="49"/>
      <c r="CP48" s="49"/>
      <c r="CQ48" s="49"/>
      <c r="CR48" s="49"/>
      <c r="CS48" s="49" t="s">
        <v>132</v>
      </c>
      <c r="CT48" s="49" t="s">
        <v>133</v>
      </c>
      <c r="CU48" s="49" t="s">
        <v>134</v>
      </c>
      <c r="CV48" s="49"/>
    </row>
    <row r="49" spans="1:100" x14ac:dyDescent="0.2">
      <c r="A49" s="77" t="b">
        <v>0</v>
      </c>
      <c r="B49" s="78" t="b">
        <v>0</v>
      </c>
      <c r="C49" s="78" t="b">
        <v>1</v>
      </c>
      <c r="D49" s="78" t="b">
        <v>0</v>
      </c>
      <c r="E49" s="78" t="b">
        <v>0</v>
      </c>
      <c r="F49" s="77" t="b">
        <v>0</v>
      </c>
      <c r="G49" s="79" t="s">
        <v>271</v>
      </c>
      <c r="H49" s="49" t="s">
        <v>1504</v>
      </c>
      <c r="I49" s="49" t="s">
        <v>1505</v>
      </c>
      <c r="J49" s="49" t="s">
        <v>1384</v>
      </c>
      <c r="K49" s="49" t="s">
        <v>323</v>
      </c>
      <c r="L49" s="49" t="s">
        <v>255</v>
      </c>
      <c r="M49" s="49"/>
      <c r="N49" s="49" t="s">
        <v>1506</v>
      </c>
      <c r="O49" s="49"/>
      <c r="P49" s="49"/>
      <c r="Q49" s="49"/>
      <c r="R49" s="49" t="s">
        <v>129</v>
      </c>
      <c r="S49" s="49"/>
      <c r="T49" s="49"/>
      <c r="U49" s="49"/>
      <c r="V49" s="49"/>
      <c r="W49" s="49" t="s">
        <v>290</v>
      </c>
      <c r="X49" s="49"/>
      <c r="Y49" s="49" t="s">
        <v>148</v>
      </c>
      <c r="Z49" s="49" t="s">
        <v>142</v>
      </c>
      <c r="AA49" s="49" t="s">
        <v>115</v>
      </c>
      <c r="AB49" s="49"/>
      <c r="AC49" s="49"/>
      <c r="AD49" s="49" t="s">
        <v>115</v>
      </c>
      <c r="AE49" s="49" t="s">
        <v>116</v>
      </c>
      <c r="AF49" s="49"/>
      <c r="AG49" s="49"/>
      <c r="AH49" s="49" t="s">
        <v>116</v>
      </c>
      <c r="AI49" s="49" t="s">
        <v>175</v>
      </c>
      <c r="AJ49" s="49" t="s">
        <v>237</v>
      </c>
      <c r="AK49" s="49"/>
      <c r="AL49" s="49"/>
      <c r="AM49" s="49"/>
      <c r="AN49" s="49"/>
      <c r="AO49" s="49"/>
      <c r="AP49" s="49"/>
      <c r="AQ49" s="49"/>
      <c r="AR49" s="49"/>
      <c r="AS49" s="49"/>
      <c r="AT49" s="49" t="s">
        <v>320</v>
      </c>
      <c r="AU49" s="50" t="str">
        <f>IF($AT49="","",IFERROR(INDEX(InstructorMap!$B:$B, MATCH($AT49, InstructorMap!$A:$A, 0)),""))</f>
        <v>fortind@andrews.edu</v>
      </c>
      <c r="AV49" s="50" t="str">
        <f>IF($AT49="","",IFERROR(INDEX(InstructorMap!$C:$C, MATCH($AT49, InstructorMap!$A:$A, 0)),""))</f>
        <v>000043638</v>
      </c>
      <c r="AW49" s="49" t="s">
        <v>121</v>
      </c>
      <c r="AX49" s="49"/>
      <c r="AY49" s="49"/>
      <c r="AZ49" s="49"/>
      <c r="BA49" s="49"/>
      <c r="BB49" s="49"/>
      <c r="BC49" s="49"/>
      <c r="BD49" s="49"/>
      <c r="BE49" s="49"/>
      <c r="BF49" s="49"/>
      <c r="BG49" s="49"/>
      <c r="BH49" s="49" t="s">
        <v>1398</v>
      </c>
      <c r="BI49" s="49" t="s">
        <v>124</v>
      </c>
      <c r="BJ49" s="49" t="s">
        <v>125</v>
      </c>
      <c r="BK49" s="49"/>
      <c r="BL49" s="49" t="s">
        <v>249</v>
      </c>
      <c r="BM49" s="49"/>
      <c r="BN49" s="49"/>
      <c r="BO49" s="49" t="s">
        <v>127</v>
      </c>
      <c r="BP49" s="49"/>
      <c r="BQ49" s="49" t="s">
        <v>1408</v>
      </c>
      <c r="BR49" s="49"/>
      <c r="BS49" s="49"/>
      <c r="BT49" s="49" t="s">
        <v>128</v>
      </c>
      <c r="BU49" s="49" t="s">
        <v>129</v>
      </c>
      <c r="BV49" s="49" t="s">
        <v>129</v>
      </c>
      <c r="BW49" s="49" t="s">
        <v>130</v>
      </c>
      <c r="BX49" s="49"/>
      <c r="BY49" s="49"/>
      <c r="BZ49" s="49"/>
      <c r="CA49" s="49"/>
      <c r="CB49" s="49"/>
      <c r="CC49" s="49"/>
      <c r="CD49" s="49"/>
      <c r="CE49" s="49"/>
      <c r="CF49" s="49" t="s">
        <v>130</v>
      </c>
      <c r="CG49" s="49"/>
      <c r="CH49" s="49"/>
      <c r="CI49" s="49"/>
      <c r="CJ49" s="49"/>
      <c r="CK49" s="49"/>
      <c r="CL49" s="49"/>
      <c r="CM49" s="49"/>
      <c r="CN49" s="49"/>
      <c r="CO49" s="49"/>
      <c r="CP49" s="49"/>
      <c r="CQ49" s="49"/>
      <c r="CR49" s="49" t="s">
        <v>249</v>
      </c>
      <c r="CS49" s="49" t="s">
        <v>132</v>
      </c>
      <c r="CT49" s="49" t="s">
        <v>133</v>
      </c>
      <c r="CU49" s="49" t="s">
        <v>134</v>
      </c>
      <c r="CV49" s="49"/>
    </row>
    <row r="50" spans="1:100" x14ac:dyDescent="0.2">
      <c r="A50" s="77" t="b">
        <v>0</v>
      </c>
      <c r="B50" s="78" t="b">
        <v>0</v>
      </c>
      <c r="C50" s="78" t="b">
        <v>1</v>
      </c>
      <c r="D50" s="78" t="b">
        <v>0</v>
      </c>
      <c r="E50" s="78" t="b">
        <v>0</v>
      </c>
      <c r="F50" s="77" t="b">
        <v>0</v>
      </c>
      <c r="G50" s="79" t="s">
        <v>271</v>
      </c>
      <c r="H50" s="49" t="s">
        <v>1507</v>
      </c>
      <c r="I50" s="49" t="s">
        <v>1508</v>
      </c>
      <c r="J50" s="49" t="s">
        <v>1384</v>
      </c>
      <c r="K50" s="49" t="s">
        <v>879</v>
      </c>
      <c r="L50" s="49" t="s">
        <v>244</v>
      </c>
      <c r="M50" s="49"/>
      <c r="N50" s="49" t="s">
        <v>245</v>
      </c>
      <c r="O50" s="49" t="s">
        <v>1509</v>
      </c>
      <c r="P50" s="49"/>
      <c r="Q50" s="49"/>
      <c r="R50" s="49" t="s">
        <v>129</v>
      </c>
      <c r="S50" s="49"/>
      <c r="T50" s="49"/>
      <c r="U50" s="49"/>
      <c r="V50" s="49"/>
      <c r="W50" s="49" t="s">
        <v>247</v>
      </c>
      <c r="X50" s="49"/>
      <c r="Y50" s="49" t="s">
        <v>203</v>
      </c>
      <c r="Z50" s="49" t="s">
        <v>142</v>
      </c>
      <c r="AA50" s="49" t="s">
        <v>115</v>
      </c>
      <c r="AB50" s="49"/>
      <c r="AC50" s="49"/>
      <c r="AD50" s="49" t="s">
        <v>115</v>
      </c>
      <c r="AE50" s="49" t="s">
        <v>116</v>
      </c>
      <c r="AF50" s="49"/>
      <c r="AG50" s="49"/>
      <c r="AH50" s="49" t="s">
        <v>116</v>
      </c>
      <c r="AI50" s="4" t="s">
        <v>175</v>
      </c>
      <c r="AJ50" s="4" t="s">
        <v>237</v>
      </c>
      <c r="AK50" s="49"/>
      <c r="AL50" s="49"/>
      <c r="AM50" s="49"/>
      <c r="AN50" s="49"/>
      <c r="AO50" s="49"/>
      <c r="AP50" s="49"/>
      <c r="AQ50" s="49"/>
      <c r="AR50" s="49"/>
      <c r="AS50" s="49"/>
      <c r="AT50" s="49" t="s">
        <v>320</v>
      </c>
      <c r="AU50" s="50" t="str">
        <f>IF($AT50="","",IFERROR(INDEX(InstructorMap!$B:$B, MATCH($AT50, InstructorMap!$A:$A, 0)),""))</f>
        <v>fortind@andrews.edu</v>
      </c>
      <c r="AV50" s="50" t="str">
        <f>IF($AT50="","",IFERROR(INDEX(InstructorMap!$C:$C, MATCH($AT50, InstructorMap!$A:$A, 0)),""))</f>
        <v>000043638</v>
      </c>
      <c r="AW50" s="49" t="s">
        <v>121</v>
      </c>
      <c r="AX50" s="49"/>
      <c r="AY50" s="49"/>
      <c r="AZ50" s="49"/>
      <c r="BA50" s="49"/>
      <c r="BB50" s="49"/>
      <c r="BC50" s="49"/>
      <c r="BD50" s="49"/>
      <c r="BE50" s="49"/>
      <c r="BF50" s="49"/>
      <c r="BG50" s="49"/>
      <c r="BH50" s="49" t="s">
        <v>1398</v>
      </c>
      <c r="BI50" s="49" t="s">
        <v>124</v>
      </c>
      <c r="BJ50" s="49" t="s">
        <v>125</v>
      </c>
      <c r="BK50" s="49"/>
      <c r="BL50" s="49" t="s">
        <v>249</v>
      </c>
      <c r="BM50" s="49"/>
      <c r="BN50" s="49"/>
      <c r="BO50" s="49" t="s">
        <v>127</v>
      </c>
      <c r="BP50" s="49"/>
      <c r="BQ50" s="49"/>
      <c r="BR50" s="49"/>
      <c r="BS50" s="49"/>
      <c r="BT50" s="49" t="s">
        <v>128</v>
      </c>
      <c r="BU50" s="49" t="s">
        <v>129</v>
      </c>
      <c r="BV50" s="49" t="s">
        <v>129</v>
      </c>
      <c r="BW50" s="49" t="s">
        <v>130</v>
      </c>
      <c r="BX50" s="49"/>
      <c r="BY50" s="49"/>
      <c r="BZ50" s="49"/>
      <c r="CA50" s="49"/>
      <c r="CB50" s="49"/>
      <c r="CC50" s="49"/>
      <c r="CD50" s="49"/>
      <c r="CE50" s="49"/>
      <c r="CF50" s="49" t="s">
        <v>130</v>
      </c>
      <c r="CG50" s="49"/>
      <c r="CH50" s="49"/>
      <c r="CI50" s="49"/>
      <c r="CJ50" s="49"/>
      <c r="CK50" s="49"/>
      <c r="CL50" s="49"/>
      <c r="CM50" s="49"/>
      <c r="CN50" s="49"/>
      <c r="CO50" s="49"/>
      <c r="CP50" s="49"/>
      <c r="CQ50" s="49"/>
      <c r="CR50" s="49" t="s">
        <v>249</v>
      </c>
      <c r="CS50" s="49" t="s">
        <v>132</v>
      </c>
      <c r="CT50" s="49" t="s">
        <v>133</v>
      </c>
      <c r="CU50" s="49" t="s">
        <v>134</v>
      </c>
      <c r="CV50" s="49"/>
    </row>
  </sheetData>
  <autoFilter ref="A1:CV32" xr:uid="{00000000-0009-0000-0000-000007000000}">
    <sortState xmlns:xlrd2="http://schemas.microsoft.com/office/spreadsheetml/2017/richdata2" ref="A2:CV32">
      <sortCondition ref="K1:K32"/>
    </sortState>
  </autoFilter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62">
        <x14:dataValidation type="list" allowBlank="1" xr:uid="{00000000-0002-0000-0700-000000000000}">
          <x14:formula1>
            <xm:f>DropDownMenu!$A$2:$A$3</xm:f>
          </x14:formula1>
          <xm:sqref>A33:A4988 F36</xm:sqref>
        </x14:dataValidation>
        <x14:dataValidation type="list" allowBlank="1" xr:uid="{00000000-0002-0000-0700-000001000000}">
          <x14:formula1>
            <xm:f>DropDownMenu!$B$2:$B$3</xm:f>
          </x14:formula1>
          <xm:sqref>B33:B4988</xm:sqref>
        </x14:dataValidation>
        <x14:dataValidation type="list" allowBlank="1" xr:uid="{00000000-0002-0000-0700-000002000000}">
          <x14:formula1>
            <xm:f>DropDownMenu!$C$2:$C$3</xm:f>
          </x14:formula1>
          <xm:sqref>D33:D4988</xm:sqref>
        </x14:dataValidation>
        <x14:dataValidation type="list" allowBlank="1" xr:uid="{00000000-0002-0000-0700-000003000000}">
          <x14:formula1>
            <xm:f>DropDownMenu!$D$2:$D$3</xm:f>
          </x14:formula1>
          <xm:sqref>E33:E4988</xm:sqref>
        </x14:dataValidation>
        <x14:dataValidation type="list" allowBlank="1" xr:uid="{00000000-0002-0000-0700-000004000000}">
          <x14:formula1>
            <xm:f>DropDownMenu!$E$2:$E$3</xm:f>
          </x14:formula1>
          <xm:sqref>F33:F35 F37:F4988</xm:sqref>
        </x14:dataValidation>
        <x14:dataValidation type="list" allowBlank="1" xr:uid="{00000000-0002-0000-0700-000005000000}">
          <x14:formula1>
            <xm:f>DropDownMenu!$G$2:$G$19</xm:f>
          </x14:formula1>
          <xm:sqref>G2:G3 G6 G8:G18 G21:G4988</xm:sqref>
        </x14:dataValidation>
        <x14:dataValidation type="list" allowBlank="1" showInputMessage="1" showErrorMessage="1" xr:uid="{00000000-0002-0000-0700-000051000000}">
          <x14:formula1>
            <xm:f>DropDownMenu!$A$2:$A$3</xm:f>
          </x14:formula1>
          <xm:sqref>A33:A4988 F36</xm:sqref>
        </x14:dataValidation>
        <x14:dataValidation type="list" allowBlank="1" showInputMessage="1" showErrorMessage="1" xr:uid="{00000000-0002-0000-0700-000052000000}">
          <x14:formula1>
            <xm:f>DropDownMenu!$B$2:$B$3</xm:f>
          </x14:formula1>
          <xm:sqref>B33:B4988</xm:sqref>
        </x14:dataValidation>
        <x14:dataValidation type="list" allowBlank="1" showInputMessage="1" showErrorMessage="1" xr:uid="{00000000-0002-0000-0700-000053000000}">
          <x14:formula1>
            <xm:f>DropDownMenu!$C$2:$C$3</xm:f>
          </x14:formula1>
          <xm:sqref>D33:D4988</xm:sqref>
        </x14:dataValidation>
        <x14:dataValidation type="list" allowBlank="1" showInputMessage="1" showErrorMessage="1" xr:uid="{00000000-0002-0000-0700-000054000000}">
          <x14:formula1>
            <xm:f>DropDownMenu!$D$2:$D$3</xm:f>
          </x14:formula1>
          <xm:sqref>E33:E4988</xm:sqref>
        </x14:dataValidation>
        <x14:dataValidation type="list" allowBlank="1" showInputMessage="1" showErrorMessage="1" xr:uid="{00000000-0002-0000-0700-000055000000}">
          <x14:formula1>
            <xm:f>DropDownMenu!$E$2:$E$3</xm:f>
          </x14:formula1>
          <xm:sqref>F33:F35 F37:F4988</xm:sqref>
        </x14:dataValidation>
        <x14:dataValidation type="list" allowBlank="1" showInputMessage="1" showErrorMessage="1" xr:uid="{00000000-0002-0000-0700-000056000000}">
          <x14:formula1>
            <xm:f>DropDownMenu!$G$2:$G$19</xm:f>
          </x14:formula1>
          <xm:sqref>G2:G3 G6 G8:G18 G21:G4988</xm:sqref>
        </x14:dataValidation>
        <x14:dataValidation type="list" allowBlank="1" xr:uid="{00000000-0002-0000-0700-00000C000000}">
          <x14:formula1>
            <xm:f>DropDownMenu!$N$2:$N$140</xm:f>
          </x14:formula1>
          <xm:sqref>N22:O25 N2:N21 N26:N4988</xm:sqref>
        </x14:dataValidation>
        <x14:dataValidation type="list" allowBlank="1" xr:uid="{00000000-0002-0000-0700-00000D000000}">
          <x14:formula1>
            <xm:f>DropDownMenu!$O$2:$O$65</xm:f>
          </x14:formula1>
          <xm:sqref>O2:O21 O24:O4988</xm:sqref>
        </x14:dataValidation>
        <x14:dataValidation type="list" allowBlank="1" showInputMessage="1" showErrorMessage="1" xr:uid="{00000000-0002-0000-0700-00005D000000}">
          <x14:formula1>
            <xm:f>DropDownMenu!$N$2:$N$140</xm:f>
          </x14:formula1>
          <xm:sqref>N22:O25 N2:N21 N26:N4988</xm:sqref>
        </x14:dataValidation>
        <x14:dataValidation type="list" allowBlank="1" showInputMessage="1" showErrorMessage="1" xr:uid="{00000000-0002-0000-0700-00005E000000}">
          <x14:formula1>
            <xm:f>DropDownMenu!$O$2:$O$65</xm:f>
          </x14:formula1>
          <xm:sqref>O2:O21 O24:O4988</xm:sqref>
        </x14:dataValidation>
        <x14:dataValidation type="list" allowBlank="1" xr:uid="{00000000-0002-0000-0700-000006000000}">
          <x14:formula1>
            <xm:f>DropDownMenu!$H$2:$H$564</xm:f>
          </x14:formula1>
          <xm:sqref>H2:H4988</xm:sqref>
        </x14:dataValidation>
        <x14:dataValidation type="list" allowBlank="1" xr:uid="{00000000-0002-0000-0700-000007000000}">
          <x14:formula1>
            <xm:f>DropDownMenu!$I$2:$I$352</xm:f>
          </x14:formula1>
          <xm:sqref>I2:I4988</xm:sqref>
        </x14:dataValidation>
        <x14:dataValidation type="list" allowBlank="1" xr:uid="{00000000-0002-0000-0700-000008000000}">
          <x14:formula1>
            <xm:f>DropDownMenu!$J$2:$J$10</xm:f>
          </x14:formula1>
          <xm:sqref>J2:J4988</xm:sqref>
        </x14:dataValidation>
        <x14:dataValidation type="list" allowBlank="1" xr:uid="{00000000-0002-0000-0700-000009000000}">
          <x14:formula1>
            <xm:f>DropDownMenu!$K$2:$K$101</xm:f>
          </x14:formula1>
          <xm:sqref>K2:K4988</xm:sqref>
        </x14:dataValidation>
        <x14:dataValidation type="list" allowBlank="1" xr:uid="{00000000-0002-0000-0700-00000A000000}">
          <x14:formula1>
            <xm:f>DropDownMenu!$L$2:$L$42</xm:f>
          </x14:formula1>
          <xm:sqref>L2:L4988</xm:sqref>
        </x14:dataValidation>
        <x14:dataValidation type="list" allowBlank="1" xr:uid="{00000000-0002-0000-0700-00000B000000}">
          <x14:formula1>
            <xm:f>DropDownMenu!$M$2:$M$16</xm:f>
          </x14:formula1>
          <xm:sqref>M2:M4988</xm:sqref>
        </x14:dataValidation>
        <x14:dataValidation type="list" allowBlank="1" xr:uid="{00000000-0002-0000-0700-00000E000000}">
          <x14:formula1>
            <xm:f>DropDownMenu!$P$2:$P$45</xm:f>
          </x14:formula1>
          <xm:sqref>Q2:Q4988</xm:sqref>
        </x14:dataValidation>
        <x14:dataValidation type="list" allowBlank="1" xr:uid="{00000000-0002-0000-0700-00000F000000}">
          <x14:formula1>
            <xm:f>DropDownMenu!$Q$2:$Q$5</xm:f>
          </x14:formula1>
          <xm:sqref>R2:R4988</xm:sqref>
        </x14:dataValidation>
        <x14:dataValidation type="list" allowBlank="1" xr:uid="{00000000-0002-0000-0700-000010000000}">
          <x14:formula1>
            <xm:f>DropDownMenu!$R$2:$R$7</xm:f>
          </x14:formula1>
          <xm:sqref>S2:S4988</xm:sqref>
        </x14:dataValidation>
        <x14:dataValidation type="list" allowBlank="1" xr:uid="{00000000-0002-0000-0700-000011000000}">
          <x14:formula1>
            <xm:f>DropDownMenu!$S$2:$S$11</xm:f>
          </x14:formula1>
          <xm:sqref>T2:T4988</xm:sqref>
        </x14:dataValidation>
        <x14:dataValidation type="list" allowBlank="1" xr:uid="{00000000-0002-0000-0700-000012000000}">
          <x14:formula1>
            <xm:f>DropDownMenu!$T$2:$T$13</xm:f>
          </x14:formula1>
          <xm:sqref>U2:U4988</xm:sqref>
        </x14:dataValidation>
        <x14:dataValidation type="list" allowBlank="1" xr:uid="{00000000-0002-0000-0700-000013000000}">
          <x14:formula1>
            <xm:f>DropDownMenu!$U$2:$U$5</xm:f>
          </x14:formula1>
          <xm:sqref>CR2:CR4988</xm:sqref>
        </x14:dataValidation>
        <x14:dataValidation type="list" allowBlank="1" xr:uid="{00000000-0002-0000-0700-000014000000}">
          <x14:formula1>
            <xm:f>DropDownMenu!$V$2:$V$4</xm:f>
          </x14:formula1>
          <xm:sqref>V2:V4988</xm:sqref>
        </x14:dataValidation>
        <x14:dataValidation type="list" allowBlank="1" xr:uid="{00000000-0002-0000-0700-000015000000}">
          <x14:formula1>
            <xm:f>DropDownMenu!$W$2:$W$6</xm:f>
          </x14:formula1>
          <xm:sqref>CU2:CU4988</xm:sqref>
        </x14:dataValidation>
        <x14:dataValidation type="list" allowBlank="1" xr:uid="{00000000-0002-0000-0700-000016000000}">
          <x14:formula1>
            <xm:f>DropDownMenu!$X$2:$X$26</xm:f>
          </x14:formula1>
          <xm:sqref>W2:W4988</xm:sqref>
        </x14:dataValidation>
        <x14:dataValidation type="list" allowBlank="1" xr:uid="{00000000-0002-0000-0700-000017000000}">
          <x14:formula1>
            <xm:f>DropDownMenu!$Y$2:$Y$7</xm:f>
          </x14:formula1>
          <xm:sqref>X2:X4988</xm:sqref>
        </x14:dataValidation>
        <x14:dataValidation type="list" allowBlank="1" xr:uid="{00000000-0002-0000-0700-000018000000}">
          <x14:formula1>
            <xm:f>DropDownMenu!$Z$2:$Z$15</xm:f>
          </x14:formula1>
          <xm:sqref>Y2:Y4988</xm:sqref>
        </x14:dataValidation>
        <x14:dataValidation type="list" allowBlank="1" xr:uid="{00000000-0002-0000-0700-000019000000}">
          <x14:formula1>
            <xm:f>DropDownMenu!$AA$2:$AA$6</xm:f>
          </x14:formula1>
          <xm:sqref>Z2:Z4988</xm:sqref>
        </x14:dataValidation>
        <x14:dataValidation type="list" allowBlank="1" xr:uid="{00000000-0002-0000-0700-00001A000000}">
          <x14:formula1>
            <xm:f>DropDownMenu!$AB$2:$AB$7</xm:f>
          </x14:formula1>
          <xm:sqref>AA2:AA4988</xm:sqref>
        </x14:dataValidation>
        <x14:dataValidation type="list" allowBlank="1" xr:uid="{00000000-0002-0000-0700-00001B000000}">
          <x14:formula1>
            <xm:f>DropDownMenu!$AC$2:$AC$49</xm:f>
          </x14:formula1>
          <xm:sqref>AD2:AD4988</xm:sqref>
        </x14:dataValidation>
        <x14:dataValidation type="list" allowBlank="1" xr:uid="{00000000-0002-0000-0700-00001C000000}">
          <x14:formula1>
            <xm:f>DropDownMenu!$AD$2:$AD$52</xm:f>
          </x14:formula1>
          <xm:sqref>AE2:AE4988</xm:sqref>
        </x14:dataValidation>
        <x14:dataValidation type="list" allowBlank="1" xr:uid="{00000000-0002-0000-0700-00001D000000}">
          <x14:formula1>
            <xm:f>DropDownMenu!$AE$2:$AE$9</xm:f>
          </x14:formula1>
          <xm:sqref>AH2:AH4988</xm:sqref>
        </x14:dataValidation>
        <x14:dataValidation type="list" allowBlank="1" xr:uid="{00000000-0002-0000-0700-00001E000000}">
          <x14:formula1>
            <xm:f>DropDownMenu!$AF$2:$AF$6</xm:f>
          </x14:formula1>
          <xm:sqref>AI2:AI4988</xm:sqref>
        </x14:dataValidation>
        <x14:dataValidation type="list" allowBlank="1" xr:uid="{00000000-0002-0000-0700-00001F000000}">
          <x14:formula1>
            <xm:f>DropDownMenu!$AG$2:$AG$11</xm:f>
          </x14:formula1>
          <xm:sqref>AJ2:AJ4988</xm:sqref>
        </x14:dataValidation>
        <x14:dataValidation type="list" allowBlank="1" xr:uid="{00000000-0002-0000-0700-000020000000}">
          <x14:formula1>
            <xm:f>DropDownMenu!$AH$2:$AH$2</xm:f>
          </x14:formula1>
          <xm:sqref>AK2:AK4988</xm:sqref>
        </x14:dataValidation>
        <x14:dataValidation type="list" allowBlank="1" xr:uid="{00000000-0002-0000-0700-000021000000}">
          <x14:formula1>
            <xm:f>DropDownMenu!$AI$2:$AI$2</xm:f>
          </x14:formula1>
          <xm:sqref>AL2:AL4988</xm:sqref>
        </x14:dataValidation>
        <x14:dataValidation type="list" allowBlank="1" xr:uid="{00000000-0002-0000-0700-000022000000}">
          <x14:formula1>
            <xm:f>DropDownMenu!$AJ$2:$AJ$2</xm:f>
          </x14:formula1>
          <xm:sqref>AM2:AM4988</xm:sqref>
        </x14:dataValidation>
        <x14:dataValidation type="list" allowBlank="1" xr:uid="{00000000-0002-0000-0700-000023000000}">
          <x14:formula1>
            <xm:f>DropDownMenu!$AK$2:$AK$2</xm:f>
          </x14:formula1>
          <xm:sqref>AN2:AN4988</xm:sqref>
        </x14:dataValidation>
        <x14:dataValidation type="list" allowBlank="1" xr:uid="{00000000-0002-0000-0700-000024000000}">
          <x14:formula1>
            <xm:f>DropDownMenu!$AL$2:$AL$2</xm:f>
          </x14:formula1>
          <xm:sqref>AO2:AO4988</xm:sqref>
        </x14:dataValidation>
        <x14:dataValidation type="list" allowBlank="1" xr:uid="{00000000-0002-0000-0700-000025000000}">
          <x14:formula1>
            <xm:f>DropDownMenu!$AM$2:$AM$5</xm:f>
          </x14:formula1>
          <xm:sqref>CS2:CS4988</xm:sqref>
        </x14:dataValidation>
        <x14:dataValidation type="list" allowBlank="1" xr:uid="{00000000-0002-0000-0700-000026000000}">
          <x14:formula1>
            <xm:f>DropDownMenu!$AN$2:$AN$13</xm:f>
          </x14:formula1>
          <xm:sqref>AR2:AR4988</xm:sqref>
        </x14:dataValidation>
        <x14:dataValidation type="list" allowBlank="1" xr:uid="{00000000-0002-0000-0700-000027000000}">
          <x14:formula1>
            <xm:f>DropDownMenu!$AO$2:$AO$40</xm:f>
          </x14:formula1>
          <xm:sqref>AS2:AS4988</xm:sqref>
        </x14:dataValidation>
        <x14:dataValidation type="list" allowBlank="1" xr:uid="{00000000-0002-0000-0700-000028000000}">
          <x14:formula1>
            <xm:f>DropDownMenu!$AP$2:$AP$274</xm:f>
          </x14:formula1>
          <xm:sqref>AT2:AT4988</xm:sqref>
        </x14:dataValidation>
        <x14:dataValidation type="list" allowBlank="1" xr:uid="{00000000-0002-0000-0700-000029000000}">
          <x14:formula1>
            <xm:f>DropDownMenu!$AQ$2:$AQ$9</xm:f>
          </x14:formula1>
          <xm:sqref>BB2:BB4988</xm:sqref>
        </x14:dataValidation>
        <x14:dataValidation type="list" allowBlank="1" xr:uid="{00000000-0002-0000-0700-00002A000000}">
          <x14:formula1>
            <xm:f>DropDownMenu!$AR$2:$AR$11</xm:f>
          </x14:formula1>
          <xm:sqref>BC2:BC4988</xm:sqref>
        </x14:dataValidation>
        <x14:dataValidation type="list" allowBlank="1" xr:uid="{00000000-0002-0000-0700-00002B000000}">
          <x14:formula1>
            <xm:f>DropDownMenu!$AS$2:$AS$3</xm:f>
          </x14:formula1>
          <xm:sqref>BD2:BD4988</xm:sqref>
        </x14:dataValidation>
        <x14:dataValidation type="list" allowBlank="1" xr:uid="{00000000-0002-0000-0700-00002C000000}">
          <x14:formula1>
            <xm:f>DropDownMenu!$AT$2:$AT$4</xm:f>
          </x14:formula1>
          <xm:sqref>BE2:BE4988</xm:sqref>
        </x14:dataValidation>
        <x14:dataValidation type="list" allowBlank="1" xr:uid="{00000000-0002-0000-0700-00002D000000}">
          <x14:formula1>
            <xm:f>DropDownMenu!$AU$2:$AU$2</xm:f>
          </x14:formula1>
          <xm:sqref>BG2:BG4988</xm:sqref>
        </x14:dataValidation>
        <x14:dataValidation type="list" allowBlank="1" xr:uid="{00000000-0002-0000-0700-00002E000000}">
          <x14:formula1>
            <xm:f>DropDownMenu!$AV$2:$AV$9</xm:f>
          </x14:formula1>
          <xm:sqref>BH2:BH4988</xm:sqref>
        </x14:dataValidation>
        <x14:dataValidation type="list" allowBlank="1" xr:uid="{00000000-0002-0000-0700-00002F000000}">
          <x14:formula1>
            <xm:f>DropDownMenu!$AW$2:$AW$81</xm:f>
          </x14:formula1>
          <xm:sqref>BI2:BI4988</xm:sqref>
        </x14:dataValidation>
        <x14:dataValidation type="list" allowBlank="1" xr:uid="{00000000-0002-0000-0700-000030000000}">
          <x14:formula1>
            <xm:f>DropDownMenu!$AX$2:$AX$3</xm:f>
          </x14:formula1>
          <xm:sqref>BJ2:BJ4988</xm:sqref>
        </x14:dataValidation>
        <x14:dataValidation type="list" allowBlank="1" xr:uid="{00000000-0002-0000-0700-000031000000}">
          <x14:formula1>
            <xm:f>DropDownMenu!$AY$2:$AY$7</xm:f>
          </x14:formula1>
          <xm:sqref>BK2:BK4988</xm:sqref>
        </x14:dataValidation>
        <x14:dataValidation type="list" allowBlank="1" xr:uid="{00000000-0002-0000-0700-000032000000}">
          <x14:formula1>
            <xm:f>DropDownMenu!$AZ$2:$AZ$9</xm:f>
          </x14:formula1>
          <xm:sqref>BL2:BL4988</xm:sqref>
        </x14:dataValidation>
        <x14:dataValidation type="list" allowBlank="1" xr:uid="{00000000-0002-0000-0700-000033000000}">
          <x14:formula1>
            <xm:f>DropDownMenu!$BA$2:$BA$9</xm:f>
          </x14:formula1>
          <xm:sqref>BM2:BM4988</xm:sqref>
        </x14:dataValidation>
        <x14:dataValidation type="list" allowBlank="1" xr:uid="{00000000-0002-0000-0700-000034000000}">
          <x14:formula1>
            <xm:f>DropDownMenu!$BB$2:$BB$3</xm:f>
          </x14:formula1>
          <xm:sqref>BN2:BN4988</xm:sqref>
        </x14:dataValidation>
        <x14:dataValidation type="list" allowBlank="1" xr:uid="{00000000-0002-0000-0700-000035000000}">
          <x14:formula1>
            <xm:f>DropDownMenu!$BC$2:$BC$2</xm:f>
          </x14:formula1>
          <xm:sqref>BO2:BO4988</xm:sqref>
        </x14:dataValidation>
        <x14:dataValidation type="list" allowBlank="1" xr:uid="{00000000-0002-0000-0700-000036000000}">
          <x14:formula1>
            <xm:f>DropDownMenu!$BD$2:$BD$29</xm:f>
          </x14:formula1>
          <xm:sqref>BQ2:BQ4988</xm:sqref>
        </x14:dataValidation>
        <x14:dataValidation type="list" allowBlank="1" xr:uid="{00000000-0002-0000-0700-000037000000}">
          <x14:formula1>
            <xm:f>DropDownMenu!$BE$2:$BE$2</xm:f>
          </x14:formula1>
          <xm:sqref>BT2:BT4988</xm:sqref>
        </x14:dataValidation>
        <x14:dataValidation type="list" allowBlank="1" xr:uid="{00000000-0002-0000-0700-000038000000}">
          <x14:formula1>
            <xm:f>DropDownMenu!$BF$2:$BF$33</xm:f>
          </x14:formula1>
          <xm:sqref>BU2:BU4988</xm:sqref>
        </x14:dataValidation>
        <x14:dataValidation type="list" allowBlank="1" xr:uid="{00000000-0002-0000-0700-000039000000}">
          <x14:formula1>
            <xm:f>DropDownMenu!$BG$2:$BG$2</xm:f>
          </x14:formula1>
          <xm:sqref>BV2:BV4988</xm:sqref>
        </x14:dataValidation>
        <x14:dataValidation type="list" allowBlank="1" xr:uid="{00000000-0002-0000-0700-00003A000000}">
          <x14:formula1>
            <xm:f>DropDownMenu!$BH$2:$BH$4</xm:f>
          </x14:formula1>
          <xm:sqref>AW2:AW4988</xm:sqref>
        </x14:dataValidation>
        <x14:dataValidation type="list" allowBlank="1" xr:uid="{00000000-0002-0000-0700-00003B000000}">
          <x14:formula1>
            <xm:f>DropDownMenu!$BI$2:$BI$2</xm:f>
          </x14:formula1>
          <xm:sqref>BW2:BW4988</xm:sqref>
        </x14:dataValidation>
        <x14:dataValidation type="list" allowBlank="1" xr:uid="{00000000-0002-0000-0700-00003C000000}">
          <x14:formula1>
            <xm:f>DropDownMenu!$BJ$2:$BJ$2</xm:f>
          </x14:formula1>
          <xm:sqref>BX2:BX4988</xm:sqref>
        </x14:dataValidation>
        <x14:dataValidation type="list" allowBlank="1" xr:uid="{00000000-0002-0000-0700-00003D000000}">
          <x14:formula1>
            <xm:f>DropDownMenu!$BK$2:$BK$2</xm:f>
          </x14:formula1>
          <xm:sqref>BY2:BY4988</xm:sqref>
        </x14:dataValidation>
        <x14:dataValidation type="list" allowBlank="1" xr:uid="{00000000-0002-0000-0700-00003E000000}">
          <x14:formula1>
            <xm:f>DropDownMenu!$BL$2:$BL$8</xm:f>
          </x14:formula1>
          <xm:sqref>BZ2:BZ4988</xm:sqref>
        </x14:dataValidation>
        <x14:dataValidation type="list" allowBlank="1" xr:uid="{00000000-0002-0000-0700-00003F000000}">
          <x14:formula1>
            <xm:f>DropDownMenu!$BM$2:$BM$8</xm:f>
          </x14:formula1>
          <xm:sqref>CA2:CA4988</xm:sqref>
        </x14:dataValidation>
        <x14:dataValidation type="list" allowBlank="1" xr:uid="{00000000-0002-0000-0700-000040000000}">
          <x14:formula1>
            <xm:f>DropDownMenu!$BN$2:$BN$8</xm:f>
          </x14:formula1>
          <xm:sqref>CB2:CB4988</xm:sqref>
        </x14:dataValidation>
        <x14:dataValidation type="list" allowBlank="1" xr:uid="{00000000-0002-0000-0700-000041000000}">
          <x14:formula1>
            <xm:f>DropDownMenu!$BO$2:$BO$6</xm:f>
          </x14:formula1>
          <xm:sqref>CC2:CC4988</xm:sqref>
        </x14:dataValidation>
        <x14:dataValidation type="list" allowBlank="1" xr:uid="{00000000-0002-0000-0700-000042000000}">
          <x14:formula1>
            <xm:f>DropDownMenu!$BP$2:$BP$2</xm:f>
          </x14:formula1>
          <xm:sqref>CD2:CD4988</xm:sqref>
        </x14:dataValidation>
        <x14:dataValidation type="list" allowBlank="1" xr:uid="{00000000-0002-0000-0700-000043000000}">
          <x14:formula1>
            <xm:f>DropDownMenu!$BQ$2:$BQ$2</xm:f>
          </x14:formula1>
          <xm:sqref>CE2:CE4988</xm:sqref>
        </x14:dataValidation>
        <x14:dataValidation type="list" allowBlank="1" xr:uid="{00000000-0002-0000-0700-000044000000}">
          <x14:formula1>
            <xm:f>DropDownMenu!$BR$2:$BR$2</xm:f>
          </x14:formula1>
          <xm:sqref>CF2:CF4988</xm:sqref>
        </x14:dataValidation>
        <x14:dataValidation type="list" allowBlank="1" xr:uid="{00000000-0002-0000-0700-000045000000}">
          <x14:formula1>
            <xm:f>DropDownMenu!$BS$2:$BS$2</xm:f>
          </x14:formula1>
          <xm:sqref>CG2:CG4988</xm:sqref>
        </x14:dataValidation>
        <x14:dataValidation type="list" allowBlank="1" xr:uid="{00000000-0002-0000-0700-000046000000}">
          <x14:formula1>
            <xm:f>DropDownMenu!$BT$2:$BT$2</xm:f>
          </x14:formula1>
          <xm:sqref>CH2:CH4988</xm:sqref>
        </x14:dataValidation>
        <x14:dataValidation type="list" allowBlank="1" xr:uid="{00000000-0002-0000-0700-000047000000}">
          <x14:formula1>
            <xm:f>DropDownMenu!$BU$2:$BU$2</xm:f>
          </x14:formula1>
          <xm:sqref>CN2:CN4988</xm:sqref>
        </x14:dataValidation>
        <x14:dataValidation type="list" allowBlank="1" xr:uid="{00000000-0002-0000-0700-000048000000}">
          <x14:formula1>
            <xm:f>DropDownMenu!$BV$2:$BV$2</xm:f>
          </x14:formula1>
          <xm:sqref>CO2:CO4988</xm:sqref>
        </x14:dataValidation>
        <x14:dataValidation type="list" allowBlank="1" xr:uid="{00000000-0002-0000-0700-000049000000}">
          <x14:formula1>
            <xm:f>DropDownMenu!$BW$2:$BW$2</xm:f>
          </x14:formula1>
          <xm:sqref>CQ2:CQ4988</xm:sqref>
        </x14:dataValidation>
        <x14:dataValidation type="list" allowBlank="1" xr:uid="{00000000-0002-0000-0700-00004A000000}">
          <x14:formula1>
            <xm:f>DropDownMenu!$BX$2:$BX$2</xm:f>
          </x14:formula1>
          <xm:sqref>CT2:CT4988</xm:sqref>
        </x14:dataValidation>
        <x14:dataValidation type="list" allowBlank="1" xr:uid="{00000000-0002-0000-0700-00004B000000}">
          <x14:formula1>
            <xm:f>DropDownMenu!$BY$2:$BY$77</xm:f>
          </x14:formula1>
          <xm:sqref>AU2:AU4988</xm:sqref>
        </x14:dataValidation>
        <x14:dataValidation type="list" allowBlank="1" xr:uid="{00000000-0002-0000-0700-00004C000000}">
          <x14:formula1>
            <xm:f>DropDownMenu!$BZ$2:$BZ$3</xm:f>
          </x14:formula1>
          <xm:sqref>CV2:CV4988</xm:sqref>
        </x14:dataValidation>
        <x14:dataValidation type="list" allowBlank="1" xr:uid="{00000000-0002-0000-0700-00004D000000}">
          <x14:formula1>
            <xm:f>DropDownMenu!$CA$2:$CA$77</xm:f>
          </x14:formula1>
          <xm:sqref>AV2:AV4988</xm:sqref>
        </x14:dataValidation>
        <x14:dataValidation type="list" allowBlank="1" xr:uid="{00000000-0002-0000-0700-00004E000000}">
          <x14:formula1>
            <xm:f>DropDownMenu!$CB$2:$CB$3</xm:f>
          </x14:formula1>
          <xm:sqref>AX2:AX4988</xm:sqref>
        </x14:dataValidation>
        <x14:dataValidation type="list" allowBlank="1" xr:uid="{00000000-0002-0000-0700-00004F000000}">
          <x14:formula1>
            <xm:f>DropDownMenu!$CC$2:$CC$3</xm:f>
          </x14:formula1>
          <xm:sqref>AY2:AY4988</xm:sqref>
        </x14:dataValidation>
        <x14:dataValidation type="list" allowBlank="1" xr:uid="{00000000-0002-0000-0700-000050000000}">
          <x14:formula1>
            <xm:f>DropDownMenu!$CD$2:$CD$10</xm:f>
          </x14:formula1>
          <xm:sqref>BA2:BA4988</xm:sqref>
        </x14:dataValidation>
        <x14:dataValidation type="list" allowBlank="1" showInputMessage="1" showErrorMessage="1" xr:uid="{00000000-0002-0000-0700-000057000000}">
          <x14:formula1>
            <xm:f>DropDownMenu!$H$2:$H$564</xm:f>
          </x14:formula1>
          <xm:sqref>H2:H4988</xm:sqref>
        </x14:dataValidation>
        <x14:dataValidation type="list" allowBlank="1" showInputMessage="1" showErrorMessage="1" xr:uid="{00000000-0002-0000-0700-000058000000}">
          <x14:formula1>
            <xm:f>DropDownMenu!$I$2:$I$352</xm:f>
          </x14:formula1>
          <xm:sqref>I2:I4988</xm:sqref>
        </x14:dataValidation>
        <x14:dataValidation type="list" allowBlank="1" showInputMessage="1" showErrorMessage="1" xr:uid="{00000000-0002-0000-0700-000059000000}">
          <x14:formula1>
            <xm:f>DropDownMenu!$J$2:$J$10</xm:f>
          </x14:formula1>
          <xm:sqref>J2:J4988</xm:sqref>
        </x14:dataValidation>
        <x14:dataValidation type="list" allowBlank="1" showInputMessage="1" showErrorMessage="1" xr:uid="{00000000-0002-0000-0700-00005A000000}">
          <x14:formula1>
            <xm:f>DropDownMenu!$K$2:$K$101</xm:f>
          </x14:formula1>
          <xm:sqref>K2:K4988</xm:sqref>
        </x14:dataValidation>
        <x14:dataValidation type="list" allowBlank="1" showInputMessage="1" showErrorMessage="1" xr:uid="{00000000-0002-0000-0700-00005B000000}">
          <x14:formula1>
            <xm:f>DropDownMenu!$L$2:$L$42</xm:f>
          </x14:formula1>
          <xm:sqref>L2:L4988</xm:sqref>
        </x14:dataValidation>
        <x14:dataValidation type="list" allowBlank="1" showInputMessage="1" showErrorMessage="1" xr:uid="{00000000-0002-0000-0700-00005C000000}">
          <x14:formula1>
            <xm:f>DropDownMenu!$M$2:$M$16</xm:f>
          </x14:formula1>
          <xm:sqref>M2:M4988</xm:sqref>
        </x14:dataValidation>
        <x14:dataValidation type="list" allowBlank="1" showInputMessage="1" showErrorMessage="1" xr:uid="{00000000-0002-0000-0700-00005F000000}">
          <x14:formula1>
            <xm:f>DropDownMenu!$P$2:$P$45</xm:f>
          </x14:formula1>
          <xm:sqref>Q2:Q4988</xm:sqref>
        </x14:dataValidation>
        <x14:dataValidation type="list" allowBlank="1" showInputMessage="1" showErrorMessage="1" xr:uid="{00000000-0002-0000-0700-000060000000}">
          <x14:formula1>
            <xm:f>DropDownMenu!$Q$2:$Q$5</xm:f>
          </x14:formula1>
          <xm:sqref>R2:R4988</xm:sqref>
        </x14:dataValidation>
        <x14:dataValidation type="list" allowBlank="1" showInputMessage="1" showErrorMessage="1" xr:uid="{00000000-0002-0000-0700-000061000000}">
          <x14:formula1>
            <xm:f>DropDownMenu!$R$2:$R$7</xm:f>
          </x14:formula1>
          <xm:sqref>S2:S4988</xm:sqref>
        </x14:dataValidation>
        <x14:dataValidation type="list" allowBlank="1" showInputMessage="1" showErrorMessage="1" xr:uid="{00000000-0002-0000-0700-000062000000}">
          <x14:formula1>
            <xm:f>DropDownMenu!$S$2:$S$11</xm:f>
          </x14:formula1>
          <xm:sqref>T2:T4988</xm:sqref>
        </x14:dataValidation>
        <x14:dataValidation type="list" allowBlank="1" showInputMessage="1" showErrorMessage="1" xr:uid="{00000000-0002-0000-0700-000063000000}">
          <x14:formula1>
            <xm:f>DropDownMenu!$T$2:$T$13</xm:f>
          </x14:formula1>
          <xm:sqref>U2:U4988</xm:sqref>
        </x14:dataValidation>
        <x14:dataValidation type="list" allowBlank="1" showInputMessage="1" showErrorMessage="1" xr:uid="{00000000-0002-0000-0700-000064000000}">
          <x14:formula1>
            <xm:f>DropDownMenu!$U$2:$U$5</xm:f>
          </x14:formula1>
          <xm:sqref>CR2:CR4988</xm:sqref>
        </x14:dataValidation>
        <x14:dataValidation type="list" allowBlank="1" showInputMessage="1" showErrorMessage="1" xr:uid="{00000000-0002-0000-0700-000065000000}">
          <x14:formula1>
            <xm:f>DropDownMenu!$V$2:$V$4</xm:f>
          </x14:formula1>
          <xm:sqref>V2:V4988</xm:sqref>
        </x14:dataValidation>
        <x14:dataValidation type="list" allowBlank="1" showInputMessage="1" showErrorMessage="1" xr:uid="{00000000-0002-0000-0700-000066000000}">
          <x14:formula1>
            <xm:f>DropDownMenu!$W$2:$W$6</xm:f>
          </x14:formula1>
          <xm:sqref>CU2:CU4988</xm:sqref>
        </x14:dataValidation>
        <x14:dataValidation type="list" allowBlank="1" showInputMessage="1" showErrorMessage="1" xr:uid="{00000000-0002-0000-0700-000067000000}">
          <x14:formula1>
            <xm:f>DropDownMenu!$X$2:$X$26</xm:f>
          </x14:formula1>
          <xm:sqref>W2:W4988</xm:sqref>
        </x14:dataValidation>
        <x14:dataValidation type="list" allowBlank="1" showInputMessage="1" showErrorMessage="1" xr:uid="{00000000-0002-0000-0700-000068000000}">
          <x14:formula1>
            <xm:f>DropDownMenu!$Y$2:$Y$7</xm:f>
          </x14:formula1>
          <xm:sqref>X2:X4988</xm:sqref>
        </x14:dataValidation>
        <x14:dataValidation type="list" allowBlank="1" showInputMessage="1" showErrorMessage="1" xr:uid="{00000000-0002-0000-0700-000069000000}">
          <x14:formula1>
            <xm:f>DropDownMenu!$Z$2:$Z$15</xm:f>
          </x14:formula1>
          <xm:sqref>Y2:Y4988</xm:sqref>
        </x14:dataValidation>
        <x14:dataValidation type="list" allowBlank="1" showInputMessage="1" showErrorMessage="1" xr:uid="{00000000-0002-0000-0700-00006A000000}">
          <x14:formula1>
            <xm:f>DropDownMenu!$AA$2:$AA$6</xm:f>
          </x14:formula1>
          <xm:sqref>Z2:Z4988</xm:sqref>
        </x14:dataValidation>
        <x14:dataValidation type="list" allowBlank="1" showInputMessage="1" showErrorMessage="1" xr:uid="{00000000-0002-0000-0700-00006B000000}">
          <x14:formula1>
            <xm:f>DropDownMenu!$AB$2:$AB$7</xm:f>
          </x14:formula1>
          <xm:sqref>AA2:AA4988</xm:sqref>
        </x14:dataValidation>
        <x14:dataValidation type="list" allowBlank="1" showInputMessage="1" showErrorMessage="1" xr:uid="{00000000-0002-0000-0700-00006C000000}">
          <x14:formula1>
            <xm:f>DropDownMenu!$AC$2:$AC$49</xm:f>
          </x14:formula1>
          <xm:sqref>AD2:AD4988</xm:sqref>
        </x14:dataValidation>
        <x14:dataValidation type="list" allowBlank="1" showInputMessage="1" showErrorMessage="1" xr:uid="{00000000-0002-0000-0700-00006D000000}">
          <x14:formula1>
            <xm:f>DropDownMenu!$AD$2:$AD$52</xm:f>
          </x14:formula1>
          <xm:sqref>AE2:AE4988</xm:sqref>
        </x14:dataValidation>
        <x14:dataValidation type="list" allowBlank="1" showInputMessage="1" showErrorMessage="1" xr:uid="{00000000-0002-0000-0700-00006E000000}">
          <x14:formula1>
            <xm:f>DropDownMenu!$AE$2:$AE$9</xm:f>
          </x14:formula1>
          <xm:sqref>AH2:AH4988</xm:sqref>
        </x14:dataValidation>
        <x14:dataValidation type="list" allowBlank="1" showInputMessage="1" showErrorMessage="1" xr:uid="{00000000-0002-0000-0700-00006F000000}">
          <x14:formula1>
            <xm:f>DropDownMenu!$AF$2:$AF$6</xm:f>
          </x14:formula1>
          <xm:sqref>AI2:AI4988</xm:sqref>
        </x14:dataValidation>
        <x14:dataValidation type="list" allowBlank="1" showInputMessage="1" showErrorMessage="1" xr:uid="{00000000-0002-0000-0700-000070000000}">
          <x14:formula1>
            <xm:f>DropDownMenu!$AG$2:$AG$11</xm:f>
          </x14:formula1>
          <xm:sqref>AJ2:AJ4988</xm:sqref>
        </x14:dataValidation>
        <x14:dataValidation type="list" allowBlank="1" showInputMessage="1" showErrorMessage="1" xr:uid="{00000000-0002-0000-0700-000071000000}">
          <x14:formula1>
            <xm:f>DropDownMenu!$AH$2:$AH$2</xm:f>
          </x14:formula1>
          <xm:sqref>AK2:AK4988</xm:sqref>
        </x14:dataValidation>
        <x14:dataValidation type="list" allowBlank="1" showInputMessage="1" showErrorMessage="1" xr:uid="{00000000-0002-0000-0700-000072000000}">
          <x14:formula1>
            <xm:f>DropDownMenu!$AI$2:$AI$2</xm:f>
          </x14:formula1>
          <xm:sqref>AL2:AL4988</xm:sqref>
        </x14:dataValidation>
        <x14:dataValidation type="list" allowBlank="1" showInputMessage="1" showErrorMessage="1" xr:uid="{00000000-0002-0000-0700-000073000000}">
          <x14:formula1>
            <xm:f>DropDownMenu!$AJ$2:$AJ$2</xm:f>
          </x14:formula1>
          <xm:sqref>AM2:AM4988</xm:sqref>
        </x14:dataValidation>
        <x14:dataValidation type="list" allowBlank="1" showInputMessage="1" showErrorMessage="1" xr:uid="{00000000-0002-0000-0700-000074000000}">
          <x14:formula1>
            <xm:f>DropDownMenu!$AK$2:$AK$2</xm:f>
          </x14:formula1>
          <xm:sqref>AN2:AN4988</xm:sqref>
        </x14:dataValidation>
        <x14:dataValidation type="list" allowBlank="1" showInputMessage="1" showErrorMessage="1" xr:uid="{00000000-0002-0000-0700-000075000000}">
          <x14:formula1>
            <xm:f>DropDownMenu!$AL$2:$AL$2</xm:f>
          </x14:formula1>
          <xm:sqref>AO2:AO4988</xm:sqref>
        </x14:dataValidation>
        <x14:dataValidation type="list" allowBlank="1" showInputMessage="1" showErrorMessage="1" xr:uid="{00000000-0002-0000-0700-000076000000}">
          <x14:formula1>
            <xm:f>DropDownMenu!$AM$2:$AM$5</xm:f>
          </x14:formula1>
          <xm:sqref>CS2:CS4988</xm:sqref>
        </x14:dataValidation>
        <x14:dataValidation type="list" allowBlank="1" showInputMessage="1" showErrorMessage="1" xr:uid="{00000000-0002-0000-0700-000077000000}">
          <x14:formula1>
            <xm:f>DropDownMenu!$AN$2:$AN$13</xm:f>
          </x14:formula1>
          <xm:sqref>AR2:AR4988</xm:sqref>
        </x14:dataValidation>
        <x14:dataValidation type="list" allowBlank="1" showInputMessage="1" showErrorMessage="1" xr:uid="{00000000-0002-0000-0700-000078000000}">
          <x14:formula1>
            <xm:f>DropDownMenu!$AO$2:$AO$40</xm:f>
          </x14:formula1>
          <xm:sqref>AS2:AS4988</xm:sqref>
        </x14:dataValidation>
        <x14:dataValidation type="list" allowBlank="1" showInputMessage="1" showErrorMessage="1" xr:uid="{00000000-0002-0000-0700-000079000000}">
          <x14:formula1>
            <xm:f>DropDownMenu!$AP$2:$AP$274</xm:f>
          </x14:formula1>
          <xm:sqref>AT2:AT4988</xm:sqref>
        </x14:dataValidation>
        <x14:dataValidation type="list" allowBlank="1" showInputMessage="1" showErrorMessage="1" xr:uid="{00000000-0002-0000-0700-00007A000000}">
          <x14:formula1>
            <xm:f>DropDownMenu!$AQ$2:$AQ$9</xm:f>
          </x14:formula1>
          <xm:sqref>BB2:BB4988</xm:sqref>
        </x14:dataValidation>
        <x14:dataValidation type="list" allowBlank="1" showInputMessage="1" showErrorMessage="1" xr:uid="{00000000-0002-0000-0700-00007B000000}">
          <x14:formula1>
            <xm:f>DropDownMenu!$AR$2:$AR$11</xm:f>
          </x14:formula1>
          <xm:sqref>BC2:BC4988</xm:sqref>
        </x14:dataValidation>
        <x14:dataValidation type="list" allowBlank="1" showInputMessage="1" showErrorMessage="1" xr:uid="{00000000-0002-0000-0700-00007C000000}">
          <x14:formula1>
            <xm:f>DropDownMenu!$AS$2:$AS$3</xm:f>
          </x14:formula1>
          <xm:sqref>BD2:BD4988</xm:sqref>
        </x14:dataValidation>
        <x14:dataValidation type="list" allowBlank="1" showInputMessage="1" showErrorMessage="1" xr:uid="{00000000-0002-0000-0700-00007D000000}">
          <x14:formula1>
            <xm:f>DropDownMenu!$AT$2:$AT$4</xm:f>
          </x14:formula1>
          <xm:sqref>BE2:BE4988</xm:sqref>
        </x14:dataValidation>
        <x14:dataValidation type="list" allowBlank="1" showInputMessage="1" showErrorMessage="1" xr:uid="{00000000-0002-0000-0700-00007E000000}">
          <x14:formula1>
            <xm:f>DropDownMenu!$AU$2:$AU$2</xm:f>
          </x14:formula1>
          <xm:sqref>BG2:BG4988</xm:sqref>
        </x14:dataValidation>
        <x14:dataValidation type="list" allowBlank="1" showInputMessage="1" showErrorMessage="1" xr:uid="{00000000-0002-0000-0700-00007F000000}">
          <x14:formula1>
            <xm:f>DropDownMenu!$AV$2:$AV$9</xm:f>
          </x14:formula1>
          <xm:sqref>BH2:BH4988</xm:sqref>
        </x14:dataValidation>
        <x14:dataValidation type="list" allowBlank="1" showInputMessage="1" showErrorMessage="1" xr:uid="{00000000-0002-0000-0700-000080000000}">
          <x14:formula1>
            <xm:f>DropDownMenu!$AW$2:$AW$81</xm:f>
          </x14:formula1>
          <xm:sqref>BI2:BI4988</xm:sqref>
        </x14:dataValidation>
        <x14:dataValidation type="list" allowBlank="1" showInputMessage="1" showErrorMessage="1" xr:uid="{00000000-0002-0000-0700-000081000000}">
          <x14:formula1>
            <xm:f>DropDownMenu!$AX$2:$AX$3</xm:f>
          </x14:formula1>
          <xm:sqref>BJ2:BJ4988</xm:sqref>
        </x14:dataValidation>
        <x14:dataValidation type="list" allowBlank="1" showInputMessage="1" showErrorMessage="1" xr:uid="{00000000-0002-0000-0700-000082000000}">
          <x14:formula1>
            <xm:f>DropDownMenu!$AY$2:$AY$7</xm:f>
          </x14:formula1>
          <xm:sqref>BK2:BK4988</xm:sqref>
        </x14:dataValidation>
        <x14:dataValidation type="list" allowBlank="1" showInputMessage="1" showErrorMessage="1" xr:uid="{00000000-0002-0000-0700-000083000000}">
          <x14:formula1>
            <xm:f>DropDownMenu!$AZ$2:$AZ$9</xm:f>
          </x14:formula1>
          <xm:sqref>BL2:BL4988</xm:sqref>
        </x14:dataValidation>
        <x14:dataValidation type="list" allowBlank="1" showInputMessage="1" showErrorMessage="1" xr:uid="{00000000-0002-0000-0700-000084000000}">
          <x14:formula1>
            <xm:f>DropDownMenu!$BA$2:$BA$9</xm:f>
          </x14:formula1>
          <xm:sqref>BM2:BM4988</xm:sqref>
        </x14:dataValidation>
        <x14:dataValidation type="list" allowBlank="1" showInputMessage="1" showErrorMessage="1" xr:uid="{00000000-0002-0000-0700-000085000000}">
          <x14:formula1>
            <xm:f>DropDownMenu!$BB$2:$BB$3</xm:f>
          </x14:formula1>
          <xm:sqref>BN2:BN4988</xm:sqref>
        </x14:dataValidation>
        <x14:dataValidation type="list" allowBlank="1" showInputMessage="1" showErrorMessage="1" xr:uid="{00000000-0002-0000-0700-000086000000}">
          <x14:formula1>
            <xm:f>DropDownMenu!$BC$2:$BC$2</xm:f>
          </x14:formula1>
          <xm:sqref>BO2:BO4988</xm:sqref>
        </x14:dataValidation>
        <x14:dataValidation type="list" allowBlank="1" showInputMessage="1" showErrorMessage="1" xr:uid="{00000000-0002-0000-0700-000087000000}">
          <x14:formula1>
            <xm:f>DropDownMenu!$BD$2:$BD$29</xm:f>
          </x14:formula1>
          <xm:sqref>BQ2:BQ4988</xm:sqref>
        </x14:dataValidation>
        <x14:dataValidation type="list" allowBlank="1" showInputMessage="1" showErrorMessage="1" xr:uid="{00000000-0002-0000-0700-000088000000}">
          <x14:formula1>
            <xm:f>DropDownMenu!$BE$2:$BE$2</xm:f>
          </x14:formula1>
          <xm:sqref>BT2:BT4988</xm:sqref>
        </x14:dataValidation>
        <x14:dataValidation type="list" allowBlank="1" showInputMessage="1" showErrorMessage="1" xr:uid="{00000000-0002-0000-0700-000089000000}">
          <x14:formula1>
            <xm:f>DropDownMenu!$BF$2:$BF$33</xm:f>
          </x14:formula1>
          <xm:sqref>BU2:BU4988</xm:sqref>
        </x14:dataValidation>
        <x14:dataValidation type="list" allowBlank="1" showInputMessage="1" showErrorMessage="1" xr:uid="{00000000-0002-0000-0700-00008A000000}">
          <x14:formula1>
            <xm:f>DropDownMenu!$BG$2:$BG$2</xm:f>
          </x14:formula1>
          <xm:sqref>BV2:BV4988</xm:sqref>
        </x14:dataValidation>
        <x14:dataValidation type="list" allowBlank="1" showInputMessage="1" showErrorMessage="1" xr:uid="{00000000-0002-0000-0700-00008B000000}">
          <x14:formula1>
            <xm:f>DropDownMenu!$BH$2:$BH$4</xm:f>
          </x14:formula1>
          <xm:sqref>AW2:AW4988</xm:sqref>
        </x14:dataValidation>
        <x14:dataValidation type="list" allowBlank="1" showInputMessage="1" showErrorMessage="1" xr:uid="{00000000-0002-0000-0700-00008C000000}">
          <x14:formula1>
            <xm:f>DropDownMenu!$BI$2:$BI$2</xm:f>
          </x14:formula1>
          <xm:sqref>BW2:BW4988</xm:sqref>
        </x14:dataValidation>
        <x14:dataValidation type="list" allowBlank="1" showInputMessage="1" showErrorMessage="1" xr:uid="{00000000-0002-0000-0700-00008D000000}">
          <x14:formula1>
            <xm:f>DropDownMenu!$BJ$2:$BJ$2</xm:f>
          </x14:formula1>
          <xm:sqref>BX2:BX4988</xm:sqref>
        </x14:dataValidation>
        <x14:dataValidation type="list" allowBlank="1" showInputMessage="1" showErrorMessage="1" xr:uid="{00000000-0002-0000-0700-00008E000000}">
          <x14:formula1>
            <xm:f>DropDownMenu!$BK$2:$BK$2</xm:f>
          </x14:formula1>
          <xm:sqref>BY2:BY4988</xm:sqref>
        </x14:dataValidation>
        <x14:dataValidation type="list" allowBlank="1" showInputMessage="1" showErrorMessage="1" xr:uid="{00000000-0002-0000-0700-00008F000000}">
          <x14:formula1>
            <xm:f>DropDownMenu!$BL$2:$BL$8</xm:f>
          </x14:formula1>
          <xm:sqref>BZ2:BZ4988</xm:sqref>
        </x14:dataValidation>
        <x14:dataValidation type="list" allowBlank="1" showInputMessage="1" showErrorMessage="1" xr:uid="{00000000-0002-0000-0700-000090000000}">
          <x14:formula1>
            <xm:f>DropDownMenu!$BM$2:$BM$8</xm:f>
          </x14:formula1>
          <xm:sqref>CA2:CA4988</xm:sqref>
        </x14:dataValidation>
        <x14:dataValidation type="list" allowBlank="1" showInputMessage="1" showErrorMessage="1" xr:uid="{00000000-0002-0000-0700-000091000000}">
          <x14:formula1>
            <xm:f>DropDownMenu!$BN$2:$BN$8</xm:f>
          </x14:formula1>
          <xm:sqref>CB2:CB4988</xm:sqref>
        </x14:dataValidation>
        <x14:dataValidation type="list" allowBlank="1" showInputMessage="1" showErrorMessage="1" xr:uid="{00000000-0002-0000-0700-000092000000}">
          <x14:formula1>
            <xm:f>DropDownMenu!$BO$2:$BO$6</xm:f>
          </x14:formula1>
          <xm:sqref>CC2:CC4988</xm:sqref>
        </x14:dataValidation>
        <x14:dataValidation type="list" allowBlank="1" showInputMessage="1" showErrorMessage="1" xr:uid="{00000000-0002-0000-0700-000093000000}">
          <x14:formula1>
            <xm:f>DropDownMenu!$BP$2:$BP$2</xm:f>
          </x14:formula1>
          <xm:sqref>CD2:CD4988</xm:sqref>
        </x14:dataValidation>
        <x14:dataValidation type="list" allowBlank="1" showInputMessage="1" showErrorMessage="1" xr:uid="{00000000-0002-0000-0700-000094000000}">
          <x14:formula1>
            <xm:f>DropDownMenu!$BQ$2:$BQ$2</xm:f>
          </x14:formula1>
          <xm:sqref>CE2:CE4988</xm:sqref>
        </x14:dataValidation>
        <x14:dataValidation type="list" allowBlank="1" showInputMessage="1" showErrorMessage="1" xr:uid="{00000000-0002-0000-0700-000095000000}">
          <x14:formula1>
            <xm:f>DropDownMenu!$BR$2:$BR$2</xm:f>
          </x14:formula1>
          <xm:sqref>CF2:CF4988</xm:sqref>
        </x14:dataValidation>
        <x14:dataValidation type="list" allowBlank="1" showInputMessage="1" showErrorMessage="1" xr:uid="{00000000-0002-0000-0700-000096000000}">
          <x14:formula1>
            <xm:f>DropDownMenu!$BS$2:$BS$2</xm:f>
          </x14:formula1>
          <xm:sqref>CG2:CG4988</xm:sqref>
        </x14:dataValidation>
        <x14:dataValidation type="list" allowBlank="1" showInputMessage="1" showErrorMessage="1" xr:uid="{00000000-0002-0000-0700-000097000000}">
          <x14:formula1>
            <xm:f>DropDownMenu!$BT$2:$BT$2</xm:f>
          </x14:formula1>
          <xm:sqref>CH2:CH4988</xm:sqref>
        </x14:dataValidation>
        <x14:dataValidation type="list" allowBlank="1" showInputMessage="1" showErrorMessage="1" xr:uid="{00000000-0002-0000-0700-000098000000}">
          <x14:formula1>
            <xm:f>DropDownMenu!$BU$2:$BU$2</xm:f>
          </x14:formula1>
          <xm:sqref>CN2:CN4988</xm:sqref>
        </x14:dataValidation>
        <x14:dataValidation type="list" allowBlank="1" showInputMessage="1" showErrorMessage="1" xr:uid="{00000000-0002-0000-0700-000099000000}">
          <x14:formula1>
            <xm:f>DropDownMenu!$BV$2:$BV$2</xm:f>
          </x14:formula1>
          <xm:sqref>CO2:CO4988</xm:sqref>
        </x14:dataValidation>
        <x14:dataValidation type="list" allowBlank="1" showInputMessage="1" showErrorMessage="1" xr:uid="{00000000-0002-0000-0700-00009A000000}">
          <x14:formula1>
            <xm:f>DropDownMenu!$BW$2:$BW$2</xm:f>
          </x14:formula1>
          <xm:sqref>CQ2:CQ4988</xm:sqref>
        </x14:dataValidation>
        <x14:dataValidation type="list" allowBlank="1" showInputMessage="1" showErrorMessage="1" xr:uid="{00000000-0002-0000-0700-00009B000000}">
          <x14:formula1>
            <xm:f>DropDownMenu!$BX$2:$BX$2</xm:f>
          </x14:formula1>
          <xm:sqref>CT2:CT4988</xm:sqref>
        </x14:dataValidation>
        <x14:dataValidation type="list" allowBlank="1" showInputMessage="1" showErrorMessage="1" xr:uid="{00000000-0002-0000-0700-00009C000000}">
          <x14:formula1>
            <xm:f>DropDownMenu!$BY$2:$BY$77</xm:f>
          </x14:formula1>
          <xm:sqref>AU2:AU4988</xm:sqref>
        </x14:dataValidation>
        <x14:dataValidation type="list" allowBlank="1" showInputMessage="1" showErrorMessage="1" xr:uid="{00000000-0002-0000-0700-00009D000000}">
          <x14:formula1>
            <xm:f>DropDownMenu!$BZ$2:$BZ$3</xm:f>
          </x14:formula1>
          <xm:sqref>CV2:CV4988</xm:sqref>
        </x14:dataValidation>
        <x14:dataValidation type="list" allowBlank="1" showInputMessage="1" showErrorMessage="1" xr:uid="{00000000-0002-0000-0700-00009E000000}">
          <x14:formula1>
            <xm:f>DropDownMenu!$CA$2:$CA$77</xm:f>
          </x14:formula1>
          <xm:sqref>AV2:AV4988</xm:sqref>
        </x14:dataValidation>
        <x14:dataValidation type="list" allowBlank="1" showInputMessage="1" showErrorMessage="1" xr:uid="{00000000-0002-0000-0700-00009F000000}">
          <x14:formula1>
            <xm:f>DropDownMenu!$CB$2:$CB$3</xm:f>
          </x14:formula1>
          <xm:sqref>AX2:AX4988</xm:sqref>
        </x14:dataValidation>
        <x14:dataValidation type="list" allowBlank="1" showInputMessage="1" showErrorMessage="1" xr:uid="{00000000-0002-0000-0700-0000A0000000}">
          <x14:formula1>
            <xm:f>DropDownMenu!$CC$2:$CC$3</xm:f>
          </x14:formula1>
          <xm:sqref>AY2:AY4988</xm:sqref>
        </x14:dataValidation>
        <x14:dataValidation type="list" allowBlank="1" showInputMessage="1" showErrorMessage="1" xr:uid="{00000000-0002-0000-0700-0000A1000000}">
          <x14:formula1>
            <xm:f>DropDownMenu!$CD$2:$CD$10</xm:f>
          </x14:formula1>
          <xm:sqref>BA2:BA4988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E140C-393F-4EDA-BDE8-13BD56D29B9C}">
  <sheetPr>
    <outlinePr applyStyles="1" summaryRight="0"/>
  </sheetPr>
  <dimension ref="A1:CV36"/>
  <sheetViews>
    <sheetView workbookViewId="0">
      <pane xSplit="7" ySplit="1" topLeftCell="H2" activePane="bottomRight" state="frozen"/>
      <selection pane="topRight"/>
      <selection pane="bottomLeft"/>
      <selection pane="bottomRight" activeCell="A2" sqref="A2:G36"/>
    </sheetView>
  </sheetViews>
  <sheetFormatPr baseColWidth="10" defaultColWidth="8.83203125" defaultRowHeight="15" outlineLevelCol="1" x14ac:dyDescent="0.2"/>
  <cols>
    <col min="1" max="6" width="4" customWidth="1"/>
    <col min="7" max="7" width="40" customWidth="1"/>
    <col min="8" max="16" width="4" customWidth="1"/>
    <col min="17" max="22" width="4" customWidth="1" outlineLevel="1"/>
    <col min="23" max="23" width="4" customWidth="1"/>
    <col min="24" max="26" width="4" customWidth="1" outlineLevel="1"/>
    <col min="27" max="27" width="10" customWidth="1"/>
    <col min="28" max="34" width="10" customWidth="1" outlineLevel="1"/>
    <col min="35" max="35" width="4" customWidth="1"/>
    <col min="36" max="45" width="4" customWidth="1" outlineLevel="1"/>
    <col min="46" max="47" width="20" customWidth="1" outlineLevel="1"/>
    <col min="48" max="48" width="10" customWidth="1" outlineLevel="1"/>
    <col min="49" max="49" width="4" customWidth="1" outlineLevel="1"/>
    <col min="50" max="50" width="4" customWidth="1"/>
    <col min="51" max="52" width="4" customWidth="1" outlineLevel="1"/>
    <col min="53" max="53" width="20" customWidth="1" outlineLevel="1"/>
    <col min="54" max="54" width="4" customWidth="1"/>
    <col min="55" max="100" width="4" customWidth="1" outlineLevel="1"/>
  </cols>
  <sheetData>
    <row r="1" spans="1:100" ht="15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 t="s">
        <v>22</v>
      </c>
      <c r="X1" s="1" t="s">
        <v>23</v>
      </c>
      <c r="Y1" s="1" t="s">
        <v>24</v>
      </c>
      <c r="Z1" s="1" t="s">
        <v>25</v>
      </c>
      <c r="AA1" s="3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</row>
    <row r="2" spans="1:100" x14ac:dyDescent="0.2">
      <c r="A2" s="26" t="b">
        <v>0</v>
      </c>
      <c r="B2" s="26" t="b">
        <v>0</v>
      </c>
      <c r="C2" s="26" t="b">
        <v>0</v>
      </c>
      <c r="D2" s="26" t="b">
        <v>0</v>
      </c>
      <c r="E2" s="26" t="b">
        <v>0</v>
      </c>
      <c r="F2" s="26" t="b">
        <v>0</v>
      </c>
      <c r="G2" s="27"/>
    </row>
    <row r="3" spans="1:100" x14ac:dyDescent="0.2">
      <c r="A3" s="26" t="b">
        <v>0</v>
      </c>
      <c r="B3" s="26" t="b">
        <v>0</v>
      </c>
      <c r="C3" s="26" t="b">
        <v>0</v>
      </c>
      <c r="D3" s="26" t="b">
        <v>0</v>
      </c>
      <c r="E3" s="26" t="b">
        <v>0</v>
      </c>
      <c r="F3" s="26" t="b">
        <v>0</v>
      </c>
      <c r="G3" s="27"/>
    </row>
    <row r="4" spans="1:100" x14ac:dyDescent="0.2">
      <c r="A4" s="26" t="b">
        <v>0</v>
      </c>
      <c r="B4" s="26" t="b">
        <v>0</v>
      </c>
      <c r="C4" s="26" t="b">
        <v>0</v>
      </c>
      <c r="D4" s="26" t="b">
        <v>0</v>
      </c>
      <c r="E4" s="26" t="b">
        <v>0</v>
      </c>
      <c r="F4" s="26" t="b">
        <v>0</v>
      </c>
      <c r="G4" s="27"/>
    </row>
    <row r="5" spans="1:100" x14ac:dyDescent="0.2">
      <c r="A5" s="26" t="b">
        <v>0</v>
      </c>
      <c r="B5" s="26" t="b">
        <v>0</v>
      </c>
      <c r="C5" s="26" t="b">
        <v>0</v>
      </c>
      <c r="D5" s="26" t="b">
        <v>0</v>
      </c>
      <c r="E5" s="26" t="b">
        <v>0</v>
      </c>
      <c r="F5" s="26" t="b">
        <v>0</v>
      </c>
      <c r="G5" s="27"/>
    </row>
    <row r="6" spans="1:100" x14ac:dyDescent="0.2">
      <c r="A6" s="26" t="b">
        <v>0</v>
      </c>
      <c r="B6" s="26" t="b">
        <v>0</v>
      </c>
      <c r="C6" s="26" t="b">
        <v>0</v>
      </c>
      <c r="D6" s="26" t="b">
        <v>0</v>
      </c>
      <c r="E6" s="26" t="b">
        <v>0</v>
      </c>
      <c r="F6" s="26" t="b">
        <v>0</v>
      </c>
      <c r="G6" s="27"/>
    </row>
    <row r="7" spans="1:100" x14ac:dyDescent="0.2">
      <c r="A7" s="26" t="b">
        <v>0</v>
      </c>
      <c r="B7" s="26" t="b">
        <v>0</v>
      </c>
      <c r="C7" s="26" t="b">
        <v>0</v>
      </c>
      <c r="D7" s="26" t="b">
        <v>0</v>
      </c>
      <c r="E7" s="26" t="b">
        <v>0</v>
      </c>
      <c r="F7" s="26" t="b">
        <v>0</v>
      </c>
      <c r="G7" s="27"/>
    </row>
    <row r="8" spans="1:100" x14ac:dyDescent="0.2">
      <c r="A8" s="26" t="b">
        <v>0</v>
      </c>
      <c r="B8" s="26" t="b">
        <v>0</v>
      </c>
      <c r="C8" s="26" t="b">
        <v>0</v>
      </c>
      <c r="D8" s="26" t="b">
        <v>0</v>
      </c>
      <c r="E8" s="26" t="b">
        <v>0</v>
      </c>
      <c r="F8" s="26" t="b">
        <v>0</v>
      </c>
      <c r="G8" s="27"/>
    </row>
    <row r="9" spans="1:100" x14ac:dyDescent="0.2">
      <c r="A9" s="26" t="b">
        <v>0</v>
      </c>
      <c r="B9" s="26" t="b">
        <v>0</v>
      </c>
      <c r="C9" s="26" t="b">
        <v>0</v>
      </c>
      <c r="D9" s="26" t="b">
        <v>0</v>
      </c>
      <c r="E9" s="26" t="b">
        <v>0</v>
      </c>
      <c r="F9" s="26" t="b">
        <v>0</v>
      </c>
      <c r="G9" s="27"/>
    </row>
    <row r="10" spans="1:100" x14ac:dyDescent="0.2">
      <c r="A10" s="26" t="b">
        <v>0</v>
      </c>
      <c r="B10" s="26" t="b">
        <v>0</v>
      </c>
      <c r="C10" s="26" t="b">
        <v>0</v>
      </c>
      <c r="D10" s="26" t="b">
        <v>0</v>
      </c>
      <c r="E10" s="26" t="b">
        <v>0</v>
      </c>
      <c r="F10" s="26" t="b">
        <v>0</v>
      </c>
      <c r="G10" s="27"/>
    </row>
    <row r="11" spans="1:100" x14ac:dyDescent="0.2">
      <c r="A11" s="26" t="b">
        <v>0</v>
      </c>
      <c r="B11" s="26" t="b">
        <v>0</v>
      </c>
      <c r="C11" s="26" t="b">
        <v>0</v>
      </c>
      <c r="D11" s="26" t="b">
        <v>0</v>
      </c>
      <c r="E11" s="26" t="b">
        <v>0</v>
      </c>
      <c r="F11" s="26" t="b">
        <v>0</v>
      </c>
      <c r="G11" s="27"/>
    </row>
    <row r="12" spans="1:100" x14ac:dyDescent="0.2">
      <c r="A12" s="26" t="b">
        <v>0</v>
      </c>
      <c r="B12" s="26" t="b">
        <v>0</v>
      </c>
      <c r="C12" s="26" t="b">
        <v>0</v>
      </c>
      <c r="D12" s="26" t="b">
        <v>0</v>
      </c>
      <c r="E12" s="26" t="b">
        <v>0</v>
      </c>
      <c r="F12" s="26" t="b">
        <v>0</v>
      </c>
      <c r="G12" s="27"/>
    </row>
    <row r="13" spans="1:100" x14ac:dyDescent="0.2">
      <c r="A13" s="26" t="b">
        <v>0</v>
      </c>
      <c r="B13" s="26" t="b">
        <v>0</v>
      </c>
      <c r="C13" s="26" t="b">
        <v>0</v>
      </c>
      <c r="D13" s="26" t="b">
        <v>0</v>
      </c>
      <c r="E13" s="26" t="b">
        <v>0</v>
      </c>
      <c r="F13" s="26" t="b">
        <v>0</v>
      </c>
      <c r="G13" s="27"/>
    </row>
    <row r="14" spans="1:100" x14ac:dyDescent="0.2">
      <c r="A14" s="26" t="b">
        <v>0</v>
      </c>
      <c r="B14" s="26" t="b">
        <v>0</v>
      </c>
      <c r="C14" s="26" t="b">
        <v>0</v>
      </c>
      <c r="D14" s="26" t="b">
        <v>0</v>
      </c>
      <c r="E14" s="26" t="b">
        <v>0</v>
      </c>
      <c r="F14" s="26" t="b">
        <v>0</v>
      </c>
      <c r="G14" s="27"/>
    </row>
    <row r="15" spans="1:100" x14ac:dyDescent="0.2">
      <c r="A15" s="26" t="b">
        <v>0</v>
      </c>
      <c r="B15" s="26" t="b">
        <v>0</v>
      </c>
      <c r="C15" s="26" t="b">
        <v>0</v>
      </c>
      <c r="D15" s="26" t="b">
        <v>0</v>
      </c>
      <c r="E15" s="26" t="b">
        <v>0</v>
      </c>
      <c r="F15" s="26" t="b">
        <v>0</v>
      </c>
      <c r="G15" s="27"/>
    </row>
    <row r="16" spans="1:100" x14ac:dyDescent="0.2">
      <c r="A16" s="26" t="b">
        <v>0</v>
      </c>
      <c r="B16" s="26" t="b">
        <v>0</v>
      </c>
      <c r="C16" s="26" t="b">
        <v>0</v>
      </c>
      <c r="D16" s="26" t="b">
        <v>0</v>
      </c>
      <c r="E16" s="26" t="b">
        <v>0</v>
      </c>
      <c r="F16" s="26" t="b">
        <v>0</v>
      </c>
      <c r="G16" s="27"/>
    </row>
    <row r="17" spans="1:7" x14ac:dyDescent="0.2">
      <c r="A17" s="26" t="b">
        <v>0</v>
      </c>
      <c r="B17" s="26" t="b">
        <v>0</v>
      </c>
      <c r="C17" s="26" t="b">
        <v>0</v>
      </c>
      <c r="D17" s="26" t="b">
        <v>0</v>
      </c>
      <c r="E17" s="26" t="b">
        <v>0</v>
      </c>
      <c r="F17" s="26" t="b">
        <v>0</v>
      </c>
      <c r="G17" s="27"/>
    </row>
    <row r="18" spans="1:7" x14ac:dyDescent="0.2">
      <c r="A18" s="26" t="b">
        <v>0</v>
      </c>
      <c r="B18" s="26" t="b">
        <v>0</v>
      </c>
      <c r="C18" s="26" t="b">
        <v>0</v>
      </c>
      <c r="D18" s="26" t="b">
        <v>0</v>
      </c>
      <c r="E18" s="26" t="b">
        <v>0</v>
      </c>
      <c r="F18" s="26" t="b">
        <v>0</v>
      </c>
      <c r="G18" s="27"/>
    </row>
    <row r="19" spans="1:7" x14ac:dyDescent="0.2">
      <c r="A19" s="26" t="b">
        <v>0</v>
      </c>
      <c r="B19" s="26" t="b">
        <v>0</v>
      </c>
      <c r="C19" s="26" t="b">
        <v>0</v>
      </c>
      <c r="D19" s="26" t="b">
        <v>0</v>
      </c>
      <c r="E19" s="26" t="b">
        <v>0</v>
      </c>
      <c r="F19" s="26" t="b">
        <v>0</v>
      </c>
      <c r="G19" s="27"/>
    </row>
    <row r="20" spans="1:7" x14ac:dyDescent="0.2">
      <c r="A20" s="26" t="b">
        <v>0</v>
      </c>
      <c r="B20" s="26" t="b">
        <v>0</v>
      </c>
      <c r="C20" s="26" t="b">
        <v>0</v>
      </c>
      <c r="D20" s="26" t="b">
        <v>0</v>
      </c>
      <c r="E20" s="26" t="b">
        <v>0</v>
      </c>
      <c r="F20" s="26" t="b">
        <v>0</v>
      </c>
      <c r="G20" s="27"/>
    </row>
    <row r="21" spans="1:7" x14ac:dyDescent="0.2">
      <c r="A21" s="26" t="b">
        <v>0</v>
      </c>
      <c r="B21" s="26" t="b">
        <v>0</v>
      </c>
      <c r="C21" s="26" t="b">
        <v>0</v>
      </c>
      <c r="D21" s="26" t="b">
        <v>0</v>
      </c>
      <c r="E21" s="26" t="b">
        <v>0</v>
      </c>
      <c r="F21" s="26" t="b">
        <v>0</v>
      </c>
      <c r="G21" s="27"/>
    </row>
    <row r="22" spans="1:7" x14ac:dyDescent="0.2">
      <c r="A22" s="26" t="b">
        <v>0</v>
      </c>
      <c r="B22" s="26" t="b">
        <v>0</v>
      </c>
      <c r="C22" s="26" t="b">
        <v>0</v>
      </c>
      <c r="D22" s="26" t="b">
        <v>0</v>
      </c>
      <c r="E22" s="26" t="b">
        <v>0</v>
      </c>
      <c r="F22" s="26" t="b">
        <v>0</v>
      </c>
      <c r="G22" s="27"/>
    </row>
    <row r="23" spans="1:7" x14ac:dyDescent="0.2">
      <c r="A23" s="26" t="b">
        <v>0</v>
      </c>
      <c r="B23" s="26" t="b">
        <v>0</v>
      </c>
      <c r="C23" s="26" t="b">
        <v>0</v>
      </c>
      <c r="D23" s="26" t="b">
        <v>0</v>
      </c>
      <c r="E23" s="26" t="b">
        <v>0</v>
      </c>
      <c r="F23" s="26" t="b">
        <v>0</v>
      </c>
      <c r="G23" s="27"/>
    </row>
    <row r="24" spans="1:7" x14ac:dyDescent="0.2">
      <c r="A24" s="26" t="b">
        <v>0</v>
      </c>
      <c r="B24" s="26" t="b">
        <v>0</v>
      </c>
      <c r="C24" s="26" t="b">
        <v>0</v>
      </c>
      <c r="D24" s="26" t="b">
        <v>0</v>
      </c>
      <c r="E24" s="26" t="b">
        <v>0</v>
      </c>
      <c r="F24" s="26" t="b">
        <v>0</v>
      </c>
      <c r="G24" s="27"/>
    </row>
    <row r="25" spans="1:7" x14ac:dyDescent="0.2">
      <c r="A25" s="26" t="b">
        <v>0</v>
      </c>
      <c r="B25" s="26" t="b">
        <v>0</v>
      </c>
      <c r="C25" s="26" t="b">
        <v>0</v>
      </c>
      <c r="D25" s="26" t="b">
        <v>0</v>
      </c>
      <c r="E25" s="26" t="b">
        <v>0</v>
      </c>
      <c r="F25" s="26" t="b">
        <v>0</v>
      </c>
      <c r="G25" s="27"/>
    </row>
    <row r="26" spans="1:7" x14ac:dyDescent="0.2">
      <c r="A26" s="26" t="b">
        <v>0</v>
      </c>
      <c r="B26" s="26" t="b">
        <v>0</v>
      </c>
      <c r="C26" s="26" t="b">
        <v>0</v>
      </c>
      <c r="D26" s="26" t="b">
        <v>0</v>
      </c>
      <c r="E26" s="26" t="b">
        <v>0</v>
      </c>
      <c r="F26" s="26" t="b">
        <v>0</v>
      </c>
      <c r="G26" s="27"/>
    </row>
    <row r="27" spans="1:7" x14ac:dyDescent="0.2">
      <c r="A27" s="26" t="b">
        <v>0</v>
      </c>
      <c r="B27" s="26" t="b">
        <v>0</v>
      </c>
      <c r="C27" s="26" t="b">
        <v>0</v>
      </c>
      <c r="D27" s="26" t="b">
        <v>0</v>
      </c>
      <c r="E27" s="26" t="b">
        <v>0</v>
      </c>
      <c r="F27" s="26" t="b">
        <v>0</v>
      </c>
      <c r="G27" s="27"/>
    </row>
    <row r="28" spans="1:7" x14ac:dyDescent="0.2">
      <c r="A28" s="26" t="b">
        <v>0</v>
      </c>
      <c r="B28" s="26" t="b">
        <v>0</v>
      </c>
      <c r="C28" s="26" t="b">
        <v>0</v>
      </c>
      <c r="D28" s="26" t="b">
        <v>0</v>
      </c>
      <c r="E28" s="26" t="b">
        <v>0</v>
      </c>
      <c r="F28" s="26" t="b">
        <v>0</v>
      </c>
      <c r="G28" s="27"/>
    </row>
    <row r="29" spans="1:7" x14ac:dyDescent="0.2">
      <c r="A29" s="26" t="b">
        <v>0</v>
      </c>
      <c r="B29" s="26" t="b">
        <v>0</v>
      </c>
      <c r="C29" s="26" t="b">
        <v>0</v>
      </c>
      <c r="D29" s="26" t="b">
        <v>0</v>
      </c>
      <c r="E29" s="26" t="b">
        <v>0</v>
      </c>
      <c r="F29" s="26" t="b">
        <v>0</v>
      </c>
      <c r="G29" s="27"/>
    </row>
    <row r="30" spans="1:7" x14ac:dyDescent="0.2">
      <c r="A30" s="26" t="b">
        <v>0</v>
      </c>
      <c r="B30" s="26" t="b">
        <v>0</v>
      </c>
      <c r="C30" s="26" t="b">
        <v>0</v>
      </c>
      <c r="D30" s="26" t="b">
        <v>0</v>
      </c>
      <c r="E30" s="26" t="b">
        <v>0</v>
      </c>
      <c r="F30" s="26" t="b">
        <v>0</v>
      </c>
      <c r="G30" s="27"/>
    </row>
    <row r="31" spans="1:7" x14ac:dyDescent="0.2">
      <c r="A31" s="26" t="b">
        <v>0</v>
      </c>
      <c r="B31" s="26" t="b">
        <v>0</v>
      </c>
      <c r="C31" s="26" t="b">
        <v>0</v>
      </c>
      <c r="D31" s="26" t="b">
        <v>0</v>
      </c>
      <c r="E31" s="26" t="b">
        <v>0</v>
      </c>
      <c r="F31" s="26" t="b">
        <v>0</v>
      </c>
      <c r="G31" s="27"/>
    </row>
    <row r="32" spans="1:7" x14ac:dyDescent="0.2">
      <c r="A32" s="26" t="b">
        <v>0</v>
      </c>
      <c r="B32" s="26" t="b">
        <v>0</v>
      </c>
      <c r="C32" s="26" t="b">
        <v>0</v>
      </c>
      <c r="D32" s="26" t="b">
        <v>0</v>
      </c>
      <c r="E32" s="26" t="b">
        <v>0</v>
      </c>
      <c r="F32" s="26" t="b">
        <v>0</v>
      </c>
      <c r="G32" s="27"/>
    </row>
    <row r="33" spans="1:7" x14ac:dyDescent="0.2">
      <c r="A33" s="26" t="b">
        <v>0</v>
      </c>
      <c r="B33" s="26" t="b">
        <v>0</v>
      </c>
      <c r="C33" s="26" t="b">
        <v>0</v>
      </c>
      <c r="D33" s="26" t="b">
        <v>0</v>
      </c>
      <c r="E33" s="26" t="b">
        <v>0</v>
      </c>
      <c r="F33" s="26" t="b">
        <v>0</v>
      </c>
      <c r="G33" s="27"/>
    </row>
    <row r="34" spans="1:7" x14ac:dyDescent="0.2">
      <c r="A34" s="26" t="b">
        <v>0</v>
      </c>
      <c r="B34" s="26" t="b">
        <v>0</v>
      </c>
      <c r="C34" s="26" t="b">
        <v>0</v>
      </c>
      <c r="D34" s="26" t="b">
        <v>0</v>
      </c>
      <c r="E34" s="26" t="b">
        <v>0</v>
      </c>
      <c r="F34" s="26" t="b">
        <v>0</v>
      </c>
      <c r="G34" s="27"/>
    </row>
    <row r="35" spans="1:7" x14ac:dyDescent="0.2">
      <c r="A35" s="26" t="b">
        <v>0</v>
      </c>
      <c r="B35" s="26" t="b">
        <v>0</v>
      </c>
      <c r="C35" s="26" t="b">
        <v>0</v>
      </c>
      <c r="D35" s="26" t="b">
        <v>0</v>
      </c>
      <c r="E35" s="26" t="b">
        <v>0</v>
      </c>
      <c r="F35" s="26" t="b">
        <v>0</v>
      </c>
      <c r="G35" s="27"/>
    </row>
    <row r="36" spans="1:7" x14ac:dyDescent="0.2">
      <c r="A36" s="26" t="b">
        <v>0</v>
      </c>
      <c r="B36" s="26" t="b">
        <v>0</v>
      </c>
      <c r="C36" s="26" t="b">
        <v>0</v>
      </c>
      <c r="D36" s="26" t="b">
        <v>0</v>
      </c>
      <c r="E36" s="26" t="b">
        <v>0</v>
      </c>
      <c r="F36" s="26" t="b">
        <v>0</v>
      </c>
      <c r="G36" s="27"/>
    </row>
  </sheetData>
  <autoFilter ref="A1:CV1" xr:uid="{00000000-0009-0000-0000-000008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62">
        <x14:dataValidation type="list" allowBlank="1" xr:uid="{FE7D46BD-266F-497C-80FA-BC0ABCAC6B7A}">
          <x14:formula1>
            <xm:f>DropDownMenu!$A$2:$A$3</xm:f>
          </x14:formula1>
          <xm:sqref>A37:A5000</xm:sqref>
        </x14:dataValidation>
        <x14:dataValidation type="list" allowBlank="1" xr:uid="{6D29C194-A63C-4F7D-8D7D-EFCAB8960156}">
          <x14:formula1>
            <xm:f>DropDownMenu!$B$2:$B$3</xm:f>
          </x14:formula1>
          <xm:sqref>B37:B5000</xm:sqref>
        </x14:dataValidation>
        <x14:dataValidation type="list" allowBlank="1" xr:uid="{BBB8ED38-3B41-4BCD-9771-DEB95F810ADD}">
          <x14:formula1>
            <xm:f>DropDownMenu!$C$2:$C$3</xm:f>
          </x14:formula1>
          <xm:sqref>D37:D5000</xm:sqref>
        </x14:dataValidation>
        <x14:dataValidation type="list" allowBlank="1" xr:uid="{638CF4BA-4EC1-48DD-A2A2-A739B9C310E5}">
          <x14:formula1>
            <xm:f>DropDownMenu!$D$2:$D$3</xm:f>
          </x14:formula1>
          <xm:sqref>E37:E5000</xm:sqref>
        </x14:dataValidation>
        <x14:dataValidation type="list" allowBlank="1" xr:uid="{5EDE46A2-14ED-4FDA-87A4-4A201311B38B}">
          <x14:formula1>
            <xm:f>DropDownMenu!$E$2:$E$3</xm:f>
          </x14:formula1>
          <xm:sqref>F37:F5000</xm:sqref>
        </x14:dataValidation>
        <x14:dataValidation type="list" allowBlank="1" xr:uid="{3126373E-AFB2-410B-827E-A05C2FB4F1B3}">
          <x14:formula1>
            <xm:f>DropDownMenu!$G$2:$G$19</xm:f>
          </x14:formula1>
          <xm:sqref>G37:G5000</xm:sqref>
        </x14:dataValidation>
        <x14:dataValidation type="list" allowBlank="1" xr:uid="{2965E49B-CC4F-4887-848E-C8E4F726EE6F}">
          <x14:formula1>
            <xm:f>DropDownMenu!$H$2:$H$564</xm:f>
          </x14:formula1>
          <xm:sqref>H2:H5000</xm:sqref>
        </x14:dataValidation>
        <x14:dataValidation type="list" allowBlank="1" xr:uid="{A49F8B51-7485-4BB5-845B-109A8EDDDAB4}">
          <x14:formula1>
            <xm:f>DropDownMenu!$I$2:$I$352</xm:f>
          </x14:formula1>
          <xm:sqref>I2:I5000</xm:sqref>
        </x14:dataValidation>
        <x14:dataValidation type="list" allowBlank="1" xr:uid="{9768B490-47DE-413D-B4A0-3830FB981268}">
          <x14:formula1>
            <xm:f>DropDownMenu!$J$2:$J$10</xm:f>
          </x14:formula1>
          <xm:sqref>J2:J5000</xm:sqref>
        </x14:dataValidation>
        <x14:dataValidation type="list" allowBlank="1" xr:uid="{2837CD22-BEC2-4211-AD15-22BD1DD5444B}">
          <x14:formula1>
            <xm:f>DropDownMenu!$K$2:$K$101</xm:f>
          </x14:formula1>
          <xm:sqref>K2:K5000</xm:sqref>
        </x14:dataValidation>
        <x14:dataValidation type="list" allowBlank="1" xr:uid="{11925317-999B-4EFC-BBF4-B786BB4C54A3}">
          <x14:formula1>
            <xm:f>DropDownMenu!$L$2:$L$42</xm:f>
          </x14:formula1>
          <xm:sqref>L2:L5000</xm:sqref>
        </x14:dataValidation>
        <x14:dataValidation type="list" allowBlank="1" xr:uid="{AA178DDB-3764-4A31-B9C5-EC6A3693DBD0}">
          <x14:formula1>
            <xm:f>DropDownMenu!$M$2:$M$16</xm:f>
          </x14:formula1>
          <xm:sqref>M2:M5000</xm:sqref>
        </x14:dataValidation>
        <x14:dataValidation type="list" allowBlank="1" xr:uid="{DFD9C286-0FC8-494F-A3CA-CDE68F325688}">
          <x14:formula1>
            <xm:f>DropDownMenu!$N$2:$N$140</xm:f>
          </x14:formula1>
          <xm:sqref>N2:N5000</xm:sqref>
        </x14:dataValidation>
        <x14:dataValidation type="list" allowBlank="1" xr:uid="{F7E3CA95-6A18-49CD-9F2A-571835725515}">
          <x14:formula1>
            <xm:f>DropDownMenu!$O$2:$O$65</xm:f>
          </x14:formula1>
          <xm:sqref>O2:O5000</xm:sqref>
        </x14:dataValidation>
        <x14:dataValidation type="list" allowBlank="1" xr:uid="{11A8BF01-C84F-4E46-BF0F-F47F7A47EB7D}">
          <x14:formula1>
            <xm:f>DropDownMenu!$P$2:$P$45</xm:f>
          </x14:formula1>
          <xm:sqref>Q2:Q5000</xm:sqref>
        </x14:dataValidation>
        <x14:dataValidation type="list" allowBlank="1" xr:uid="{7353157C-EC9D-45D0-8F4C-E60B489F6BE8}">
          <x14:formula1>
            <xm:f>DropDownMenu!$Q$2:$Q$5</xm:f>
          </x14:formula1>
          <xm:sqref>R2:R5000</xm:sqref>
        </x14:dataValidation>
        <x14:dataValidation type="list" allowBlank="1" xr:uid="{F9503850-FCEF-48E7-879E-9C264BB194DD}">
          <x14:formula1>
            <xm:f>DropDownMenu!$R$2:$R$7</xm:f>
          </x14:formula1>
          <xm:sqref>S2:S5000</xm:sqref>
        </x14:dataValidation>
        <x14:dataValidation type="list" allowBlank="1" xr:uid="{8A338328-C40F-4869-9904-28BF053AAB88}">
          <x14:formula1>
            <xm:f>DropDownMenu!$S$2:$S$11</xm:f>
          </x14:formula1>
          <xm:sqref>T2:T5000</xm:sqref>
        </x14:dataValidation>
        <x14:dataValidation type="list" allowBlank="1" xr:uid="{AE5CF7CA-4CC0-4954-A1AB-CD70051E29EE}">
          <x14:formula1>
            <xm:f>DropDownMenu!$T$2:$T$13</xm:f>
          </x14:formula1>
          <xm:sqref>U2:U5000</xm:sqref>
        </x14:dataValidation>
        <x14:dataValidation type="list" allowBlank="1" xr:uid="{EB0E5B4E-9963-444F-A9D9-1726B36AB86C}">
          <x14:formula1>
            <xm:f>DropDownMenu!$U$2:$U$5</xm:f>
          </x14:formula1>
          <xm:sqref>CR2:CR5000</xm:sqref>
        </x14:dataValidation>
        <x14:dataValidation type="list" allowBlank="1" xr:uid="{2549FA45-47CB-4B00-96BF-F6BCD4F9A4A5}">
          <x14:formula1>
            <xm:f>DropDownMenu!$V$2:$V$4</xm:f>
          </x14:formula1>
          <xm:sqref>V2:V5000</xm:sqref>
        </x14:dataValidation>
        <x14:dataValidation type="list" allowBlank="1" xr:uid="{5DB47469-2C76-4536-8DDC-9F14DFA0909A}">
          <x14:formula1>
            <xm:f>DropDownMenu!$W$2:$W$6</xm:f>
          </x14:formula1>
          <xm:sqref>CU2:CU5000</xm:sqref>
        </x14:dataValidation>
        <x14:dataValidation type="list" allowBlank="1" xr:uid="{33760238-B367-4C19-A757-597A16628CB8}">
          <x14:formula1>
            <xm:f>DropDownMenu!$X$2:$X$26</xm:f>
          </x14:formula1>
          <xm:sqref>W2:W5000</xm:sqref>
        </x14:dataValidation>
        <x14:dataValidation type="list" allowBlank="1" xr:uid="{2FEEE133-3749-4BCF-9873-22F87115A521}">
          <x14:formula1>
            <xm:f>DropDownMenu!$Y$2:$Y$7</xm:f>
          </x14:formula1>
          <xm:sqref>X2:X5000</xm:sqref>
        </x14:dataValidation>
        <x14:dataValidation type="list" allowBlank="1" xr:uid="{EC77A6C3-B5FF-4CD4-B732-5E36F4384A78}">
          <x14:formula1>
            <xm:f>DropDownMenu!$Z$2:$Z$15</xm:f>
          </x14:formula1>
          <xm:sqref>Y2:Y5000</xm:sqref>
        </x14:dataValidation>
        <x14:dataValidation type="list" allowBlank="1" xr:uid="{63D3A048-68A7-4205-93DA-8C3D7D7ADDAB}">
          <x14:formula1>
            <xm:f>DropDownMenu!$AA$2:$AA$6</xm:f>
          </x14:formula1>
          <xm:sqref>Z2:Z5000</xm:sqref>
        </x14:dataValidation>
        <x14:dataValidation type="list" allowBlank="1" xr:uid="{B8018D2E-5A55-4925-80A8-40ECB4D580BE}">
          <x14:formula1>
            <xm:f>DropDownMenu!$AB$2:$AB$7</xm:f>
          </x14:formula1>
          <xm:sqref>AA2:AA5000</xm:sqref>
        </x14:dataValidation>
        <x14:dataValidation type="list" allowBlank="1" xr:uid="{FA35F96F-2C87-4B39-B198-F666778DA321}">
          <x14:formula1>
            <xm:f>DropDownMenu!$AC$2:$AC$49</xm:f>
          </x14:formula1>
          <xm:sqref>AD2:AD5000</xm:sqref>
        </x14:dataValidation>
        <x14:dataValidation type="list" allowBlank="1" xr:uid="{B96BB3FF-B9BC-4BA4-A329-5CCF2F9204C3}">
          <x14:formula1>
            <xm:f>DropDownMenu!$AD$2:$AD$52</xm:f>
          </x14:formula1>
          <xm:sqref>AE2:AE5000</xm:sqref>
        </x14:dataValidation>
        <x14:dataValidation type="list" allowBlank="1" xr:uid="{A535B5F8-488E-47A3-B11E-29CED2BE517E}">
          <x14:formula1>
            <xm:f>DropDownMenu!$AE$2:$AE$9</xm:f>
          </x14:formula1>
          <xm:sqref>AH2:AH5000</xm:sqref>
        </x14:dataValidation>
        <x14:dataValidation type="list" allowBlank="1" xr:uid="{C7864685-FE97-49B6-90AF-1C0C08861BE3}">
          <x14:formula1>
            <xm:f>DropDownMenu!$AF$2:$AF$6</xm:f>
          </x14:formula1>
          <xm:sqref>AI2:AI5000</xm:sqref>
        </x14:dataValidation>
        <x14:dataValidation type="list" allowBlank="1" xr:uid="{B647D1A3-55A4-4A07-BEDA-E242F4C58B27}">
          <x14:formula1>
            <xm:f>DropDownMenu!$AG$2:$AG$11</xm:f>
          </x14:formula1>
          <xm:sqref>AJ2:AJ5000</xm:sqref>
        </x14:dataValidation>
        <x14:dataValidation type="list" allowBlank="1" xr:uid="{71FF7999-AD2B-4612-B32F-3EC8DF81E5DD}">
          <x14:formula1>
            <xm:f>DropDownMenu!$AH$2:$AH$2</xm:f>
          </x14:formula1>
          <xm:sqref>AK2:AK5000</xm:sqref>
        </x14:dataValidation>
        <x14:dataValidation type="list" allowBlank="1" xr:uid="{9845027D-473A-4E4A-83EB-5475DF80884B}">
          <x14:formula1>
            <xm:f>DropDownMenu!$AI$2:$AI$2</xm:f>
          </x14:formula1>
          <xm:sqref>AL2:AL5000</xm:sqref>
        </x14:dataValidation>
        <x14:dataValidation type="list" allowBlank="1" xr:uid="{5E5E38FF-0607-4749-ADDF-E6687DA4ABE4}">
          <x14:formula1>
            <xm:f>DropDownMenu!$AJ$2:$AJ$2</xm:f>
          </x14:formula1>
          <xm:sqref>AM2:AM5000</xm:sqref>
        </x14:dataValidation>
        <x14:dataValidation type="list" allowBlank="1" xr:uid="{715D8F19-BFD3-4880-847B-EB0376102B6E}">
          <x14:formula1>
            <xm:f>DropDownMenu!$AK$2:$AK$2</xm:f>
          </x14:formula1>
          <xm:sqref>AN2:AN5000</xm:sqref>
        </x14:dataValidation>
        <x14:dataValidation type="list" allowBlank="1" xr:uid="{C9D477AE-5B24-45D9-8C4D-48981BD6F443}">
          <x14:formula1>
            <xm:f>DropDownMenu!$AL$2:$AL$2</xm:f>
          </x14:formula1>
          <xm:sqref>AO2:AO5000</xm:sqref>
        </x14:dataValidation>
        <x14:dataValidation type="list" allowBlank="1" xr:uid="{CEC9733E-CB8E-4E06-B361-660E94167E41}">
          <x14:formula1>
            <xm:f>DropDownMenu!$AM$2:$AM$5</xm:f>
          </x14:formula1>
          <xm:sqref>CS2:CS5000</xm:sqref>
        </x14:dataValidation>
        <x14:dataValidation type="list" allowBlank="1" xr:uid="{98EE3289-0DE1-4328-B6A7-44BFF7426517}">
          <x14:formula1>
            <xm:f>DropDownMenu!$AN$2:$AN$13</xm:f>
          </x14:formula1>
          <xm:sqref>AR2:AR5000</xm:sqref>
        </x14:dataValidation>
        <x14:dataValidation type="list" allowBlank="1" xr:uid="{D06F14BC-29D2-44A8-806F-E4A34A1C9032}">
          <x14:formula1>
            <xm:f>DropDownMenu!$AO$2:$AO$40</xm:f>
          </x14:formula1>
          <xm:sqref>AS2:AS5000</xm:sqref>
        </x14:dataValidation>
        <x14:dataValidation type="list" allowBlank="1" xr:uid="{3E4B280A-1A6B-4EA5-BC50-B51A7737669B}">
          <x14:formula1>
            <xm:f>DropDownMenu!$AP$2:$AP$274</xm:f>
          </x14:formula1>
          <xm:sqref>AT2:AT5000</xm:sqref>
        </x14:dataValidation>
        <x14:dataValidation type="list" allowBlank="1" xr:uid="{9C6DCC76-2ECA-4685-8825-9AF914E42B78}">
          <x14:formula1>
            <xm:f>DropDownMenu!$AQ$2:$AQ$9</xm:f>
          </x14:formula1>
          <xm:sqref>BB2:BB5000</xm:sqref>
        </x14:dataValidation>
        <x14:dataValidation type="list" allowBlank="1" xr:uid="{C7D558C0-3B66-4AD9-90E4-06F367E6EDD2}">
          <x14:formula1>
            <xm:f>DropDownMenu!$AR$2:$AR$11</xm:f>
          </x14:formula1>
          <xm:sqref>BC2:BC5000</xm:sqref>
        </x14:dataValidation>
        <x14:dataValidation type="list" allowBlank="1" xr:uid="{0B20C399-7F83-4441-B1FF-220BC41DDCC2}">
          <x14:formula1>
            <xm:f>DropDownMenu!$AS$2:$AS$3</xm:f>
          </x14:formula1>
          <xm:sqref>BD2:BD5000</xm:sqref>
        </x14:dataValidation>
        <x14:dataValidation type="list" allowBlank="1" xr:uid="{8494164E-B322-478D-93D5-7664652B4ABC}">
          <x14:formula1>
            <xm:f>DropDownMenu!$AT$2:$AT$4</xm:f>
          </x14:formula1>
          <xm:sqref>BE2:BE5000</xm:sqref>
        </x14:dataValidation>
        <x14:dataValidation type="list" allowBlank="1" xr:uid="{6184295F-14A1-4B75-8F17-7405727A2CD3}">
          <x14:formula1>
            <xm:f>DropDownMenu!$AU$2:$AU$2</xm:f>
          </x14:formula1>
          <xm:sqref>BG2:BG5000</xm:sqref>
        </x14:dataValidation>
        <x14:dataValidation type="list" allowBlank="1" xr:uid="{715B616C-5B0F-4B69-B998-1E990708D3BF}">
          <x14:formula1>
            <xm:f>DropDownMenu!$AV$2:$AV$9</xm:f>
          </x14:formula1>
          <xm:sqref>BH2:BH5000</xm:sqref>
        </x14:dataValidation>
        <x14:dataValidation type="list" allowBlank="1" xr:uid="{8553BFB5-6057-4F29-A676-F3A4ACB4128E}">
          <x14:formula1>
            <xm:f>DropDownMenu!$AW$2:$AW$81</xm:f>
          </x14:formula1>
          <xm:sqref>BI2:BI5000</xm:sqref>
        </x14:dataValidation>
        <x14:dataValidation type="list" allowBlank="1" xr:uid="{4B2E43CE-A945-45E5-8EDB-91B3C4B859A7}">
          <x14:formula1>
            <xm:f>DropDownMenu!$AX$2:$AX$3</xm:f>
          </x14:formula1>
          <xm:sqref>BJ2:BJ5000</xm:sqref>
        </x14:dataValidation>
        <x14:dataValidation type="list" allowBlank="1" xr:uid="{D407B93E-B524-40B4-8E88-BCB81AB1932A}">
          <x14:formula1>
            <xm:f>DropDownMenu!$AY$2:$AY$7</xm:f>
          </x14:formula1>
          <xm:sqref>BK2:BK5000</xm:sqref>
        </x14:dataValidation>
        <x14:dataValidation type="list" allowBlank="1" xr:uid="{0A633791-24D2-4FC4-9F46-B556B0754598}">
          <x14:formula1>
            <xm:f>DropDownMenu!$AZ$2:$AZ$9</xm:f>
          </x14:formula1>
          <xm:sqref>BL2:BL5000</xm:sqref>
        </x14:dataValidation>
        <x14:dataValidation type="list" allowBlank="1" xr:uid="{751A97E9-C6D4-415A-BA12-7A87C973A070}">
          <x14:formula1>
            <xm:f>DropDownMenu!$BA$2:$BA$9</xm:f>
          </x14:formula1>
          <xm:sqref>BM2:BM5000</xm:sqref>
        </x14:dataValidation>
        <x14:dataValidation type="list" allowBlank="1" xr:uid="{645CC730-EE20-4FE3-B608-73E4F88510E0}">
          <x14:formula1>
            <xm:f>DropDownMenu!$BB$2:$BB$3</xm:f>
          </x14:formula1>
          <xm:sqref>BN2:BN5000</xm:sqref>
        </x14:dataValidation>
        <x14:dataValidation type="list" allowBlank="1" xr:uid="{E5424D19-EE95-4243-81AC-9BFC69053F38}">
          <x14:formula1>
            <xm:f>DropDownMenu!$BC$2:$BC$2</xm:f>
          </x14:formula1>
          <xm:sqref>BO2:BO5000</xm:sqref>
        </x14:dataValidation>
        <x14:dataValidation type="list" allowBlank="1" xr:uid="{34207D99-CFA5-4C12-8D1B-112E80682667}">
          <x14:formula1>
            <xm:f>DropDownMenu!$BD$2:$BD$29</xm:f>
          </x14:formula1>
          <xm:sqref>BQ2:BQ5000</xm:sqref>
        </x14:dataValidation>
        <x14:dataValidation type="list" allowBlank="1" xr:uid="{4B262DB7-A484-4E38-813D-89AAAD1DED64}">
          <x14:formula1>
            <xm:f>DropDownMenu!$BE$2:$BE$2</xm:f>
          </x14:formula1>
          <xm:sqref>BT2:BT5000</xm:sqref>
        </x14:dataValidation>
        <x14:dataValidation type="list" allowBlank="1" xr:uid="{59B25D8F-E418-4941-BDBD-1E831230A01A}">
          <x14:formula1>
            <xm:f>DropDownMenu!$BF$2:$BF$33</xm:f>
          </x14:formula1>
          <xm:sqref>BU2:BU5000</xm:sqref>
        </x14:dataValidation>
        <x14:dataValidation type="list" allowBlank="1" xr:uid="{2DE7C6BF-8C1D-426F-9E1A-72333A5FE70E}">
          <x14:formula1>
            <xm:f>DropDownMenu!$BG$2:$BG$2</xm:f>
          </x14:formula1>
          <xm:sqref>BV2:BV5000</xm:sqref>
        </x14:dataValidation>
        <x14:dataValidation type="list" allowBlank="1" xr:uid="{5D62D4A1-7A41-4B8A-89C5-9E3CAD6894C5}">
          <x14:formula1>
            <xm:f>DropDownMenu!$BH$2:$BH$4</xm:f>
          </x14:formula1>
          <xm:sqref>AW2:AW5000</xm:sqref>
        </x14:dataValidation>
        <x14:dataValidation type="list" allowBlank="1" xr:uid="{C03590B9-2E38-44E1-BA89-DAF15E6582C2}">
          <x14:formula1>
            <xm:f>DropDownMenu!$BI$2:$BI$2</xm:f>
          </x14:formula1>
          <xm:sqref>BW2:BW5000</xm:sqref>
        </x14:dataValidation>
        <x14:dataValidation type="list" allowBlank="1" xr:uid="{E7827653-DF93-4EE2-9461-DE79F91674CD}">
          <x14:formula1>
            <xm:f>DropDownMenu!$BJ$2:$BJ$2</xm:f>
          </x14:formula1>
          <xm:sqref>BX2:BX5000</xm:sqref>
        </x14:dataValidation>
        <x14:dataValidation type="list" allowBlank="1" xr:uid="{755D0635-5E54-43E3-93D7-95CE95DECC82}">
          <x14:formula1>
            <xm:f>DropDownMenu!$BK$2:$BK$2</xm:f>
          </x14:formula1>
          <xm:sqref>BY2:BY5000</xm:sqref>
        </x14:dataValidation>
        <x14:dataValidation type="list" allowBlank="1" xr:uid="{4211DAEA-25F4-4AEA-BCAB-757E95374B20}">
          <x14:formula1>
            <xm:f>DropDownMenu!$BL$2:$BL$8</xm:f>
          </x14:formula1>
          <xm:sqref>BZ2:BZ5000</xm:sqref>
        </x14:dataValidation>
        <x14:dataValidation type="list" allowBlank="1" xr:uid="{40C86507-3D00-4E5B-AC24-F704D822EC48}">
          <x14:formula1>
            <xm:f>DropDownMenu!$BM$2:$BM$8</xm:f>
          </x14:formula1>
          <xm:sqref>CA2:CA5000</xm:sqref>
        </x14:dataValidation>
        <x14:dataValidation type="list" allowBlank="1" xr:uid="{46732B6E-D68C-4D46-B892-D2D94BCF0FFB}">
          <x14:formula1>
            <xm:f>DropDownMenu!$BN$2:$BN$8</xm:f>
          </x14:formula1>
          <xm:sqref>CB2:CB5000</xm:sqref>
        </x14:dataValidation>
        <x14:dataValidation type="list" allowBlank="1" xr:uid="{9822FDFC-116F-4116-AB8C-9A63DCF076F4}">
          <x14:formula1>
            <xm:f>DropDownMenu!$BO$2:$BO$6</xm:f>
          </x14:formula1>
          <xm:sqref>CC2:CC5000</xm:sqref>
        </x14:dataValidation>
        <x14:dataValidation type="list" allowBlank="1" xr:uid="{C033DA4B-D81D-4DFB-82E6-F54CD99AF07C}">
          <x14:formula1>
            <xm:f>DropDownMenu!$BP$2:$BP$2</xm:f>
          </x14:formula1>
          <xm:sqref>CD2:CD5000</xm:sqref>
        </x14:dataValidation>
        <x14:dataValidation type="list" allowBlank="1" xr:uid="{F9945378-9E03-4822-8779-1659CC3E3556}">
          <x14:formula1>
            <xm:f>DropDownMenu!$BQ$2:$BQ$2</xm:f>
          </x14:formula1>
          <xm:sqref>CE2:CE5000</xm:sqref>
        </x14:dataValidation>
        <x14:dataValidation type="list" allowBlank="1" xr:uid="{5B38896B-6C93-40B0-AB13-C7FA698FB2A5}">
          <x14:formula1>
            <xm:f>DropDownMenu!$BR$2:$BR$2</xm:f>
          </x14:formula1>
          <xm:sqref>CF2:CF5000</xm:sqref>
        </x14:dataValidation>
        <x14:dataValidation type="list" allowBlank="1" xr:uid="{ADC3CA84-59A4-4F94-9517-761695F5089D}">
          <x14:formula1>
            <xm:f>DropDownMenu!$BS$2:$BS$2</xm:f>
          </x14:formula1>
          <xm:sqref>CG2:CG5000</xm:sqref>
        </x14:dataValidation>
        <x14:dataValidation type="list" allowBlank="1" xr:uid="{8B6B0981-20D9-4CC0-BDBD-E394472FF8AE}">
          <x14:formula1>
            <xm:f>DropDownMenu!$BT$2:$BT$2</xm:f>
          </x14:formula1>
          <xm:sqref>CH2:CH5000</xm:sqref>
        </x14:dataValidation>
        <x14:dataValidation type="list" allowBlank="1" xr:uid="{66BB25AC-B816-4092-A855-8383EB77FC94}">
          <x14:formula1>
            <xm:f>DropDownMenu!$BU$2:$BU$2</xm:f>
          </x14:formula1>
          <xm:sqref>CN2:CN5000</xm:sqref>
        </x14:dataValidation>
        <x14:dataValidation type="list" allowBlank="1" xr:uid="{B248B485-72B0-4461-BAFF-BABA18478BFA}">
          <x14:formula1>
            <xm:f>DropDownMenu!$BV$2:$BV$2</xm:f>
          </x14:formula1>
          <xm:sqref>CO2:CO5000</xm:sqref>
        </x14:dataValidation>
        <x14:dataValidation type="list" allowBlank="1" xr:uid="{D28381BB-5B9F-45CA-A3B1-786CAC23E707}">
          <x14:formula1>
            <xm:f>DropDownMenu!$BW$2:$BW$2</xm:f>
          </x14:formula1>
          <xm:sqref>CQ2:CQ5000</xm:sqref>
        </x14:dataValidation>
        <x14:dataValidation type="list" allowBlank="1" xr:uid="{15346D55-54EB-4EBB-9500-8148EE76A0E1}">
          <x14:formula1>
            <xm:f>DropDownMenu!$BX$2:$BX$2</xm:f>
          </x14:formula1>
          <xm:sqref>CT2:CT5000</xm:sqref>
        </x14:dataValidation>
        <x14:dataValidation type="list" allowBlank="1" xr:uid="{173E23CB-36AB-4A99-8471-ED33CF866FA4}">
          <x14:formula1>
            <xm:f>DropDownMenu!$BY$2:$BY$77</xm:f>
          </x14:formula1>
          <xm:sqref>AU2:AU5000</xm:sqref>
        </x14:dataValidation>
        <x14:dataValidation type="list" allowBlank="1" xr:uid="{BD5EB5E8-3BCC-4507-82FD-3FB1C1A94BBB}">
          <x14:formula1>
            <xm:f>DropDownMenu!$BZ$2:$BZ$3</xm:f>
          </x14:formula1>
          <xm:sqref>CV2:CV5000</xm:sqref>
        </x14:dataValidation>
        <x14:dataValidation type="list" allowBlank="1" xr:uid="{034D4985-8C9E-41EB-80B9-24557C856EA7}">
          <x14:formula1>
            <xm:f>DropDownMenu!$CA$2:$CA$77</xm:f>
          </x14:formula1>
          <xm:sqref>AV2:AV5000</xm:sqref>
        </x14:dataValidation>
        <x14:dataValidation type="list" allowBlank="1" xr:uid="{C9631256-D64F-4435-BD63-F6D9C62929EA}">
          <x14:formula1>
            <xm:f>DropDownMenu!$CB$2:$CB$3</xm:f>
          </x14:formula1>
          <xm:sqref>AX2:AX5000</xm:sqref>
        </x14:dataValidation>
        <x14:dataValidation type="list" allowBlank="1" xr:uid="{DAE64C9E-70C4-4061-8606-6CF7585D424D}">
          <x14:formula1>
            <xm:f>DropDownMenu!$CC$2:$CC$3</xm:f>
          </x14:formula1>
          <xm:sqref>AY2:AY5000</xm:sqref>
        </x14:dataValidation>
        <x14:dataValidation type="list" allowBlank="1" xr:uid="{13DDA3D8-D16D-4D13-BEF1-58696078A2CE}">
          <x14:formula1>
            <xm:f>DropDownMenu!$CD$2:$CD$10</xm:f>
          </x14:formula1>
          <xm:sqref>BA2:BA5000</xm:sqref>
        </x14:dataValidation>
        <x14:dataValidation type="list" allowBlank="1" showInputMessage="1" showErrorMessage="1" xr:uid="{24602F8C-9FF3-4995-BF1E-6427E7F21AF5}">
          <x14:formula1>
            <xm:f>DropDownMenu!$A$2:$A$3</xm:f>
          </x14:formula1>
          <xm:sqref>A37:A5000</xm:sqref>
        </x14:dataValidation>
        <x14:dataValidation type="list" allowBlank="1" showInputMessage="1" showErrorMessage="1" xr:uid="{4BE640F8-43A3-4F0E-8109-71D0F4DF3796}">
          <x14:formula1>
            <xm:f>DropDownMenu!$B$2:$B$3</xm:f>
          </x14:formula1>
          <xm:sqref>B37:B5000</xm:sqref>
        </x14:dataValidation>
        <x14:dataValidation type="list" allowBlank="1" showInputMessage="1" showErrorMessage="1" xr:uid="{1E08EEE0-9ED7-4DBC-AAFC-52587CB55077}">
          <x14:formula1>
            <xm:f>DropDownMenu!$C$2:$C$3</xm:f>
          </x14:formula1>
          <xm:sqref>D37:D5000</xm:sqref>
        </x14:dataValidation>
        <x14:dataValidation type="list" allowBlank="1" showInputMessage="1" showErrorMessage="1" xr:uid="{6427850D-871B-4CC0-864D-71B6D29B02AB}">
          <x14:formula1>
            <xm:f>DropDownMenu!$D$2:$D$3</xm:f>
          </x14:formula1>
          <xm:sqref>E37:E5000</xm:sqref>
        </x14:dataValidation>
        <x14:dataValidation type="list" allowBlank="1" showInputMessage="1" showErrorMessage="1" xr:uid="{4F3AE3DB-9D55-443F-9E78-738C740C41C2}">
          <x14:formula1>
            <xm:f>DropDownMenu!$E$2:$E$3</xm:f>
          </x14:formula1>
          <xm:sqref>F37:F5000</xm:sqref>
        </x14:dataValidation>
        <x14:dataValidation type="list" allowBlank="1" showInputMessage="1" showErrorMessage="1" xr:uid="{48171841-AA92-4924-A418-CDF8004204D5}">
          <x14:formula1>
            <xm:f>DropDownMenu!$G$2:$G$19</xm:f>
          </x14:formula1>
          <xm:sqref>G37:G5000</xm:sqref>
        </x14:dataValidation>
        <x14:dataValidation type="list" allowBlank="1" showInputMessage="1" showErrorMessage="1" xr:uid="{96EB056D-AE17-4F95-A18E-DF1354199BBF}">
          <x14:formula1>
            <xm:f>DropDownMenu!$H$2:$H$564</xm:f>
          </x14:formula1>
          <xm:sqref>H2:H5000</xm:sqref>
        </x14:dataValidation>
        <x14:dataValidation type="list" allowBlank="1" showInputMessage="1" showErrorMessage="1" xr:uid="{0BC1674E-E1F4-49C9-8269-35FE0BFBA14F}">
          <x14:formula1>
            <xm:f>DropDownMenu!$I$2:$I$352</xm:f>
          </x14:formula1>
          <xm:sqref>I2:I5000</xm:sqref>
        </x14:dataValidation>
        <x14:dataValidation type="list" allowBlank="1" showInputMessage="1" showErrorMessage="1" xr:uid="{099DB7C4-F763-462E-B782-EF058FDB8905}">
          <x14:formula1>
            <xm:f>DropDownMenu!$J$2:$J$10</xm:f>
          </x14:formula1>
          <xm:sqref>J2:J5000</xm:sqref>
        </x14:dataValidation>
        <x14:dataValidation type="list" allowBlank="1" showInputMessage="1" showErrorMessage="1" xr:uid="{AB343E0C-779C-49F2-AE21-82BC76DDF5D3}">
          <x14:formula1>
            <xm:f>DropDownMenu!$K$2:$K$101</xm:f>
          </x14:formula1>
          <xm:sqref>K2:K5000</xm:sqref>
        </x14:dataValidation>
        <x14:dataValidation type="list" allowBlank="1" showInputMessage="1" showErrorMessage="1" xr:uid="{37C2A2FB-5CED-47CF-A776-706FCEBB0B56}">
          <x14:formula1>
            <xm:f>DropDownMenu!$L$2:$L$42</xm:f>
          </x14:formula1>
          <xm:sqref>L2:L5000</xm:sqref>
        </x14:dataValidation>
        <x14:dataValidation type="list" allowBlank="1" showInputMessage="1" showErrorMessage="1" xr:uid="{AC573B17-D410-4C38-B45C-0E73071852A2}">
          <x14:formula1>
            <xm:f>DropDownMenu!$M$2:$M$16</xm:f>
          </x14:formula1>
          <xm:sqref>M2:M5000</xm:sqref>
        </x14:dataValidation>
        <x14:dataValidation type="list" allowBlank="1" showInputMessage="1" showErrorMessage="1" xr:uid="{7E9CDAD4-9E1D-4FE3-B771-005763EA5C18}">
          <x14:formula1>
            <xm:f>DropDownMenu!$N$2:$N$140</xm:f>
          </x14:formula1>
          <xm:sqref>N2:N5000</xm:sqref>
        </x14:dataValidation>
        <x14:dataValidation type="list" allowBlank="1" showInputMessage="1" showErrorMessage="1" xr:uid="{7BC1CCBA-F442-461B-928A-DC97FED9FC75}">
          <x14:formula1>
            <xm:f>DropDownMenu!$O$2:$O$65</xm:f>
          </x14:formula1>
          <xm:sqref>O2:O5000</xm:sqref>
        </x14:dataValidation>
        <x14:dataValidation type="list" allowBlank="1" showInputMessage="1" showErrorMessage="1" xr:uid="{0DC3FA8D-734F-4961-8E58-24BA83CA743C}">
          <x14:formula1>
            <xm:f>DropDownMenu!$P$2:$P$45</xm:f>
          </x14:formula1>
          <xm:sqref>Q2:Q5000</xm:sqref>
        </x14:dataValidation>
        <x14:dataValidation type="list" allowBlank="1" showInputMessage="1" showErrorMessage="1" xr:uid="{F0BA67DE-F463-4FF7-ACFB-9296923ADFD1}">
          <x14:formula1>
            <xm:f>DropDownMenu!$Q$2:$Q$5</xm:f>
          </x14:formula1>
          <xm:sqref>R2:R5000</xm:sqref>
        </x14:dataValidation>
        <x14:dataValidation type="list" allowBlank="1" showInputMessage="1" showErrorMessage="1" xr:uid="{0C70FC3A-2D38-4C85-8FF6-76C0EEBB4332}">
          <x14:formula1>
            <xm:f>DropDownMenu!$R$2:$R$7</xm:f>
          </x14:formula1>
          <xm:sqref>S2:S5000</xm:sqref>
        </x14:dataValidation>
        <x14:dataValidation type="list" allowBlank="1" showInputMessage="1" showErrorMessage="1" xr:uid="{7F8EB20D-4DD0-4063-880B-F03476162B05}">
          <x14:formula1>
            <xm:f>DropDownMenu!$S$2:$S$11</xm:f>
          </x14:formula1>
          <xm:sqref>T2:T5000</xm:sqref>
        </x14:dataValidation>
        <x14:dataValidation type="list" allowBlank="1" showInputMessage="1" showErrorMessage="1" xr:uid="{0EF6490F-FA66-4A7D-B322-02644763DF37}">
          <x14:formula1>
            <xm:f>DropDownMenu!$T$2:$T$13</xm:f>
          </x14:formula1>
          <xm:sqref>U2:U5000</xm:sqref>
        </x14:dataValidation>
        <x14:dataValidation type="list" allowBlank="1" showInputMessage="1" showErrorMessage="1" xr:uid="{34C64578-1E9A-41EA-9B71-01BA38EE43E6}">
          <x14:formula1>
            <xm:f>DropDownMenu!$U$2:$U$5</xm:f>
          </x14:formula1>
          <xm:sqref>CR2:CR5000</xm:sqref>
        </x14:dataValidation>
        <x14:dataValidation type="list" allowBlank="1" showInputMessage="1" showErrorMessage="1" xr:uid="{87BB660B-7C2B-4CC4-A3F7-D32103F4AA2E}">
          <x14:formula1>
            <xm:f>DropDownMenu!$V$2:$V$4</xm:f>
          </x14:formula1>
          <xm:sqref>V2:V5000</xm:sqref>
        </x14:dataValidation>
        <x14:dataValidation type="list" allowBlank="1" showInputMessage="1" showErrorMessage="1" xr:uid="{08E44B65-4414-4E9A-B196-BF4346C22C5F}">
          <x14:formula1>
            <xm:f>DropDownMenu!$W$2:$W$6</xm:f>
          </x14:formula1>
          <xm:sqref>CU2:CU5000</xm:sqref>
        </x14:dataValidation>
        <x14:dataValidation type="list" allowBlank="1" showInputMessage="1" showErrorMessage="1" xr:uid="{61C79C28-4CF0-4C2E-A51F-E686F1E58FE1}">
          <x14:formula1>
            <xm:f>DropDownMenu!$X$2:$X$26</xm:f>
          </x14:formula1>
          <xm:sqref>W2:W5000</xm:sqref>
        </x14:dataValidation>
        <x14:dataValidation type="list" allowBlank="1" showInputMessage="1" showErrorMessage="1" xr:uid="{78EC1BB6-EAA1-42C3-86BD-D81734463D8C}">
          <x14:formula1>
            <xm:f>DropDownMenu!$Y$2:$Y$7</xm:f>
          </x14:formula1>
          <xm:sqref>X2:X5000</xm:sqref>
        </x14:dataValidation>
        <x14:dataValidation type="list" allowBlank="1" showInputMessage="1" showErrorMessage="1" xr:uid="{64C4E840-0DEA-49BD-9C02-736F49F16CF2}">
          <x14:formula1>
            <xm:f>DropDownMenu!$Z$2:$Z$15</xm:f>
          </x14:formula1>
          <xm:sqref>Y2:Y5000</xm:sqref>
        </x14:dataValidation>
        <x14:dataValidation type="list" allowBlank="1" showInputMessage="1" showErrorMessage="1" xr:uid="{BCED016D-FAFC-48FA-BAEA-1B2106FFEB32}">
          <x14:formula1>
            <xm:f>DropDownMenu!$AA$2:$AA$6</xm:f>
          </x14:formula1>
          <xm:sqref>Z2:Z5000</xm:sqref>
        </x14:dataValidation>
        <x14:dataValidation type="list" allowBlank="1" showInputMessage="1" showErrorMessage="1" xr:uid="{9E4E9438-FD33-44C5-9772-1304DAA02714}">
          <x14:formula1>
            <xm:f>DropDownMenu!$AB$2:$AB$7</xm:f>
          </x14:formula1>
          <xm:sqref>AA2:AA5000</xm:sqref>
        </x14:dataValidation>
        <x14:dataValidation type="list" allowBlank="1" showInputMessage="1" showErrorMessage="1" xr:uid="{54B56BDF-77CD-4ECF-8E37-6F721B2CF81B}">
          <x14:formula1>
            <xm:f>DropDownMenu!$AC$2:$AC$49</xm:f>
          </x14:formula1>
          <xm:sqref>AD2:AD5000</xm:sqref>
        </x14:dataValidation>
        <x14:dataValidation type="list" allowBlank="1" showInputMessage="1" showErrorMessage="1" xr:uid="{3CCFA5D7-F0CC-48C6-8AF7-A2E387005039}">
          <x14:formula1>
            <xm:f>DropDownMenu!$AD$2:$AD$52</xm:f>
          </x14:formula1>
          <xm:sqref>AE2:AE5000</xm:sqref>
        </x14:dataValidation>
        <x14:dataValidation type="list" allowBlank="1" showInputMessage="1" showErrorMessage="1" xr:uid="{95C9B2F0-58CE-4300-A099-6F5A05E64090}">
          <x14:formula1>
            <xm:f>DropDownMenu!$AE$2:$AE$9</xm:f>
          </x14:formula1>
          <xm:sqref>AH2:AH5000</xm:sqref>
        </x14:dataValidation>
        <x14:dataValidation type="list" allowBlank="1" showInputMessage="1" showErrorMessage="1" xr:uid="{579A1727-A028-4983-94C0-EEE4F31FE7F1}">
          <x14:formula1>
            <xm:f>DropDownMenu!$AF$2:$AF$6</xm:f>
          </x14:formula1>
          <xm:sqref>AI2:AI5000</xm:sqref>
        </x14:dataValidation>
        <x14:dataValidation type="list" allowBlank="1" showInputMessage="1" showErrorMessage="1" xr:uid="{19C83DFF-5684-4922-A2A2-6889A229BF46}">
          <x14:formula1>
            <xm:f>DropDownMenu!$AG$2:$AG$11</xm:f>
          </x14:formula1>
          <xm:sqref>AJ2:AJ5000</xm:sqref>
        </x14:dataValidation>
        <x14:dataValidation type="list" allowBlank="1" showInputMessage="1" showErrorMessage="1" xr:uid="{25870912-A675-4925-B8C0-E12FB07917E9}">
          <x14:formula1>
            <xm:f>DropDownMenu!$AH$2:$AH$2</xm:f>
          </x14:formula1>
          <xm:sqref>AK2:AK5000</xm:sqref>
        </x14:dataValidation>
        <x14:dataValidation type="list" allowBlank="1" showInputMessage="1" showErrorMessage="1" xr:uid="{54F60944-7831-4037-A6D0-5193790ABD68}">
          <x14:formula1>
            <xm:f>DropDownMenu!$AI$2:$AI$2</xm:f>
          </x14:formula1>
          <xm:sqref>AL2:AL5000</xm:sqref>
        </x14:dataValidation>
        <x14:dataValidation type="list" allowBlank="1" showInputMessage="1" showErrorMessage="1" xr:uid="{24CD1A95-6210-424A-81EE-4F16116DE941}">
          <x14:formula1>
            <xm:f>DropDownMenu!$AJ$2:$AJ$2</xm:f>
          </x14:formula1>
          <xm:sqref>AM2:AM5000</xm:sqref>
        </x14:dataValidation>
        <x14:dataValidation type="list" allowBlank="1" showInputMessage="1" showErrorMessage="1" xr:uid="{B5E1F2C1-BF48-4F1C-AECB-9854DC329177}">
          <x14:formula1>
            <xm:f>DropDownMenu!$AK$2:$AK$2</xm:f>
          </x14:formula1>
          <xm:sqref>AN2:AN5000</xm:sqref>
        </x14:dataValidation>
        <x14:dataValidation type="list" allowBlank="1" showInputMessage="1" showErrorMessage="1" xr:uid="{1A0BD36F-86BC-45F7-A1F5-50386B88D77F}">
          <x14:formula1>
            <xm:f>DropDownMenu!$AL$2:$AL$2</xm:f>
          </x14:formula1>
          <xm:sqref>AO2:AO5000</xm:sqref>
        </x14:dataValidation>
        <x14:dataValidation type="list" allowBlank="1" showInputMessage="1" showErrorMessage="1" xr:uid="{3E900851-BAD0-489D-AA36-1FF96F61FF8A}">
          <x14:formula1>
            <xm:f>DropDownMenu!$AM$2:$AM$5</xm:f>
          </x14:formula1>
          <xm:sqref>CS2:CS5000</xm:sqref>
        </x14:dataValidation>
        <x14:dataValidation type="list" allowBlank="1" showInputMessage="1" showErrorMessage="1" xr:uid="{52A05571-1F43-4550-8DC1-CE5227258E52}">
          <x14:formula1>
            <xm:f>DropDownMenu!$AN$2:$AN$13</xm:f>
          </x14:formula1>
          <xm:sqref>AR2:AR5000</xm:sqref>
        </x14:dataValidation>
        <x14:dataValidation type="list" allowBlank="1" showInputMessage="1" showErrorMessage="1" xr:uid="{9B12BBD0-FCEC-49E7-9918-85D49F089D23}">
          <x14:formula1>
            <xm:f>DropDownMenu!$AO$2:$AO$40</xm:f>
          </x14:formula1>
          <xm:sqref>AS2:AS5000</xm:sqref>
        </x14:dataValidation>
        <x14:dataValidation type="list" allowBlank="1" showInputMessage="1" showErrorMessage="1" xr:uid="{25DB6511-0780-4F82-87AE-4889145655F1}">
          <x14:formula1>
            <xm:f>DropDownMenu!$AP$2:$AP$274</xm:f>
          </x14:formula1>
          <xm:sqref>AT2:AT5000</xm:sqref>
        </x14:dataValidation>
        <x14:dataValidation type="list" allowBlank="1" showInputMessage="1" showErrorMessage="1" xr:uid="{0DEF0BB4-0E29-4090-917B-66FCEEF8456D}">
          <x14:formula1>
            <xm:f>DropDownMenu!$AQ$2:$AQ$9</xm:f>
          </x14:formula1>
          <xm:sqref>BB2:BB5000</xm:sqref>
        </x14:dataValidation>
        <x14:dataValidation type="list" allowBlank="1" showInputMessage="1" showErrorMessage="1" xr:uid="{8E9F0C85-4215-4F83-B070-EC137844C49A}">
          <x14:formula1>
            <xm:f>DropDownMenu!$AR$2:$AR$11</xm:f>
          </x14:formula1>
          <xm:sqref>BC2:BC5000</xm:sqref>
        </x14:dataValidation>
        <x14:dataValidation type="list" allowBlank="1" showInputMessage="1" showErrorMessage="1" xr:uid="{1341E5F2-FEFC-41D5-90E6-472F262400A7}">
          <x14:formula1>
            <xm:f>DropDownMenu!$AS$2:$AS$3</xm:f>
          </x14:formula1>
          <xm:sqref>BD2:BD5000</xm:sqref>
        </x14:dataValidation>
        <x14:dataValidation type="list" allowBlank="1" showInputMessage="1" showErrorMessage="1" xr:uid="{F9E4C3ED-BD46-424D-96C7-C8A560927DE5}">
          <x14:formula1>
            <xm:f>DropDownMenu!$AT$2:$AT$4</xm:f>
          </x14:formula1>
          <xm:sqref>BE2:BE5000</xm:sqref>
        </x14:dataValidation>
        <x14:dataValidation type="list" allowBlank="1" showInputMessage="1" showErrorMessage="1" xr:uid="{14A7CE1E-CE7D-4621-862F-0BDCFA8D6D8C}">
          <x14:formula1>
            <xm:f>DropDownMenu!$AU$2:$AU$2</xm:f>
          </x14:formula1>
          <xm:sqref>BG2:BG5000</xm:sqref>
        </x14:dataValidation>
        <x14:dataValidation type="list" allowBlank="1" showInputMessage="1" showErrorMessage="1" xr:uid="{C48C5241-BBC8-4D1B-A72B-4757438730FC}">
          <x14:formula1>
            <xm:f>DropDownMenu!$AV$2:$AV$9</xm:f>
          </x14:formula1>
          <xm:sqref>BH2:BH5000</xm:sqref>
        </x14:dataValidation>
        <x14:dataValidation type="list" allowBlank="1" showInputMessage="1" showErrorMessage="1" xr:uid="{E71397DB-813A-4184-AEB7-A1B6642F362F}">
          <x14:formula1>
            <xm:f>DropDownMenu!$AW$2:$AW$81</xm:f>
          </x14:formula1>
          <xm:sqref>BI2:BI5000</xm:sqref>
        </x14:dataValidation>
        <x14:dataValidation type="list" allowBlank="1" showInputMessage="1" showErrorMessage="1" xr:uid="{FB3C0873-2DB3-4666-ACC5-06DF9166DFFC}">
          <x14:formula1>
            <xm:f>DropDownMenu!$AX$2:$AX$3</xm:f>
          </x14:formula1>
          <xm:sqref>BJ2:BJ5000</xm:sqref>
        </x14:dataValidation>
        <x14:dataValidation type="list" allowBlank="1" showInputMessage="1" showErrorMessage="1" xr:uid="{CF00C79E-58C8-4CF0-8A5E-9EB2ACFD59C4}">
          <x14:formula1>
            <xm:f>DropDownMenu!$AY$2:$AY$7</xm:f>
          </x14:formula1>
          <xm:sqref>BK2:BK5000</xm:sqref>
        </x14:dataValidation>
        <x14:dataValidation type="list" allowBlank="1" showInputMessage="1" showErrorMessage="1" xr:uid="{89568A56-8875-4A80-A39C-43575980A881}">
          <x14:formula1>
            <xm:f>DropDownMenu!$AZ$2:$AZ$9</xm:f>
          </x14:formula1>
          <xm:sqref>BL2:BL5000</xm:sqref>
        </x14:dataValidation>
        <x14:dataValidation type="list" allowBlank="1" showInputMessage="1" showErrorMessage="1" xr:uid="{3EB35207-CF4B-4C21-8A10-99D6D84C0A90}">
          <x14:formula1>
            <xm:f>DropDownMenu!$BA$2:$BA$9</xm:f>
          </x14:formula1>
          <xm:sqref>BM2:BM5000</xm:sqref>
        </x14:dataValidation>
        <x14:dataValidation type="list" allowBlank="1" showInputMessage="1" showErrorMessage="1" xr:uid="{4DF25610-DCAD-40A3-9E00-66C107F47D25}">
          <x14:formula1>
            <xm:f>DropDownMenu!$BB$2:$BB$3</xm:f>
          </x14:formula1>
          <xm:sqref>BN2:BN5000</xm:sqref>
        </x14:dataValidation>
        <x14:dataValidation type="list" allowBlank="1" showInputMessage="1" showErrorMessage="1" xr:uid="{454A0610-7E15-48CF-A466-BDF744219A98}">
          <x14:formula1>
            <xm:f>DropDownMenu!$BC$2:$BC$2</xm:f>
          </x14:formula1>
          <xm:sqref>BO2:BO5000</xm:sqref>
        </x14:dataValidation>
        <x14:dataValidation type="list" allowBlank="1" showInputMessage="1" showErrorMessage="1" xr:uid="{908AD6B2-3C92-4232-B73E-B65BF10AEAED}">
          <x14:formula1>
            <xm:f>DropDownMenu!$BD$2:$BD$29</xm:f>
          </x14:formula1>
          <xm:sqref>BQ2:BQ5000</xm:sqref>
        </x14:dataValidation>
        <x14:dataValidation type="list" allowBlank="1" showInputMessage="1" showErrorMessage="1" xr:uid="{5FC3F3B7-70B9-47EC-B56D-5F8A895D3DAA}">
          <x14:formula1>
            <xm:f>DropDownMenu!$BE$2:$BE$2</xm:f>
          </x14:formula1>
          <xm:sqref>BT2:BT5000</xm:sqref>
        </x14:dataValidation>
        <x14:dataValidation type="list" allowBlank="1" showInputMessage="1" showErrorMessage="1" xr:uid="{A9EBE286-595E-483E-A395-906E70142DC4}">
          <x14:formula1>
            <xm:f>DropDownMenu!$BF$2:$BF$33</xm:f>
          </x14:formula1>
          <xm:sqref>BU2:BU5000</xm:sqref>
        </x14:dataValidation>
        <x14:dataValidation type="list" allowBlank="1" showInputMessage="1" showErrorMessage="1" xr:uid="{71EB6483-1FDB-40E8-BFD8-2517AC932914}">
          <x14:formula1>
            <xm:f>DropDownMenu!$BG$2:$BG$2</xm:f>
          </x14:formula1>
          <xm:sqref>BV2:BV5000</xm:sqref>
        </x14:dataValidation>
        <x14:dataValidation type="list" allowBlank="1" showInputMessage="1" showErrorMessage="1" xr:uid="{F62BF01B-FF4A-4B89-879D-F3CD5A13521A}">
          <x14:formula1>
            <xm:f>DropDownMenu!$BH$2:$BH$4</xm:f>
          </x14:formula1>
          <xm:sqref>AW2:AW5000</xm:sqref>
        </x14:dataValidation>
        <x14:dataValidation type="list" allowBlank="1" showInputMessage="1" showErrorMessage="1" xr:uid="{44E24925-6889-4A8C-90EA-97ADC34116A1}">
          <x14:formula1>
            <xm:f>DropDownMenu!$BI$2:$BI$2</xm:f>
          </x14:formula1>
          <xm:sqref>BW2:BW5000</xm:sqref>
        </x14:dataValidation>
        <x14:dataValidation type="list" allowBlank="1" showInputMessage="1" showErrorMessage="1" xr:uid="{EBB632A7-CB4E-415D-9A25-59E67C9B6462}">
          <x14:formula1>
            <xm:f>DropDownMenu!$BJ$2:$BJ$2</xm:f>
          </x14:formula1>
          <xm:sqref>BX2:BX5000</xm:sqref>
        </x14:dataValidation>
        <x14:dataValidation type="list" allowBlank="1" showInputMessage="1" showErrorMessage="1" xr:uid="{8CBC3734-FFF0-4757-AAB1-228294E31DA2}">
          <x14:formula1>
            <xm:f>DropDownMenu!$BK$2:$BK$2</xm:f>
          </x14:formula1>
          <xm:sqref>BY2:BY5000</xm:sqref>
        </x14:dataValidation>
        <x14:dataValidation type="list" allowBlank="1" showInputMessage="1" showErrorMessage="1" xr:uid="{2484BEE6-34F5-4818-B45A-F1E22D6A6ACF}">
          <x14:formula1>
            <xm:f>DropDownMenu!$BL$2:$BL$8</xm:f>
          </x14:formula1>
          <xm:sqref>BZ2:BZ5000</xm:sqref>
        </x14:dataValidation>
        <x14:dataValidation type="list" allowBlank="1" showInputMessage="1" showErrorMessage="1" xr:uid="{88515EAE-EB3B-4926-9B30-B650C0351D27}">
          <x14:formula1>
            <xm:f>DropDownMenu!$BM$2:$BM$8</xm:f>
          </x14:formula1>
          <xm:sqref>CA2:CA5000</xm:sqref>
        </x14:dataValidation>
        <x14:dataValidation type="list" allowBlank="1" showInputMessage="1" showErrorMessage="1" xr:uid="{F6252F3B-4978-492C-A2AF-D2CDDF0F6296}">
          <x14:formula1>
            <xm:f>DropDownMenu!$BN$2:$BN$8</xm:f>
          </x14:formula1>
          <xm:sqref>CB2:CB5000</xm:sqref>
        </x14:dataValidation>
        <x14:dataValidation type="list" allowBlank="1" showInputMessage="1" showErrorMessage="1" xr:uid="{9B6031A5-D5DC-4D33-A492-DA9B645F03BF}">
          <x14:formula1>
            <xm:f>DropDownMenu!$BO$2:$BO$6</xm:f>
          </x14:formula1>
          <xm:sqref>CC2:CC5000</xm:sqref>
        </x14:dataValidation>
        <x14:dataValidation type="list" allowBlank="1" showInputMessage="1" showErrorMessage="1" xr:uid="{720A4819-540F-4514-A100-C038A706218B}">
          <x14:formula1>
            <xm:f>DropDownMenu!$BP$2:$BP$2</xm:f>
          </x14:formula1>
          <xm:sqref>CD2:CD5000</xm:sqref>
        </x14:dataValidation>
        <x14:dataValidation type="list" allowBlank="1" showInputMessage="1" showErrorMessage="1" xr:uid="{CF3D38A0-803A-4979-834C-CCD4BB170B53}">
          <x14:formula1>
            <xm:f>DropDownMenu!$BQ$2:$BQ$2</xm:f>
          </x14:formula1>
          <xm:sqref>CE2:CE5000</xm:sqref>
        </x14:dataValidation>
        <x14:dataValidation type="list" allowBlank="1" showInputMessage="1" showErrorMessage="1" xr:uid="{78E2D5CA-4530-497B-99C7-07762EA07DC9}">
          <x14:formula1>
            <xm:f>DropDownMenu!$BR$2:$BR$2</xm:f>
          </x14:formula1>
          <xm:sqref>CF2:CF5000</xm:sqref>
        </x14:dataValidation>
        <x14:dataValidation type="list" allowBlank="1" showInputMessage="1" showErrorMessage="1" xr:uid="{40D4F98E-4C13-401C-96E2-4081D2803D58}">
          <x14:formula1>
            <xm:f>DropDownMenu!$BS$2:$BS$2</xm:f>
          </x14:formula1>
          <xm:sqref>CG2:CG5000</xm:sqref>
        </x14:dataValidation>
        <x14:dataValidation type="list" allowBlank="1" showInputMessage="1" showErrorMessage="1" xr:uid="{C05172F2-76E2-4668-931F-1FB1872C82B1}">
          <x14:formula1>
            <xm:f>DropDownMenu!$BT$2:$BT$2</xm:f>
          </x14:formula1>
          <xm:sqref>CH2:CH5000</xm:sqref>
        </x14:dataValidation>
        <x14:dataValidation type="list" allowBlank="1" showInputMessage="1" showErrorMessage="1" xr:uid="{36F31F09-A883-4527-81D4-C6D12C00AECB}">
          <x14:formula1>
            <xm:f>DropDownMenu!$BU$2:$BU$2</xm:f>
          </x14:formula1>
          <xm:sqref>CN2:CN5000</xm:sqref>
        </x14:dataValidation>
        <x14:dataValidation type="list" allowBlank="1" showInputMessage="1" showErrorMessage="1" xr:uid="{66A7B7E4-8E1A-462D-AFBA-126FF0D5343C}">
          <x14:formula1>
            <xm:f>DropDownMenu!$BV$2:$BV$2</xm:f>
          </x14:formula1>
          <xm:sqref>CO2:CO5000</xm:sqref>
        </x14:dataValidation>
        <x14:dataValidation type="list" allowBlank="1" showInputMessage="1" showErrorMessage="1" xr:uid="{D101A713-D9FD-4C2B-A5F6-1FA39C255588}">
          <x14:formula1>
            <xm:f>DropDownMenu!$BW$2:$BW$2</xm:f>
          </x14:formula1>
          <xm:sqref>CQ2:CQ5000</xm:sqref>
        </x14:dataValidation>
        <x14:dataValidation type="list" allowBlank="1" showInputMessage="1" showErrorMessage="1" xr:uid="{B9FB2DA3-7A31-4319-A8A2-E7343FF4F1EA}">
          <x14:formula1>
            <xm:f>DropDownMenu!$BX$2:$BX$2</xm:f>
          </x14:formula1>
          <xm:sqref>CT2:CT5000</xm:sqref>
        </x14:dataValidation>
        <x14:dataValidation type="list" allowBlank="1" showInputMessage="1" showErrorMessage="1" xr:uid="{CF808E4C-41A6-4D2E-BD0E-828274536CE2}">
          <x14:formula1>
            <xm:f>DropDownMenu!$BY$2:$BY$77</xm:f>
          </x14:formula1>
          <xm:sqref>AU2:AU5000</xm:sqref>
        </x14:dataValidation>
        <x14:dataValidation type="list" allowBlank="1" showInputMessage="1" showErrorMessage="1" xr:uid="{97EB9EAE-3654-47C5-A322-39AD211C493F}">
          <x14:formula1>
            <xm:f>DropDownMenu!$BZ$2:$BZ$3</xm:f>
          </x14:formula1>
          <xm:sqref>CV2:CV5000</xm:sqref>
        </x14:dataValidation>
        <x14:dataValidation type="list" allowBlank="1" showInputMessage="1" showErrorMessage="1" xr:uid="{1B785165-182D-4376-A290-082911461691}">
          <x14:formula1>
            <xm:f>DropDownMenu!$CA$2:$CA$77</xm:f>
          </x14:formula1>
          <xm:sqref>AV2:AV5000</xm:sqref>
        </x14:dataValidation>
        <x14:dataValidation type="list" allowBlank="1" showInputMessage="1" showErrorMessage="1" xr:uid="{3B176F14-7FD9-442D-8D28-8861CCDF3C0D}">
          <x14:formula1>
            <xm:f>DropDownMenu!$CB$2:$CB$3</xm:f>
          </x14:formula1>
          <xm:sqref>AX2:AX5000</xm:sqref>
        </x14:dataValidation>
        <x14:dataValidation type="list" allowBlank="1" showInputMessage="1" showErrorMessage="1" xr:uid="{4328B267-9605-459E-AFB3-56CB6E7C34B0}">
          <x14:formula1>
            <xm:f>DropDownMenu!$CC$2:$CC$3</xm:f>
          </x14:formula1>
          <xm:sqref>AY2:AY5000</xm:sqref>
        </x14:dataValidation>
        <x14:dataValidation type="list" allowBlank="1" showInputMessage="1" showErrorMessage="1" xr:uid="{2DCCC07D-06CE-426B-B728-3736108E6DAE}">
          <x14:formula1>
            <xm:f>DropDownMenu!$CD$2:$CD$10</xm:f>
          </x14:formula1>
          <xm:sqref>BA2:BA5000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ACF9E-15FA-4EF6-B88F-7BD816006C80}">
  <sheetPr>
    <outlinePr applyStyles="1" summaryRight="0"/>
  </sheetPr>
  <dimension ref="A1:CV42"/>
  <sheetViews>
    <sheetView workbookViewId="0">
      <pane xSplit="7" ySplit="1" topLeftCell="H2" activePane="bottomRight" state="frozen"/>
      <selection pane="topRight"/>
      <selection pane="bottomLeft"/>
      <selection pane="bottomRight" activeCell="AM16" sqref="AM16"/>
    </sheetView>
  </sheetViews>
  <sheetFormatPr baseColWidth="10" defaultColWidth="8.83203125" defaultRowHeight="15" outlineLevelCol="1" x14ac:dyDescent="0.2"/>
  <cols>
    <col min="1" max="6" width="4" customWidth="1"/>
    <col min="7" max="7" width="40" customWidth="1"/>
    <col min="8" max="9" width="4" customWidth="1"/>
    <col min="10" max="11" width="7.6640625" bestFit="1" customWidth="1"/>
    <col min="12" max="12" width="10.33203125" bestFit="1" customWidth="1"/>
    <col min="13" max="13" width="11.5" bestFit="1" customWidth="1"/>
    <col min="14" max="14" width="27.5" bestFit="1" customWidth="1"/>
    <col min="15" max="16" width="4" customWidth="1"/>
    <col min="17" max="17" width="4" customWidth="1" outlineLevel="1"/>
    <col min="18" max="18" width="7.6640625" bestFit="1" customWidth="1" outlineLevel="1"/>
    <col min="19" max="19" width="4" customWidth="1" outlineLevel="1"/>
    <col min="20" max="21" width="10.33203125" bestFit="1" customWidth="1" outlineLevel="1"/>
    <col min="22" max="22" width="4" customWidth="1" outlineLevel="1"/>
    <col min="23" max="23" width="4" customWidth="1"/>
    <col min="24" max="25" width="4" customWidth="1" outlineLevel="1"/>
    <col min="26" max="26" width="7.6640625" bestFit="1" customWidth="1" outlineLevel="1"/>
    <col min="27" max="27" width="10" customWidth="1"/>
    <col min="28" max="34" width="10" customWidth="1" outlineLevel="1"/>
    <col min="35" max="35" width="4" customWidth="1"/>
    <col min="36" max="45" width="4" customWidth="1" outlineLevel="1"/>
    <col min="46" max="46" width="20" customWidth="1" outlineLevel="1"/>
    <col min="47" max="47" width="22.6640625" bestFit="1" customWidth="1" outlineLevel="1"/>
    <col min="48" max="48" width="10" customWidth="1" outlineLevel="1"/>
    <col min="49" max="49" width="7.6640625" bestFit="1" customWidth="1" outlineLevel="1"/>
    <col min="50" max="50" width="4" customWidth="1"/>
    <col min="51" max="52" width="4" customWidth="1" outlineLevel="1"/>
    <col min="53" max="53" width="20" customWidth="1" outlineLevel="1"/>
    <col min="54" max="54" width="4" customWidth="1"/>
    <col min="55" max="100" width="4" customWidth="1" outlineLevel="1"/>
  </cols>
  <sheetData>
    <row r="1" spans="1:100" ht="15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 t="s">
        <v>22</v>
      </c>
      <c r="X1" s="1" t="s">
        <v>23</v>
      </c>
      <c r="Y1" s="1" t="s">
        <v>24</v>
      </c>
      <c r="Z1" s="1" t="s">
        <v>25</v>
      </c>
      <c r="AA1" s="3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</row>
    <row r="2" spans="1:100" s="54" customFormat="1" x14ac:dyDescent="0.2">
      <c r="A2" s="32" t="b">
        <v>0</v>
      </c>
      <c r="B2" s="32" t="b">
        <v>0</v>
      </c>
      <c r="C2" s="32" t="b">
        <v>1</v>
      </c>
      <c r="D2" s="32" t="b">
        <v>0</v>
      </c>
      <c r="E2" s="32" t="b">
        <v>0</v>
      </c>
      <c r="F2" s="32" t="b">
        <v>0</v>
      </c>
      <c r="G2" s="117"/>
      <c r="J2" s="54" t="s">
        <v>703</v>
      </c>
      <c r="K2" s="54" t="s">
        <v>704</v>
      </c>
      <c r="L2" s="54" t="s">
        <v>1510</v>
      </c>
      <c r="M2" s="54" t="s">
        <v>1511</v>
      </c>
      <c r="N2" s="54" t="s">
        <v>1512</v>
      </c>
      <c r="R2" s="54" t="s">
        <v>1513</v>
      </c>
      <c r="T2" s="54" t="s">
        <v>139</v>
      </c>
      <c r="U2" s="54" t="s">
        <v>523</v>
      </c>
      <c r="V2" s="54" t="s">
        <v>1514</v>
      </c>
      <c r="W2" s="54" t="s">
        <v>173</v>
      </c>
      <c r="X2" s="54" t="s">
        <v>173</v>
      </c>
      <c r="Y2" s="54" t="s">
        <v>148</v>
      </c>
      <c r="Z2" s="54" t="s">
        <v>142</v>
      </c>
      <c r="AB2" s="123"/>
      <c r="AC2" s="123"/>
      <c r="AD2" s="123">
        <v>46299</v>
      </c>
      <c r="AE2" s="123">
        <v>46303</v>
      </c>
      <c r="AT2" s="54" t="s">
        <v>738</v>
      </c>
      <c r="AU2" s="54" t="s">
        <v>1515</v>
      </c>
      <c r="AV2" s="54" t="s">
        <v>1516</v>
      </c>
      <c r="AW2" s="54" t="s">
        <v>121</v>
      </c>
    </row>
    <row r="3" spans="1:100" x14ac:dyDescent="0.2">
      <c r="A3" s="32" t="b">
        <v>0</v>
      </c>
      <c r="B3" s="32" t="b">
        <v>0</v>
      </c>
      <c r="C3" s="32" t="b">
        <v>1</v>
      </c>
      <c r="D3" s="32" t="b">
        <v>0</v>
      </c>
      <c r="E3" s="32" t="b">
        <v>0</v>
      </c>
      <c r="F3" s="32" t="b">
        <v>0</v>
      </c>
      <c r="G3" s="27"/>
      <c r="J3" t="s">
        <v>703</v>
      </c>
      <c r="K3" t="s">
        <v>704</v>
      </c>
      <c r="L3" t="s">
        <v>1510</v>
      </c>
      <c r="M3" t="s">
        <v>1511</v>
      </c>
      <c r="N3" t="s">
        <v>1512</v>
      </c>
      <c r="R3" t="s">
        <v>1513</v>
      </c>
      <c r="T3" t="s">
        <v>139</v>
      </c>
      <c r="U3" t="s">
        <v>523</v>
      </c>
      <c r="V3" t="s">
        <v>1514</v>
      </c>
      <c r="W3" t="s">
        <v>173</v>
      </c>
      <c r="X3" t="s">
        <v>173</v>
      </c>
      <c r="Y3" t="s">
        <v>148</v>
      </c>
      <c r="Z3" t="s">
        <v>1256</v>
      </c>
      <c r="AF3" s="123">
        <v>46304</v>
      </c>
      <c r="AG3" s="123">
        <v>46366</v>
      </c>
      <c r="AT3" t="s">
        <v>738</v>
      </c>
      <c r="AU3" t="s">
        <v>1515</v>
      </c>
      <c r="AV3" t="s">
        <v>1516</v>
      </c>
      <c r="AW3" t="s">
        <v>121</v>
      </c>
    </row>
    <row r="4" spans="1:100" x14ac:dyDescent="0.2">
      <c r="A4" s="32" t="b">
        <v>0</v>
      </c>
      <c r="B4" s="32" t="b">
        <v>0</v>
      </c>
      <c r="C4" s="32" t="b">
        <v>1</v>
      </c>
      <c r="D4" s="32" t="b">
        <v>0</v>
      </c>
      <c r="E4" s="32" t="b">
        <v>0</v>
      </c>
      <c r="F4" s="32" t="b">
        <v>0</v>
      </c>
      <c r="G4" s="27"/>
      <c r="J4" t="s">
        <v>703</v>
      </c>
      <c r="K4" t="s">
        <v>704</v>
      </c>
      <c r="L4" t="s">
        <v>1510</v>
      </c>
      <c r="M4" t="s">
        <v>1511</v>
      </c>
      <c r="N4" t="s">
        <v>1512</v>
      </c>
      <c r="R4" t="s">
        <v>1513</v>
      </c>
      <c r="T4" t="s">
        <v>139</v>
      </c>
      <c r="U4" t="s">
        <v>523</v>
      </c>
      <c r="V4" t="s">
        <v>1514</v>
      </c>
      <c r="W4" t="s">
        <v>173</v>
      </c>
      <c r="X4" t="s">
        <v>173</v>
      </c>
      <c r="Y4" t="s">
        <v>148</v>
      </c>
      <c r="Z4" t="s">
        <v>1258</v>
      </c>
      <c r="AB4" s="123">
        <v>46258</v>
      </c>
      <c r="AC4" s="123">
        <v>46298</v>
      </c>
      <c r="AT4" t="s">
        <v>738</v>
      </c>
      <c r="AU4" t="s">
        <v>1515</v>
      </c>
      <c r="AV4" t="s">
        <v>1516</v>
      </c>
      <c r="AW4" t="s">
        <v>121</v>
      </c>
    </row>
    <row r="5" spans="1:100" s="54" customFormat="1" x14ac:dyDescent="0.2">
      <c r="A5" s="32" t="b">
        <v>0</v>
      </c>
      <c r="B5" s="32" t="b">
        <v>0</v>
      </c>
      <c r="C5" s="32" t="b">
        <v>1</v>
      </c>
      <c r="D5" s="32" t="b">
        <v>0</v>
      </c>
      <c r="E5" s="32" t="b">
        <v>0</v>
      </c>
      <c r="F5" s="32" t="b">
        <v>0</v>
      </c>
      <c r="G5" s="117"/>
      <c r="J5" s="54" t="s">
        <v>766</v>
      </c>
      <c r="K5" s="54" t="s">
        <v>1251</v>
      </c>
      <c r="L5" s="54" t="s">
        <v>1510</v>
      </c>
      <c r="M5" s="54" t="s">
        <v>1511</v>
      </c>
      <c r="R5" s="54" t="s">
        <v>1513</v>
      </c>
      <c r="T5" s="54" t="s">
        <v>139</v>
      </c>
      <c r="U5" s="54" t="s">
        <v>523</v>
      </c>
      <c r="V5" s="54" t="s">
        <v>1514</v>
      </c>
      <c r="W5" s="54" t="s">
        <v>173</v>
      </c>
      <c r="X5" s="54" t="s">
        <v>173</v>
      </c>
      <c r="Y5" s="54" t="s">
        <v>148</v>
      </c>
      <c r="Z5" s="54" t="s">
        <v>142</v>
      </c>
      <c r="AD5" s="123">
        <v>46306</v>
      </c>
      <c r="AE5" s="123">
        <v>46310</v>
      </c>
      <c r="AT5" s="54" t="s">
        <v>836</v>
      </c>
      <c r="AU5" s="54" t="s">
        <v>1517</v>
      </c>
      <c r="AV5" s="54" t="s">
        <v>1518</v>
      </c>
      <c r="AW5" s="54" t="s">
        <v>121</v>
      </c>
    </row>
    <row r="6" spans="1:100" x14ac:dyDescent="0.2">
      <c r="A6" s="32" t="b">
        <v>0</v>
      </c>
      <c r="B6" s="32" t="b">
        <v>0</v>
      </c>
      <c r="C6" s="32" t="b">
        <v>1</v>
      </c>
      <c r="D6" s="32" t="b">
        <v>0</v>
      </c>
      <c r="E6" s="32" t="b">
        <v>0</v>
      </c>
      <c r="F6" s="32" t="b">
        <v>0</v>
      </c>
      <c r="G6" s="27"/>
      <c r="J6" t="s">
        <v>766</v>
      </c>
      <c r="K6" t="s">
        <v>1251</v>
      </c>
      <c r="L6" t="s">
        <v>1510</v>
      </c>
      <c r="M6" t="s">
        <v>1511</v>
      </c>
      <c r="R6" t="s">
        <v>1513</v>
      </c>
      <c r="T6" t="s">
        <v>139</v>
      </c>
      <c r="U6" t="s">
        <v>523</v>
      </c>
      <c r="V6" s="54" t="s">
        <v>1514</v>
      </c>
      <c r="W6" s="54" t="s">
        <v>173</v>
      </c>
      <c r="X6" s="54" t="s">
        <v>173</v>
      </c>
      <c r="Y6" s="54" t="s">
        <v>148</v>
      </c>
      <c r="Z6" t="s">
        <v>1256</v>
      </c>
      <c r="AF6" s="123">
        <v>46311</v>
      </c>
      <c r="AG6" s="123">
        <v>46366</v>
      </c>
      <c r="AT6" t="s">
        <v>836</v>
      </c>
      <c r="AU6" t="s">
        <v>1517</v>
      </c>
      <c r="AV6" t="s">
        <v>1518</v>
      </c>
      <c r="AW6" t="s">
        <v>121</v>
      </c>
    </row>
    <row r="7" spans="1:100" x14ac:dyDescent="0.2">
      <c r="A7" s="32" t="b">
        <v>0</v>
      </c>
      <c r="B7" s="32" t="b">
        <v>0</v>
      </c>
      <c r="C7" s="32" t="b">
        <v>1</v>
      </c>
      <c r="D7" s="32" t="b">
        <v>0</v>
      </c>
      <c r="E7" s="32" t="b">
        <v>0</v>
      </c>
      <c r="F7" s="32" t="b">
        <v>0</v>
      </c>
      <c r="G7" s="27"/>
      <c r="J7" t="s">
        <v>766</v>
      </c>
      <c r="K7" t="s">
        <v>1251</v>
      </c>
      <c r="L7" t="s">
        <v>1510</v>
      </c>
      <c r="M7" t="s">
        <v>1511</v>
      </c>
      <c r="R7" t="s">
        <v>1513</v>
      </c>
      <c r="T7" t="s">
        <v>139</v>
      </c>
      <c r="U7" t="s">
        <v>523</v>
      </c>
      <c r="V7" s="54" t="s">
        <v>1514</v>
      </c>
      <c r="W7" s="54" t="s">
        <v>173</v>
      </c>
      <c r="X7" s="54" t="s">
        <v>173</v>
      </c>
      <c r="Y7" s="54" t="s">
        <v>148</v>
      </c>
      <c r="Z7" t="s">
        <v>1258</v>
      </c>
      <c r="AB7" s="123">
        <v>46258</v>
      </c>
      <c r="AC7" s="123">
        <v>46305</v>
      </c>
      <c r="AT7" t="s">
        <v>836</v>
      </c>
      <c r="AU7" t="s">
        <v>1517</v>
      </c>
      <c r="AV7" t="s">
        <v>1518</v>
      </c>
      <c r="AW7" t="s">
        <v>121</v>
      </c>
    </row>
    <row r="8" spans="1:100" s="54" customFormat="1" x14ac:dyDescent="0.2">
      <c r="A8" s="32" t="b">
        <v>0</v>
      </c>
      <c r="B8" s="32" t="b">
        <v>0</v>
      </c>
      <c r="C8" s="32" t="b">
        <v>1</v>
      </c>
      <c r="D8" s="32" t="b">
        <v>0</v>
      </c>
      <c r="E8" s="32" t="b">
        <v>0</v>
      </c>
      <c r="F8" s="32" t="b">
        <v>0</v>
      </c>
      <c r="G8" s="117"/>
      <c r="J8" s="54" t="s">
        <v>1108</v>
      </c>
      <c r="K8" s="54" t="s">
        <v>1159</v>
      </c>
      <c r="L8" s="54" t="s">
        <v>1519</v>
      </c>
      <c r="M8" s="54" t="s">
        <v>1511</v>
      </c>
      <c r="N8" s="54" t="s">
        <v>1166</v>
      </c>
      <c r="R8" s="54" t="s">
        <v>1513</v>
      </c>
      <c r="T8" s="54" t="s">
        <v>139</v>
      </c>
      <c r="U8" s="54" t="s">
        <v>523</v>
      </c>
      <c r="V8" s="54" t="s">
        <v>1514</v>
      </c>
      <c r="W8" s="54" t="s">
        <v>112</v>
      </c>
      <c r="X8" s="54" t="s">
        <v>173</v>
      </c>
      <c r="Y8" s="54" t="s">
        <v>148</v>
      </c>
      <c r="Z8" s="54" t="s">
        <v>142</v>
      </c>
      <c r="AD8" s="123">
        <v>46279</v>
      </c>
      <c r="AE8" s="123">
        <v>46282</v>
      </c>
      <c r="AT8" s="54" t="s">
        <v>575</v>
      </c>
      <c r="AU8" s="54" t="s">
        <v>1520</v>
      </c>
      <c r="AV8" s="54" t="s">
        <v>1521</v>
      </c>
      <c r="AW8" s="54" t="s">
        <v>121</v>
      </c>
    </row>
    <row r="9" spans="1:100" x14ac:dyDescent="0.2">
      <c r="A9" s="32" t="b">
        <v>0</v>
      </c>
      <c r="B9" s="32" t="b">
        <v>0</v>
      </c>
      <c r="C9" s="32" t="b">
        <v>1</v>
      </c>
      <c r="D9" s="32" t="b">
        <v>0</v>
      </c>
      <c r="E9" s="32" t="b">
        <v>0</v>
      </c>
      <c r="F9" s="32" t="b">
        <v>0</v>
      </c>
      <c r="G9" s="27"/>
      <c r="J9" t="s">
        <v>1108</v>
      </c>
      <c r="K9" t="s">
        <v>1159</v>
      </c>
      <c r="L9" t="s">
        <v>1519</v>
      </c>
      <c r="M9" t="s">
        <v>1511</v>
      </c>
      <c r="N9" t="s">
        <v>1166</v>
      </c>
      <c r="R9" t="s">
        <v>1513</v>
      </c>
      <c r="T9" t="s">
        <v>139</v>
      </c>
      <c r="U9" t="s">
        <v>523</v>
      </c>
      <c r="V9" t="s">
        <v>1514</v>
      </c>
      <c r="W9" t="s">
        <v>112</v>
      </c>
      <c r="X9" t="s">
        <v>173</v>
      </c>
      <c r="Y9" t="s">
        <v>148</v>
      </c>
      <c r="Z9" t="s">
        <v>1256</v>
      </c>
      <c r="AF9" s="123">
        <v>46283</v>
      </c>
      <c r="AG9" s="123">
        <v>46366</v>
      </c>
    </row>
    <row r="10" spans="1:100" x14ac:dyDescent="0.2">
      <c r="A10" s="32" t="b">
        <v>0</v>
      </c>
      <c r="B10" s="32" t="b">
        <v>0</v>
      </c>
      <c r="C10" s="32" t="b">
        <v>1</v>
      </c>
      <c r="D10" s="32" t="b">
        <v>0</v>
      </c>
      <c r="E10" s="32" t="b">
        <v>0</v>
      </c>
      <c r="F10" s="32" t="b">
        <v>0</v>
      </c>
      <c r="G10" s="27"/>
      <c r="J10" t="s">
        <v>1108</v>
      </c>
      <c r="K10" t="s">
        <v>1159</v>
      </c>
      <c r="L10" t="s">
        <v>1519</v>
      </c>
      <c r="M10" t="s">
        <v>1511</v>
      </c>
      <c r="N10" t="s">
        <v>1166</v>
      </c>
      <c r="R10" t="s">
        <v>1513</v>
      </c>
      <c r="T10" t="s">
        <v>139</v>
      </c>
      <c r="U10" t="s">
        <v>523</v>
      </c>
      <c r="V10" t="s">
        <v>1514</v>
      </c>
      <c r="W10" t="s">
        <v>112</v>
      </c>
      <c r="X10" t="s">
        <v>173</v>
      </c>
      <c r="Y10" t="s">
        <v>148</v>
      </c>
      <c r="Z10" t="s">
        <v>1258</v>
      </c>
      <c r="AB10" s="123">
        <v>46258</v>
      </c>
      <c r="AC10" s="123">
        <v>46278</v>
      </c>
    </row>
    <row r="11" spans="1:100" x14ac:dyDescent="0.2">
      <c r="A11" s="32" t="b">
        <v>0</v>
      </c>
      <c r="B11" s="32" t="b">
        <v>0</v>
      </c>
      <c r="C11" s="32" t="b">
        <v>1</v>
      </c>
      <c r="D11" s="32" t="b">
        <v>0</v>
      </c>
      <c r="E11" s="32" t="b">
        <v>0</v>
      </c>
      <c r="F11" s="32" t="b">
        <v>0</v>
      </c>
      <c r="G11" s="27"/>
      <c r="J11" t="s">
        <v>519</v>
      </c>
      <c r="K11" t="s">
        <v>581</v>
      </c>
      <c r="L11" t="s">
        <v>1519</v>
      </c>
      <c r="M11" t="s">
        <v>1511</v>
      </c>
      <c r="N11" t="s">
        <v>582</v>
      </c>
      <c r="R11" t="s">
        <v>1513</v>
      </c>
      <c r="T11" t="s">
        <v>139</v>
      </c>
      <c r="U11" t="s">
        <v>523</v>
      </c>
      <c r="V11" t="s">
        <v>1514</v>
      </c>
      <c r="W11" t="s">
        <v>112</v>
      </c>
      <c r="X11" t="s">
        <v>173</v>
      </c>
      <c r="Y11" t="s">
        <v>148</v>
      </c>
      <c r="Z11" s="54" t="s">
        <v>142</v>
      </c>
      <c r="AD11" s="123">
        <v>46279</v>
      </c>
      <c r="AE11" s="123">
        <v>46282</v>
      </c>
    </row>
    <row r="12" spans="1:100" x14ac:dyDescent="0.2">
      <c r="A12" s="32" t="b">
        <v>0</v>
      </c>
      <c r="B12" s="32" t="b">
        <v>0</v>
      </c>
      <c r="C12" s="32" t="b">
        <v>1</v>
      </c>
      <c r="D12" s="32" t="b">
        <v>0</v>
      </c>
      <c r="E12" s="32" t="b">
        <v>0</v>
      </c>
      <c r="F12" s="32" t="b">
        <v>0</v>
      </c>
      <c r="G12" s="27"/>
      <c r="J12" t="s">
        <v>519</v>
      </c>
      <c r="K12" t="s">
        <v>581</v>
      </c>
      <c r="L12" t="s">
        <v>1519</v>
      </c>
      <c r="M12" t="s">
        <v>1511</v>
      </c>
      <c r="N12" t="s">
        <v>582</v>
      </c>
      <c r="R12" t="s">
        <v>1513</v>
      </c>
      <c r="T12" t="s">
        <v>139</v>
      </c>
      <c r="U12" t="s">
        <v>523</v>
      </c>
      <c r="V12" t="s">
        <v>1514</v>
      </c>
      <c r="W12" t="s">
        <v>112</v>
      </c>
      <c r="X12" t="s">
        <v>173</v>
      </c>
      <c r="Y12" t="s">
        <v>148</v>
      </c>
      <c r="Z12" t="s">
        <v>1256</v>
      </c>
      <c r="AF12" s="123">
        <v>46283</v>
      </c>
      <c r="AG12" s="123">
        <v>46366</v>
      </c>
    </row>
    <row r="13" spans="1:100" x14ac:dyDescent="0.2">
      <c r="A13" s="32" t="b">
        <v>0</v>
      </c>
      <c r="B13" s="32" t="b">
        <v>0</v>
      </c>
      <c r="C13" s="32" t="b">
        <v>1</v>
      </c>
      <c r="D13" s="32" t="b">
        <v>0</v>
      </c>
      <c r="E13" s="32" t="b">
        <v>0</v>
      </c>
      <c r="F13" s="32" t="b">
        <v>0</v>
      </c>
      <c r="G13" s="27"/>
      <c r="J13" t="s">
        <v>519</v>
      </c>
      <c r="K13" t="s">
        <v>581</v>
      </c>
      <c r="L13" t="s">
        <v>1519</v>
      </c>
      <c r="M13" t="s">
        <v>1511</v>
      </c>
      <c r="N13" t="s">
        <v>582</v>
      </c>
      <c r="R13" t="s">
        <v>1513</v>
      </c>
      <c r="T13" t="s">
        <v>139</v>
      </c>
      <c r="U13" t="s">
        <v>523</v>
      </c>
      <c r="V13" t="s">
        <v>1514</v>
      </c>
      <c r="W13" t="s">
        <v>112</v>
      </c>
      <c r="X13" t="s">
        <v>173</v>
      </c>
      <c r="Y13" t="s">
        <v>148</v>
      </c>
      <c r="Z13" t="s">
        <v>1258</v>
      </c>
      <c r="AB13" s="123">
        <v>46258</v>
      </c>
      <c r="AC13" s="123">
        <v>46258</v>
      </c>
    </row>
    <row r="14" spans="1:100" x14ac:dyDescent="0.2">
      <c r="A14" s="26" t="b">
        <v>0</v>
      </c>
      <c r="B14" s="26" t="b">
        <v>0</v>
      </c>
      <c r="C14" s="26" t="b">
        <v>0</v>
      </c>
      <c r="D14" s="26" t="b">
        <v>0</v>
      </c>
      <c r="E14" s="26" t="b">
        <v>0</v>
      </c>
      <c r="F14" s="26" t="b">
        <v>0</v>
      </c>
      <c r="G14" s="27"/>
    </row>
    <row r="15" spans="1:100" x14ac:dyDescent="0.2">
      <c r="A15" s="26" t="b">
        <v>0</v>
      </c>
      <c r="B15" s="26" t="b">
        <v>0</v>
      </c>
      <c r="C15" s="26" t="b">
        <v>0</v>
      </c>
      <c r="D15" s="26" t="b">
        <v>0</v>
      </c>
      <c r="E15" s="26" t="b">
        <v>0</v>
      </c>
      <c r="F15" s="26" t="b">
        <v>0</v>
      </c>
      <c r="G15" s="27"/>
    </row>
    <row r="16" spans="1:100" x14ac:dyDescent="0.2">
      <c r="A16" s="26" t="b">
        <v>0</v>
      </c>
      <c r="B16" s="26" t="b">
        <v>0</v>
      </c>
      <c r="C16" s="26" t="b">
        <v>0</v>
      </c>
      <c r="D16" s="26" t="b">
        <v>0</v>
      </c>
      <c r="E16" s="26" t="b">
        <v>0</v>
      </c>
      <c r="F16" s="26" t="b">
        <v>0</v>
      </c>
      <c r="G16" s="27"/>
    </row>
    <row r="17" spans="1:7" x14ac:dyDescent="0.2">
      <c r="A17" s="26" t="b">
        <v>0</v>
      </c>
      <c r="B17" s="26" t="b">
        <v>0</v>
      </c>
      <c r="C17" s="26" t="b">
        <v>0</v>
      </c>
      <c r="D17" s="26" t="b">
        <v>0</v>
      </c>
      <c r="E17" s="26" t="b">
        <v>0</v>
      </c>
      <c r="F17" s="26" t="b">
        <v>0</v>
      </c>
      <c r="G17" s="27"/>
    </row>
    <row r="18" spans="1:7" x14ac:dyDescent="0.2">
      <c r="A18" s="26" t="b">
        <v>0</v>
      </c>
      <c r="B18" s="26" t="b">
        <v>0</v>
      </c>
      <c r="C18" s="26" t="b">
        <v>0</v>
      </c>
      <c r="D18" s="26" t="b">
        <v>0</v>
      </c>
      <c r="E18" s="26" t="b">
        <v>0</v>
      </c>
      <c r="F18" s="26" t="b">
        <v>0</v>
      </c>
      <c r="G18" s="27"/>
    </row>
    <row r="19" spans="1:7" x14ac:dyDescent="0.2">
      <c r="A19" s="26" t="b">
        <v>0</v>
      </c>
      <c r="B19" s="26" t="b">
        <v>0</v>
      </c>
      <c r="C19" s="26" t="b">
        <v>0</v>
      </c>
      <c r="D19" s="26" t="b">
        <v>0</v>
      </c>
      <c r="E19" s="26" t="b">
        <v>0</v>
      </c>
      <c r="F19" s="26" t="b">
        <v>0</v>
      </c>
      <c r="G19" s="27"/>
    </row>
    <row r="20" spans="1:7" x14ac:dyDescent="0.2">
      <c r="A20" s="26" t="b">
        <v>0</v>
      </c>
      <c r="B20" s="26" t="b">
        <v>0</v>
      </c>
      <c r="C20" s="26" t="b">
        <v>0</v>
      </c>
      <c r="D20" s="26" t="b">
        <v>0</v>
      </c>
      <c r="E20" s="26" t="b">
        <v>0</v>
      </c>
      <c r="F20" s="26" t="b">
        <v>0</v>
      </c>
      <c r="G20" s="27"/>
    </row>
    <row r="21" spans="1:7" x14ac:dyDescent="0.2">
      <c r="A21" s="26" t="b">
        <v>0</v>
      </c>
      <c r="B21" s="26" t="b">
        <v>0</v>
      </c>
      <c r="C21" s="26" t="b">
        <v>0</v>
      </c>
      <c r="D21" s="26" t="b">
        <v>0</v>
      </c>
      <c r="E21" s="26" t="b">
        <v>0</v>
      </c>
      <c r="F21" s="26" t="b">
        <v>0</v>
      </c>
      <c r="G21" s="27"/>
    </row>
    <row r="22" spans="1:7" x14ac:dyDescent="0.2">
      <c r="A22" s="26" t="b">
        <v>0</v>
      </c>
      <c r="B22" s="26" t="b">
        <v>0</v>
      </c>
      <c r="C22" s="26" t="b">
        <v>0</v>
      </c>
      <c r="D22" s="26" t="b">
        <v>0</v>
      </c>
      <c r="E22" s="26" t="b">
        <v>0</v>
      </c>
      <c r="F22" s="26" t="b">
        <v>0</v>
      </c>
      <c r="G22" s="27"/>
    </row>
    <row r="23" spans="1:7" x14ac:dyDescent="0.2">
      <c r="A23" s="26" t="b">
        <v>0</v>
      </c>
      <c r="B23" s="26" t="b">
        <v>0</v>
      </c>
      <c r="C23" s="26" t="b">
        <v>0</v>
      </c>
      <c r="D23" s="26" t="b">
        <v>0</v>
      </c>
      <c r="E23" s="26" t="b">
        <v>0</v>
      </c>
      <c r="F23" s="26" t="b">
        <v>0</v>
      </c>
      <c r="G23" s="27"/>
    </row>
    <row r="24" spans="1:7" x14ac:dyDescent="0.2">
      <c r="A24" s="26" t="b">
        <v>0</v>
      </c>
      <c r="B24" s="26" t="b">
        <v>0</v>
      </c>
      <c r="C24" s="26" t="b">
        <v>0</v>
      </c>
      <c r="D24" s="26" t="b">
        <v>0</v>
      </c>
      <c r="E24" s="26" t="b">
        <v>0</v>
      </c>
      <c r="F24" s="26" t="b">
        <v>0</v>
      </c>
      <c r="G24" s="27"/>
    </row>
    <row r="25" spans="1:7" x14ac:dyDescent="0.2">
      <c r="A25" s="26" t="b">
        <v>0</v>
      </c>
      <c r="B25" s="26" t="b">
        <v>0</v>
      </c>
      <c r="C25" s="26" t="b">
        <v>0</v>
      </c>
      <c r="D25" s="26" t="b">
        <v>0</v>
      </c>
      <c r="E25" s="26" t="b">
        <v>0</v>
      </c>
      <c r="F25" s="26" t="b">
        <v>0</v>
      </c>
      <c r="G25" s="27"/>
    </row>
    <row r="26" spans="1:7" x14ac:dyDescent="0.2">
      <c r="A26" s="26" t="b">
        <v>0</v>
      </c>
      <c r="B26" s="26" t="b">
        <v>0</v>
      </c>
      <c r="C26" s="26" t="b">
        <v>0</v>
      </c>
      <c r="D26" s="26" t="b">
        <v>0</v>
      </c>
      <c r="E26" s="26" t="b">
        <v>0</v>
      </c>
      <c r="F26" s="26" t="b">
        <v>0</v>
      </c>
      <c r="G26" s="27"/>
    </row>
    <row r="27" spans="1:7" x14ac:dyDescent="0.2">
      <c r="A27" s="26" t="b">
        <v>0</v>
      </c>
      <c r="B27" s="26" t="b">
        <v>0</v>
      </c>
      <c r="C27" s="26" t="b">
        <v>0</v>
      </c>
      <c r="D27" s="26" t="b">
        <v>0</v>
      </c>
      <c r="E27" s="26" t="b">
        <v>0</v>
      </c>
      <c r="F27" s="26" t="b">
        <v>0</v>
      </c>
      <c r="G27" s="27"/>
    </row>
    <row r="28" spans="1:7" x14ac:dyDescent="0.2">
      <c r="A28" s="26" t="b">
        <v>0</v>
      </c>
      <c r="B28" s="26" t="b">
        <v>0</v>
      </c>
      <c r="C28" s="26" t="b">
        <v>0</v>
      </c>
      <c r="D28" s="26" t="b">
        <v>0</v>
      </c>
      <c r="E28" s="26" t="b">
        <v>0</v>
      </c>
      <c r="F28" s="26" t="b">
        <v>0</v>
      </c>
      <c r="G28" s="27"/>
    </row>
    <row r="29" spans="1:7" x14ac:dyDescent="0.2">
      <c r="A29" s="26" t="b">
        <v>0</v>
      </c>
      <c r="B29" s="26" t="b">
        <v>0</v>
      </c>
      <c r="C29" s="26" t="b">
        <v>0</v>
      </c>
      <c r="D29" s="26" t="b">
        <v>0</v>
      </c>
      <c r="E29" s="26" t="b">
        <v>0</v>
      </c>
      <c r="F29" s="26" t="b">
        <v>0</v>
      </c>
      <c r="G29" s="27"/>
    </row>
    <row r="30" spans="1:7" x14ac:dyDescent="0.2">
      <c r="A30" s="26" t="b">
        <v>0</v>
      </c>
      <c r="B30" s="26" t="b">
        <v>0</v>
      </c>
      <c r="C30" s="26" t="b">
        <v>0</v>
      </c>
      <c r="D30" s="26" t="b">
        <v>0</v>
      </c>
      <c r="E30" s="26" t="b">
        <v>0</v>
      </c>
      <c r="F30" s="26" t="b">
        <v>0</v>
      </c>
      <c r="G30" s="27"/>
    </row>
    <row r="31" spans="1:7" x14ac:dyDescent="0.2">
      <c r="A31" s="26" t="b">
        <v>0</v>
      </c>
      <c r="B31" s="26" t="b">
        <v>0</v>
      </c>
      <c r="C31" s="26" t="b">
        <v>0</v>
      </c>
      <c r="D31" s="26" t="b">
        <v>0</v>
      </c>
      <c r="E31" s="26" t="b">
        <v>0</v>
      </c>
      <c r="F31" s="26" t="b">
        <v>0</v>
      </c>
      <c r="G31" s="27"/>
    </row>
    <row r="32" spans="1:7" x14ac:dyDescent="0.2">
      <c r="A32" s="26" t="b">
        <v>0</v>
      </c>
      <c r="B32" s="26" t="b">
        <v>0</v>
      </c>
      <c r="C32" s="26" t="b">
        <v>0</v>
      </c>
      <c r="D32" s="26" t="b">
        <v>0</v>
      </c>
      <c r="E32" s="26" t="b">
        <v>0</v>
      </c>
      <c r="F32" s="26" t="b">
        <v>0</v>
      </c>
      <c r="G32" s="27"/>
    </row>
    <row r="33" spans="1:7" x14ac:dyDescent="0.2">
      <c r="A33" s="26" t="b">
        <v>0</v>
      </c>
      <c r="B33" s="26" t="b">
        <v>0</v>
      </c>
      <c r="C33" s="26" t="b">
        <v>0</v>
      </c>
      <c r="D33" s="26" t="b">
        <v>0</v>
      </c>
      <c r="E33" s="26" t="b">
        <v>0</v>
      </c>
      <c r="F33" s="26" t="b">
        <v>0</v>
      </c>
      <c r="G33" s="27"/>
    </row>
    <row r="34" spans="1:7" x14ac:dyDescent="0.2">
      <c r="A34" s="26" t="b">
        <v>0</v>
      </c>
      <c r="B34" s="26" t="b">
        <v>0</v>
      </c>
      <c r="C34" s="26" t="b">
        <v>0</v>
      </c>
      <c r="D34" s="26" t="b">
        <v>0</v>
      </c>
      <c r="E34" s="26" t="b">
        <v>0</v>
      </c>
      <c r="F34" s="26" t="b">
        <v>0</v>
      </c>
      <c r="G34" s="27"/>
    </row>
    <row r="35" spans="1:7" x14ac:dyDescent="0.2">
      <c r="A35" s="26" t="b">
        <v>0</v>
      </c>
      <c r="B35" s="26" t="b">
        <v>0</v>
      </c>
      <c r="C35" s="26" t="b">
        <v>0</v>
      </c>
      <c r="D35" s="26" t="b">
        <v>0</v>
      </c>
      <c r="E35" s="26" t="b">
        <v>0</v>
      </c>
      <c r="F35" s="26" t="b">
        <v>0</v>
      </c>
      <c r="G35" s="27"/>
    </row>
    <row r="36" spans="1:7" x14ac:dyDescent="0.2">
      <c r="A36" s="26" t="b">
        <v>0</v>
      </c>
      <c r="B36" s="26" t="b">
        <v>0</v>
      </c>
      <c r="C36" s="26" t="b">
        <v>0</v>
      </c>
      <c r="D36" s="26" t="b">
        <v>0</v>
      </c>
      <c r="E36" s="26" t="b">
        <v>0</v>
      </c>
      <c r="F36" s="26" t="b">
        <v>0</v>
      </c>
      <c r="G36" s="27"/>
    </row>
    <row r="37" spans="1:7" x14ac:dyDescent="0.2">
      <c r="A37" s="26" t="b">
        <v>0</v>
      </c>
      <c r="B37" s="26" t="b">
        <v>0</v>
      </c>
      <c r="C37" s="26" t="b">
        <v>0</v>
      </c>
      <c r="D37" s="26" t="b">
        <v>0</v>
      </c>
      <c r="E37" s="26" t="b">
        <v>0</v>
      </c>
      <c r="F37" s="26" t="b">
        <v>0</v>
      </c>
      <c r="G37" s="27"/>
    </row>
    <row r="38" spans="1:7" x14ac:dyDescent="0.2">
      <c r="A38" s="26" t="b">
        <v>0</v>
      </c>
      <c r="B38" s="26" t="b">
        <v>0</v>
      </c>
      <c r="C38" s="26" t="b">
        <v>0</v>
      </c>
      <c r="D38" s="26" t="b">
        <v>0</v>
      </c>
      <c r="E38" s="26" t="b">
        <v>0</v>
      </c>
      <c r="F38" s="26" t="b">
        <v>0</v>
      </c>
      <c r="G38" s="27"/>
    </row>
    <row r="39" spans="1:7" x14ac:dyDescent="0.2">
      <c r="A39" s="26" t="b">
        <v>0</v>
      </c>
      <c r="B39" s="26" t="b">
        <v>0</v>
      </c>
      <c r="C39" s="26" t="b">
        <v>0</v>
      </c>
      <c r="D39" s="26" t="b">
        <v>0</v>
      </c>
      <c r="E39" s="26" t="b">
        <v>0</v>
      </c>
      <c r="F39" s="26" t="b">
        <v>0</v>
      </c>
      <c r="G39" s="27"/>
    </row>
    <row r="40" spans="1:7" x14ac:dyDescent="0.2">
      <c r="A40" s="26" t="b">
        <v>0</v>
      </c>
      <c r="B40" s="26" t="b">
        <v>0</v>
      </c>
      <c r="C40" s="26" t="b">
        <v>0</v>
      </c>
      <c r="D40" s="26" t="b">
        <v>0</v>
      </c>
      <c r="E40" s="26" t="b">
        <v>0</v>
      </c>
      <c r="F40" s="26" t="b">
        <v>0</v>
      </c>
      <c r="G40" s="27"/>
    </row>
    <row r="41" spans="1:7" x14ac:dyDescent="0.2">
      <c r="A41" s="26" t="b">
        <v>0</v>
      </c>
      <c r="B41" s="26" t="b">
        <v>0</v>
      </c>
      <c r="C41" s="26" t="b">
        <v>0</v>
      </c>
      <c r="D41" s="26" t="b">
        <v>0</v>
      </c>
      <c r="E41" s="26" t="b">
        <v>0</v>
      </c>
      <c r="F41" s="26" t="b">
        <v>0</v>
      </c>
      <c r="G41" s="27"/>
    </row>
    <row r="42" spans="1:7" x14ac:dyDescent="0.2">
      <c r="A42" s="26" t="b">
        <v>0</v>
      </c>
      <c r="B42" s="26" t="b">
        <v>0</v>
      </c>
      <c r="C42" s="26" t="b">
        <v>0</v>
      </c>
      <c r="D42" s="26" t="b">
        <v>0</v>
      </c>
      <c r="E42" s="26" t="b">
        <v>0</v>
      </c>
      <c r="F42" s="26" t="b">
        <v>0</v>
      </c>
      <c r="G42" s="27"/>
    </row>
  </sheetData>
  <autoFilter ref="A1:CV1" xr:uid="{00000000-0009-0000-0000-000008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62">
        <x14:dataValidation type="list" allowBlank="1" showInputMessage="1" showErrorMessage="1" xr:uid="{4E2F98C3-8045-4287-9497-E81AF961C59C}">
          <x14:formula1>
            <xm:f>DropDownMenu!$CD$2:$CD$10</xm:f>
          </x14:formula1>
          <xm:sqref>BA2:BA5000</xm:sqref>
        </x14:dataValidation>
        <x14:dataValidation type="list" allowBlank="1" showInputMessage="1" showErrorMessage="1" xr:uid="{1EF320C6-207F-4C7E-AE56-83A31179FAA9}">
          <x14:formula1>
            <xm:f>DropDownMenu!$CC$2:$CC$3</xm:f>
          </x14:formula1>
          <xm:sqref>AY2:AY5000</xm:sqref>
        </x14:dataValidation>
        <x14:dataValidation type="list" allowBlank="1" showInputMessage="1" showErrorMessage="1" xr:uid="{C33B7884-B9E2-4ED3-B42E-A44CE1AB270F}">
          <x14:formula1>
            <xm:f>DropDownMenu!$CB$2:$CB$3</xm:f>
          </x14:formula1>
          <xm:sqref>AX2:AX5000</xm:sqref>
        </x14:dataValidation>
        <x14:dataValidation type="list" allowBlank="1" showInputMessage="1" showErrorMessage="1" xr:uid="{90323DCD-46E8-45BA-878D-D97C0EEDA08A}">
          <x14:formula1>
            <xm:f>DropDownMenu!$CA$2:$CA$77</xm:f>
          </x14:formula1>
          <xm:sqref>AV2:AV5000</xm:sqref>
        </x14:dataValidation>
        <x14:dataValidation type="list" allowBlank="1" showInputMessage="1" showErrorMessage="1" xr:uid="{7F60388B-888B-4810-A3C0-5FDAF4E74C59}">
          <x14:formula1>
            <xm:f>DropDownMenu!$BZ$2:$BZ$3</xm:f>
          </x14:formula1>
          <xm:sqref>CV2:CV5000</xm:sqref>
        </x14:dataValidation>
        <x14:dataValidation type="list" allowBlank="1" showInputMessage="1" showErrorMessage="1" xr:uid="{77CB5297-1ED0-49E0-A0CC-EF3AECA0E181}">
          <x14:formula1>
            <xm:f>DropDownMenu!$BY$2:$BY$77</xm:f>
          </x14:formula1>
          <xm:sqref>AU2:AU5000</xm:sqref>
        </x14:dataValidation>
        <x14:dataValidation type="list" allowBlank="1" showInputMessage="1" showErrorMessage="1" xr:uid="{1C394279-8A76-4EE0-909A-1488075F6074}">
          <x14:formula1>
            <xm:f>DropDownMenu!$BX$2:$BX$2</xm:f>
          </x14:formula1>
          <xm:sqref>CT2:CT5000</xm:sqref>
        </x14:dataValidation>
        <x14:dataValidation type="list" allowBlank="1" showInputMessage="1" showErrorMessage="1" xr:uid="{A40FBFE1-A3B3-4495-A724-59AFA4B53E5F}">
          <x14:formula1>
            <xm:f>DropDownMenu!$BW$2:$BW$2</xm:f>
          </x14:formula1>
          <xm:sqref>CQ2:CQ5000</xm:sqref>
        </x14:dataValidation>
        <x14:dataValidation type="list" allowBlank="1" showInputMessage="1" showErrorMessage="1" xr:uid="{C4F0D743-7765-41CD-A0BA-F53BFFAF7872}">
          <x14:formula1>
            <xm:f>DropDownMenu!$BV$2:$BV$2</xm:f>
          </x14:formula1>
          <xm:sqref>CO2:CO5000</xm:sqref>
        </x14:dataValidation>
        <x14:dataValidation type="list" allowBlank="1" showInputMessage="1" showErrorMessage="1" xr:uid="{1814D775-1ECD-4A64-A4C0-67442ADBDFD5}">
          <x14:formula1>
            <xm:f>DropDownMenu!$BU$2:$BU$2</xm:f>
          </x14:formula1>
          <xm:sqref>CN2:CN5000</xm:sqref>
        </x14:dataValidation>
        <x14:dataValidation type="list" allowBlank="1" showInputMessage="1" showErrorMessage="1" xr:uid="{D0ACB733-390D-48F7-8D2F-808E12682953}">
          <x14:formula1>
            <xm:f>DropDownMenu!$BT$2:$BT$2</xm:f>
          </x14:formula1>
          <xm:sqref>CH2:CH5000</xm:sqref>
        </x14:dataValidation>
        <x14:dataValidation type="list" allowBlank="1" showInputMessage="1" showErrorMessage="1" xr:uid="{FBA00E85-F202-41BE-9AA9-171EC0FEA6EE}">
          <x14:formula1>
            <xm:f>DropDownMenu!$BS$2:$BS$2</xm:f>
          </x14:formula1>
          <xm:sqref>CG2:CG5000</xm:sqref>
        </x14:dataValidation>
        <x14:dataValidation type="list" allowBlank="1" showInputMessage="1" showErrorMessage="1" xr:uid="{11F6DCBB-A0E7-4907-BA43-0F8BB771D7CC}">
          <x14:formula1>
            <xm:f>DropDownMenu!$BR$2:$BR$2</xm:f>
          </x14:formula1>
          <xm:sqref>CF2:CF5000</xm:sqref>
        </x14:dataValidation>
        <x14:dataValidation type="list" allowBlank="1" showInputMessage="1" showErrorMessage="1" xr:uid="{11021EB2-2FC0-4F31-8F50-80FDDA5BADDD}">
          <x14:formula1>
            <xm:f>DropDownMenu!$BQ$2:$BQ$2</xm:f>
          </x14:formula1>
          <xm:sqref>CE2:CE5000</xm:sqref>
        </x14:dataValidation>
        <x14:dataValidation type="list" allowBlank="1" showInputMessage="1" showErrorMessage="1" xr:uid="{F0EF0BC3-9A1E-4B5F-8E38-102E9A0662F3}">
          <x14:formula1>
            <xm:f>DropDownMenu!$BP$2:$BP$2</xm:f>
          </x14:formula1>
          <xm:sqref>CD2:CD5000</xm:sqref>
        </x14:dataValidation>
        <x14:dataValidation type="list" allowBlank="1" showInputMessage="1" showErrorMessage="1" xr:uid="{9571183C-05E2-48BA-9CFB-603A984343A1}">
          <x14:formula1>
            <xm:f>DropDownMenu!$BO$2:$BO$6</xm:f>
          </x14:formula1>
          <xm:sqref>CC2:CC5000</xm:sqref>
        </x14:dataValidation>
        <x14:dataValidation type="list" allowBlank="1" showInputMessage="1" showErrorMessage="1" xr:uid="{22CA89A4-0E8F-4A89-994A-98D73682CB03}">
          <x14:formula1>
            <xm:f>DropDownMenu!$BN$2:$BN$8</xm:f>
          </x14:formula1>
          <xm:sqref>CB2:CB5000</xm:sqref>
        </x14:dataValidation>
        <x14:dataValidation type="list" allowBlank="1" showInputMessage="1" showErrorMessage="1" xr:uid="{2FE83678-4455-4EBF-B757-D114765ABB42}">
          <x14:formula1>
            <xm:f>DropDownMenu!$BM$2:$BM$8</xm:f>
          </x14:formula1>
          <xm:sqref>CA2:CA5000</xm:sqref>
        </x14:dataValidation>
        <x14:dataValidation type="list" allowBlank="1" showInputMessage="1" showErrorMessage="1" xr:uid="{0DE62843-3302-462B-803A-695FA8FF26D7}">
          <x14:formula1>
            <xm:f>DropDownMenu!$BL$2:$BL$8</xm:f>
          </x14:formula1>
          <xm:sqref>BZ2:BZ5000</xm:sqref>
        </x14:dataValidation>
        <x14:dataValidation type="list" allowBlank="1" showInputMessage="1" showErrorMessage="1" xr:uid="{0CE6CFE5-7BEA-4D36-B3AD-7B7CE100159C}">
          <x14:formula1>
            <xm:f>DropDownMenu!$BK$2:$BK$2</xm:f>
          </x14:formula1>
          <xm:sqref>BY2:BY5000</xm:sqref>
        </x14:dataValidation>
        <x14:dataValidation type="list" allowBlank="1" showInputMessage="1" showErrorMessage="1" xr:uid="{D2DA98AE-58E2-4B84-AD7C-990C010AE0A3}">
          <x14:formula1>
            <xm:f>DropDownMenu!$BJ$2:$BJ$2</xm:f>
          </x14:formula1>
          <xm:sqref>BX2:BX5000</xm:sqref>
        </x14:dataValidation>
        <x14:dataValidation type="list" allowBlank="1" showInputMessage="1" showErrorMessage="1" xr:uid="{D78CCE9D-4800-4B3E-886D-7E6ED79D0C6F}">
          <x14:formula1>
            <xm:f>DropDownMenu!$BI$2:$BI$2</xm:f>
          </x14:formula1>
          <xm:sqref>BW2:BW5000</xm:sqref>
        </x14:dataValidation>
        <x14:dataValidation type="list" allowBlank="1" showInputMessage="1" showErrorMessage="1" xr:uid="{F126F993-05CB-4830-922B-30A141FECC2F}">
          <x14:formula1>
            <xm:f>DropDownMenu!$BH$2:$BH$4</xm:f>
          </x14:formula1>
          <xm:sqref>AW2:AW5000</xm:sqref>
        </x14:dataValidation>
        <x14:dataValidation type="list" allowBlank="1" showInputMessage="1" showErrorMessage="1" xr:uid="{CC5E88B5-3654-43F8-96F6-96E4760ABCA8}">
          <x14:formula1>
            <xm:f>DropDownMenu!$BG$2:$BG$2</xm:f>
          </x14:formula1>
          <xm:sqref>BV2:BV5000</xm:sqref>
        </x14:dataValidation>
        <x14:dataValidation type="list" allowBlank="1" showInputMessage="1" showErrorMessage="1" xr:uid="{004513EE-FE8A-44C5-91A8-002EABBA2A64}">
          <x14:formula1>
            <xm:f>DropDownMenu!$BF$2:$BF$33</xm:f>
          </x14:formula1>
          <xm:sqref>BU2:BU5000</xm:sqref>
        </x14:dataValidation>
        <x14:dataValidation type="list" allowBlank="1" showInputMessage="1" showErrorMessage="1" xr:uid="{5D729EAD-0D27-4735-84EB-0009F745313C}">
          <x14:formula1>
            <xm:f>DropDownMenu!$BE$2:$BE$2</xm:f>
          </x14:formula1>
          <xm:sqref>BT2:BT5000</xm:sqref>
        </x14:dataValidation>
        <x14:dataValidation type="list" allowBlank="1" showInputMessage="1" showErrorMessage="1" xr:uid="{AF9AC4C2-3BAD-422A-8F43-EBEAAFD2C9D7}">
          <x14:formula1>
            <xm:f>DropDownMenu!$BD$2:$BD$29</xm:f>
          </x14:formula1>
          <xm:sqref>BQ2:BQ5000</xm:sqref>
        </x14:dataValidation>
        <x14:dataValidation type="list" allowBlank="1" showInputMessage="1" showErrorMessage="1" xr:uid="{3EDDE579-B50A-40FA-B69A-054E7808979D}">
          <x14:formula1>
            <xm:f>DropDownMenu!$BC$2:$BC$2</xm:f>
          </x14:formula1>
          <xm:sqref>BO2:BO5000</xm:sqref>
        </x14:dataValidation>
        <x14:dataValidation type="list" allowBlank="1" showInputMessage="1" showErrorMessage="1" xr:uid="{3E531BE1-CAFB-452B-8BCE-FD45D35CCFAD}">
          <x14:formula1>
            <xm:f>DropDownMenu!$BB$2:$BB$3</xm:f>
          </x14:formula1>
          <xm:sqref>BN2:BN5000</xm:sqref>
        </x14:dataValidation>
        <x14:dataValidation type="list" allowBlank="1" showInputMessage="1" showErrorMessage="1" xr:uid="{E6F85E65-E8C9-43B0-B601-0CD546B6456C}">
          <x14:formula1>
            <xm:f>DropDownMenu!$BA$2:$BA$9</xm:f>
          </x14:formula1>
          <xm:sqref>BM2:BM5000</xm:sqref>
        </x14:dataValidation>
        <x14:dataValidation type="list" allowBlank="1" showInputMessage="1" showErrorMessage="1" xr:uid="{F996A2D7-307E-4BA6-9E12-3080DA903442}">
          <x14:formula1>
            <xm:f>DropDownMenu!$AZ$2:$AZ$9</xm:f>
          </x14:formula1>
          <xm:sqref>BL2:BL5000</xm:sqref>
        </x14:dataValidation>
        <x14:dataValidation type="list" allowBlank="1" showInputMessage="1" showErrorMessage="1" xr:uid="{0316A564-BFAB-41E0-8961-83CC9F528E65}">
          <x14:formula1>
            <xm:f>DropDownMenu!$AY$2:$AY$7</xm:f>
          </x14:formula1>
          <xm:sqref>BK2:BK5000</xm:sqref>
        </x14:dataValidation>
        <x14:dataValidation type="list" allowBlank="1" showInputMessage="1" showErrorMessage="1" xr:uid="{EAADF5EC-8CDE-4FFB-89F6-A790D5EFF3BC}">
          <x14:formula1>
            <xm:f>DropDownMenu!$AX$2:$AX$3</xm:f>
          </x14:formula1>
          <xm:sqref>BJ2:BJ5000</xm:sqref>
        </x14:dataValidation>
        <x14:dataValidation type="list" allowBlank="1" showInputMessage="1" showErrorMessage="1" xr:uid="{472BCE2A-85DA-4FDA-B36F-A88A303217D0}">
          <x14:formula1>
            <xm:f>DropDownMenu!$AW$2:$AW$81</xm:f>
          </x14:formula1>
          <xm:sqref>BI2:BI5000</xm:sqref>
        </x14:dataValidation>
        <x14:dataValidation type="list" allowBlank="1" showInputMessage="1" showErrorMessage="1" xr:uid="{83B6E76F-C992-4350-9D1D-36554C8B6FF6}">
          <x14:formula1>
            <xm:f>DropDownMenu!$AV$2:$AV$9</xm:f>
          </x14:formula1>
          <xm:sqref>BH2:BH5000</xm:sqref>
        </x14:dataValidation>
        <x14:dataValidation type="list" allowBlank="1" showInputMessage="1" showErrorMessage="1" xr:uid="{5CC752A6-19CB-4C17-AA0D-011CB38FED43}">
          <x14:formula1>
            <xm:f>DropDownMenu!$AU$2:$AU$2</xm:f>
          </x14:formula1>
          <xm:sqref>BG2:BG5000</xm:sqref>
        </x14:dataValidation>
        <x14:dataValidation type="list" allowBlank="1" showInputMessage="1" showErrorMessage="1" xr:uid="{51EF80AC-8087-4D4A-B482-6A808440D24D}">
          <x14:formula1>
            <xm:f>DropDownMenu!$AT$2:$AT$4</xm:f>
          </x14:formula1>
          <xm:sqref>BE2:BE5000</xm:sqref>
        </x14:dataValidation>
        <x14:dataValidation type="list" allowBlank="1" showInputMessage="1" showErrorMessage="1" xr:uid="{02389638-1A77-4406-98BB-A5CD0067E89E}">
          <x14:formula1>
            <xm:f>DropDownMenu!$AS$2:$AS$3</xm:f>
          </x14:formula1>
          <xm:sqref>BD2:BD5000</xm:sqref>
        </x14:dataValidation>
        <x14:dataValidation type="list" allowBlank="1" showInputMessage="1" showErrorMessage="1" xr:uid="{EDFED959-5F31-4367-AFEE-7917C561D1D9}">
          <x14:formula1>
            <xm:f>DropDownMenu!$AR$2:$AR$11</xm:f>
          </x14:formula1>
          <xm:sqref>BC2:BC5000</xm:sqref>
        </x14:dataValidation>
        <x14:dataValidation type="list" allowBlank="1" showInputMessage="1" showErrorMessage="1" xr:uid="{EACA9FF3-92F0-435A-BF62-8C06673F83D0}">
          <x14:formula1>
            <xm:f>DropDownMenu!$AQ$2:$AQ$9</xm:f>
          </x14:formula1>
          <xm:sqref>BB2:BB5000</xm:sqref>
        </x14:dataValidation>
        <x14:dataValidation type="list" allowBlank="1" showInputMessage="1" showErrorMessage="1" xr:uid="{9690FC35-A695-4C77-8996-A3C11B0178DD}">
          <x14:formula1>
            <xm:f>DropDownMenu!$AP$2:$AP$274</xm:f>
          </x14:formula1>
          <xm:sqref>AT2:AT5000</xm:sqref>
        </x14:dataValidation>
        <x14:dataValidation type="list" allowBlank="1" showInputMessage="1" showErrorMessage="1" xr:uid="{72737E07-CEAA-43CE-BB02-ADBE16DB4CEE}">
          <x14:formula1>
            <xm:f>DropDownMenu!$AO$2:$AO$40</xm:f>
          </x14:formula1>
          <xm:sqref>AS2:AS5000</xm:sqref>
        </x14:dataValidation>
        <x14:dataValidation type="list" allowBlank="1" showInputMessage="1" showErrorMessage="1" xr:uid="{51B27E33-3F50-43C0-A95D-6D15AF4DD4EA}">
          <x14:formula1>
            <xm:f>DropDownMenu!$AN$2:$AN$13</xm:f>
          </x14:formula1>
          <xm:sqref>AR2:AR5000</xm:sqref>
        </x14:dataValidation>
        <x14:dataValidation type="list" allowBlank="1" showInputMessage="1" showErrorMessage="1" xr:uid="{4050A60A-DFB9-4CD7-A798-1E30BAD5B637}">
          <x14:formula1>
            <xm:f>DropDownMenu!$AM$2:$AM$5</xm:f>
          </x14:formula1>
          <xm:sqref>CS2:CS5000</xm:sqref>
        </x14:dataValidation>
        <x14:dataValidation type="list" allowBlank="1" showInputMessage="1" showErrorMessage="1" xr:uid="{B4FA1C5C-F4DF-411A-AC0D-59AF7C313858}">
          <x14:formula1>
            <xm:f>DropDownMenu!$AL$2:$AL$2</xm:f>
          </x14:formula1>
          <xm:sqref>AO2:AO5000</xm:sqref>
        </x14:dataValidation>
        <x14:dataValidation type="list" allowBlank="1" showInputMessage="1" showErrorMessage="1" xr:uid="{FCC51EE5-8D5A-466B-9964-BF09733EC8A3}">
          <x14:formula1>
            <xm:f>DropDownMenu!$AK$2:$AK$2</xm:f>
          </x14:formula1>
          <xm:sqref>AN2:AN5000</xm:sqref>
        </x14:dataValidation>
        <x14:dataValidation type="list" allowBlank="1" showInputMessage="1" showErrorMessage="1" xr:uid="{380C72AA-14A5-4AF5-B1A7-B1612C81335B}">
          <x14:formula1>
            <xm:f>DropDownMenu!$AJ$2:$AJ$2</xm:f>
          </x14:formula1>
          <xm:sqref>AM2:AM5000</xm:sqref>
        </x14:dataValidation>
        <x14:dataValidation type="list" allowBlank="1" showInputMessage="1" showErrorMessage="1" xr:uid="{5627B125-5217-41EC-8099-7D3AC3FF030E}">
          <x14:formula1>
            <xm:f>DropDownMenu!$AI$2:$AI$2</xm:f>
          </x14:formula1>
          <xm:sqref>AL2:AL5000</xm:sqref>
        </x14:dataValidation>
        <x14:dataValidation type="list" allowBlank="1" showInputMessage="1" showErrorMessage="1" xr:uid="{5422FDF4-7774-4697-BDEE-C7CAC245FD68}">
          <x14:formula1>
            <xm:f>DropDownMenu!$AH$2:$AH$2</xm:f>
          </x14:formula1>
          <xm:sqref>AK2:AK5000</xm:sqref>
        </x14:dataValidation>
        <x14:dataValidation type="list" allowBlank="1" showInputMessage="1" showErrorMessage="1" xr:uid="{E5809BD8-79C7-4A8E-BB5D-DF1ABD3C69E3}">
          <x14:formula1>
            <xm:f>DropDownMenu!$AG$2:$AG$11</xm:f>
          </x14:formula1>
          <xm:sqref>AJ2:AJ5000</xm:sqref>
        </x14:dataValidation>
        <x14:dataValidation type="list" allowBlank="1" showInputMessage="1" showErrorMessage="1" xr:uid="{C859C340-7A17-4522-B38B-6965E1625663}">
          <x14:formula1>
            <xm:f>DropDownMenu!$AF$2:$AF$6</xm:f>
          </x14:formula1>
          <xm:sqref>AI2:AI5000</xm:sqref>
        </x14:dataValidation>
        <x14:dataValidation type="list" allowBlank="1" showInputMessage="1" showErrorMessage="1" xr:uid="{5A0727F7-BF5C-49E2-99B6-5A2C70508761}">
          <x14:formula1>
            <xm:f>DropDownMenu!$AE$2:$AE$9</xm:f>
          </x14:formula1>
          <xm:sqref>AH2:AH5000</xm:sqref>
        </x14:dataValidation>
        <x14:dataValidation type="list" allowBlank="1" showInputMessage="1" showErrorMessage="1" xr:uid="{D7DFA979-5B64-4EE4-A977-85089E653807}">
          <x14:formula1>
            <xm:f>DropDownMenu!$AD$2:$AD$52</xm:f>
          </x14:formula1>
          <xm:sqref>AE3:AE4 AE6:AE7 AE9:AE10 AE12:AE5000</xm:sqref>
        </x14:dataValidation>
        <x14:dataValidation type="list" allowBlank="1" showInputMessage="1" showErrorMessage="1" xr:uid="{C022FEB0-00CD-4E03-A8F1-31BBF9A59860}">
          <x14:formula1>
            <xm:f>DropDownMenu!$AC$2:$AC$49</xm:f>
          </x14:formula1>
          <xm:sqref>AD3:AD4 AD6:AD7 AD9:AD10 AD12:AD5000</xm:sqref>
        </x14:dataValidation>
        <x14:dataValidation type="list" allowBlank="1" showInputMessage="1" showErrorMessage="1" xr:uid="{2D2BB528-7D86-48F4-A30C-DE60B1D155BE}">
          <x14:formula1>
            <xm:f>DropDownMenu!$AB$2:$AB$7</xm:f>
          </x14:formula1>
          <xm:sqref>AA2:AA5000</xm:sqref>
        </x14:dataValidation>
        <x14:dataValidation type="list" allowBlank="1" showInputMessage="1" showErrorMessage="1" xr:uid="{23184F03-A53A-4DF6-8418-C623203976CF}">
          <x14:formula1>
            <xm:f>DropDownMenu!$AA$2:$AA$6</xm:f>
          </x14:formula1>
          <xm:sqref>Z2:Z5000</xm:sqref>
        </x14:dataValidation>
        <x14:dataValidation type="list" allowBlank="1" showInputMessage="1" showErrorMessage="1" xr:uid="{481248DC-B931-4F99-BB20-4F284484DE16}">
          <x14:formula1>
            <xm:f>DropDownMenu!$Z$2:$Z$15</xm:f>
          </x14:formula1>
          <xm:sqref>Y2:Y5000</xm:sqref>
        </x14:dataValidation>
        <x14:dataValidation type="list" allowBlank="1" showInputMessage="1" showErrorMessage="1" xr:uid="{2E983767-4C61-4E08-AC63-91BEE8A2ED6A}">
          <x14:formula1>
            <xm:f>DropDownMenu!$Y$2:$Y$7</xm:f>
          </x14:formula1>
          <xm:sqref>X2:X5000</xm:sqref>
        </x14:dataValidation>
        <x14:dataValidation type="list" allowBlank="1" showInputMessage="1" showErrorMessage="1" xr:uid="{B24F8FA4-E388-4319-AADC-FDD6D5804588}">
          <x14:formula1>
            <xm:f>DropDownMenu!$X$2:$X$26</xm:f>
          </x14:formula1>
          <xm:sqref>W2:W5000</xm:sqref>
        </x14:dataValidation>
        <x14:dataValidation type="list" allowBlank="1" showInputMessage="1" showErrorMessage="1" xr:uid="{4EB7C0A4-74DF-4632-8B6B-AC34E3DEC051}">
          <x14:formula1>
            <xm:f>DropDownMenu!$W$2:$W$6</xm:f>
          </x14:formula1>
          <xm:sqref>CU2:CU5000</xm:sqref>
        </x14:dataValidation>
        <x14:dataValidation type="list" allowBlank="1" showInputMessage="1" showErrorMessage="1" xr:uid="{7283CFF9-48A6-4584-ACD3-5ABD18BD841C}">
          <x14:formula1>
            <xm:f>DropDownMenu!$V$2:$V$4</xm:f>
          </x14:formula1>
          <xm:sqref>V2:V5000</xm:sqref>
        </x14:dataValidation>
        <x14:dataValidation type="list" allowBlank="1" showInputMessage="1" showErrorMessage="1" xr:uid="{11037D7F-7B06-48C9-8653-34B6095552C0}">
          <x14:formula1>
            <xm:f>DropDownMenu!$U$2:$U$5</xm:f>
          </x14:formula1>
          <xm:sqref>CR2:CR5000</xm:sqref>
        </x14:dataValidation>
        <x14:dataValidation type="list" allowBlank="1" showInputMessage="1" showErrorMessage="1" xr:uid="{C3BC6A62-3F97-463D-9CC8-8A03F1B61788}">
          <x14:formula1>
            <xm:f>DropDownMenu!$T$2:$T$13</xm:f>
          </x14:formula1>
          <xm:sqref>U2:U5000</xm:sqref>
        </x14:dataValidation>
        <x14:dataValidation type="list" allowBlank="1" showInputMessage="1" showErrorMessage="1" xr:uid="{39F8B478-B14E-4994-950E-D0D3F1980EDC}">
          <x14:formula1>
            <xm:f>DropDownMenu!$S$2:$S$11</xm:f>
          </x14:formula1>
          <xm:sqref>T2:T5000</xm:sqref>
        </x14:dataValidation>
        <x14:dataValidation type="list" allowBlank="1" showInputMessage="1" showErrorMessage="1" xr:uid="{1EB34042-8F59-4670-BCE5-0D29370CDB13}">
          <x14:formula1>
            <xm:f>DropDownMenu!$R$2:$R$7</xm:f>
          </x14:formula1>
          <xm:sqref>S2:S5000</xm:sqref>
        </x14:dataValidation>
        <x14:dataValidation type="list" allowBlank="1" showInputMessage="1" showErrorMessage="1" xr:uid="{C2B930D5-CEE2-414A-8C32-954F5644B08B}">
          <x14:formula1>
            <xm:f>DropDownMenu!$Q$2:$Q$5</xm:f>
          </x14:formula1>
          <xm:sqref>R2:R5000</xm:sqref>
        </x14:dataValidation>
        <x14:dataValidation type="list" allowBlank="1" showInputMessage="1" showErrorMessage="1" xr:uid="{1E84ADF8-3107-4C61-B13E-A49CBCE581B8}">
          <x14:formula1>
            <xm:f>DropDownMenu!$P$2:$P$45</xm:f>
          </x14:formula1>
          <xm:sqref>Q2:Q5000</xm:sqref>
        </x14:dataValidation>
        <x14:dataValidation type="list" allowBlank="1" showInputMessage="1" showErrorMessage="1" xr:uid="{9D88B8F1-D9E5-4A95-878A-BA305AEF4E02}">
          <x14:formula1>
            <xm:f>DropDownMenu!$O$2:$O$65</xm:f>
          </x14:formula1>
          <xm:sqref>O2:O5000</xm:sqref>
        </x14:dataValidation>
        <x14:dataValidation type="list" allowBlank="1" showInputMessage="1" showErrorMessage="1" xr:uid="{D265BEE8-10DB-420C-8DBF-3B1AD528C32E}">
          <x14:formula1>
            <xm:f>DropDownMenu!$N$2:$N$140</xm:f>
          </x14:formula1>
          <xm:sqref>N2:N5000</xm:sqref>
        </x14:dataValidation>
        <x14:dataValidation type="list" allowBlank="1" showInputMessage="1" showErrorMessage="1" xr:uid="{5C4379AC-3B9E-4A2C-9220-CD929C86A630}">
          <x14:formula1>
            <xm:f>DropDownMenu!$M$2:$M$16</xm:f>
          </x14:formula1>
          <xm:sqref>M2:M5000</xm:sqref>
        </x14:dataValidation>
        <x14:dataValidation type="list" allowBlank="1" showInputMessage="1" showErrorMessage="1" xr:uid="{C9F1EBCB-B8DB-4478-8854-C94A205BCE91}">
          <x14:formula1>
            <xm:f>DropDownMenu!$L$2:$L$42</xm:f>
          </x14:formula1>
          <xm:sqref>L2:L5000</xm:sqref>
        </x14:dataValidation>
        <x14:dataValidation type="list" allowBlank="1" showInputMessage="1" showErrorMessage="1" xr:uid="{92B284F8-C66D-4901-9F27-C8782DC618BD}">
          <x14:formula1>
            <xm:f>DropDownMenu!$K$2:$K$101</xm:f>
          </x14:formula1>
          <xm:sqref>K2:K5000</xm:sqref>
        </x14:dataValidation>
        <x14:dataValidation type="list" allowBlank="1" showInputMessage="1" showErrorMessage="1" xr:uid="{689666D3-F89D-45B2-8A21-646F783C4544}">
          <x14:formula1>
            <xm:f>DropDownMenu!$J$2:$J$10</xm:f>
          </x14:formula1>
          <xm:sqref>J2:J5000</xm:sqref>
        </x14:dataValidation>
        <x14:dataValidation type="list" allowBlank="1" showInputMessage="1" showErrorMessage="1" xr:uid="{F5F978CC-8CFC-4FC8-A13A-4F35F32BCB1E}">
          <x14:formula1>
            <xm:f>DropDownMenu!$I$2:$I$352</xm:f>
          </x14:formula1>
          <xm:sqref>I2:I5000</xm:sqref>
        </x14:dataValidation>
        <x14:dataValidation type="list" allowBlank="1" showInputMessage="1" showErrorMessage="1" xr:uid="{62770899-085F-4EA5-BE58-3334B0729721}">
          <x14:formula1>
            <xm:f>DropDownMenu!$H$2:$H$564</xm:f>
          </x14:formula1>
          <xm:sqref>H2:H5000</xm:sqref>
        </x14:dataValidation>
        <x14:dataValidation type="list" allowBlank="1" showInputMessage="1" showErrorMessage="1" xr:uid="{E338FC96-5C83-4122-BDF0-E057A13285F2}">
          <x14:formula1>
            <xm:f>DropDownMenu!$G$2:$G$19</xm:f>
          </x14:formula1>
          <xm:sqref>G43:G5000</xm:sqref>
        </x14:dataValidation>
        <x14:dataValidation type="list" allowBlank="1" showInputMessage="1" showErrorMessage="1" xr:uid="{2F0C5A41-A73E-48B9-81D1-A4AA5E289411}">
          <x14:formula1>
            <xm:f>DropDownMenu!$E$2:$E$3</xm:f>
          </x14:formula1>
          <xm:sqref>F43:F5000</xm:sqref>
        </x14:dataValidation>
        <x14:dataValidation type="list" allowBlank="1" showInputMessage="1" showErrorMessage="1" xr:uid="{C40954BF-1196-4B50-BA49-FA40C3062C70}">
          <x14:formula1>
            <xm:f>DropDownMenu!$D$2:$D$3</xm:f>
          </x14:formula1>
          <xm:sqref>E43:E5000</xm:sqref>
        </x14:dataValidation>
        <x14:dataValidation type="list" allowBlank="1" showInputMessage="1" showErrorMessage="1" xr:uid="{2AF31FEA-16DE-4EFB-94E6-002CDB6FB25B}">
          <x14:formula1>
            <xm:f>DropDownMenu!$C$2:$C$3</xm:f>
          </x14:formula1>
          <xm:sqref>D43:D5000</xm:sqref>
        </x14:dataValidation>
        <x14:dataValidation type="list" allowBlank="1" showInputMessage="1" showErrorMessage="1" xr:uid="{2D63B750-1876-4228-8893-6376DE1FD316}">
          <x14:formula1>
            <xm:f>DropDownMenu!$B$2:$B$3</xm:f>
          </x14:formula1>
          <xm:sqref>B43:B5000</xm:sqref>
        </x14:dataValidation>
        <x14:dataValidation type="list" allowBlank="1" showInputMessage="1" showErrorMessage="1" xr:uid="{5BD0C10B-302C-42B5-BBA5-602245A5BE54}">
          <x14:formula1>
            <xm:f>DropDownMenu!$A$2:$A$3</xm:f>
          </x14:formula1>
          <xm:sqref>A43:A5000</xm:sqref>
        </x14:dataValidation>
        <x14:dataValidation type="list" allowBlank="1" xr:uid="{37FDF4CB-1E1B-470F-8A91-77CD4851DDF3}">
          <x14:formula1>
            <xm:f>DropDownMenu!$CD$2:$CD$10</xm:f>
          </x14:formula1>
          <xm:sqref>BA2:BA5000</xm:sqref>
        </x14:dataValidation>
        <x14:dataValidation type="list" allowBlank="1" xr:uid="{0A67D45D-A9E6-4FDF-A036-962E68D7F695}">
          <x14:formula1>
            <xm:f>DropDownMenu!$CC$2:$CC$3</xm:f>
          </x14:formula1>
          <xm:sqref>AY2:AY5000</xm:sqref>
        </x14:dataValidation>
        <x14:dataValidation type="list" allowBlank="1" xr:uid="{ED8E14F9-B799-4DA7-A173-8BD9951931FC}">
          <x14:formula1>
            <xm:f>DropDownMenu!$CB$2:$CB$3</xm:f>
          </x14:formula1>
          <xm:sqref>AX2:AX5000</xm:sqref>
        </x14:dataValidation>
        <x14:dataValidation type="list" allowBlank="1" xr:uid="{E4CC2EC9-424F-4212-AD6C-7CED5E1CC97F}">
          <x14:formula1>
            <xm:f>DropDownMenu!$CA$2:$CA$77</xm:f>
          </x14:formula1>
          <xm:sqref>AV2:AV5000</xm:sqref>
        </x14:dataValidation>
        <x14:dataValidation type="list" allowBlank="1" xr:uid="{A9270CFF-C746-49C8-8ABF-A547BF863292}">
          <x14:formula1>
            <xm:f>DropDownMenu!$BZ$2:$BZ$3</xm:f>
          </x14:formula1>
          <xm:sqref>CV2:CV5000</xm:sqref>
        </x14:dataValidation>
        <x14:dataValidation type="list" allowBlank="1" xr:uid="{1BD9E561-CCBC-449A-ABF6-42619CEB8663}">
          <x14:formula1>
            <xm:f>DropDownMenu!$BY$2:$BY$77</xm:f>
          </x14:formula1>
          <xm:sqref>AU2:AU5000</xm:sqref>
        </x14:dataValidation>
        <x14:dataValidation type="list" allowBlank="1" xr:uid="{216AD229-E665-4283-A08B-97DE74551BD0}">
          <x14:formula1>
            <xm:f>DropDownMenu!$BX$2:$BX$2</xm:f>
          </x14:formula1>
          <xm:sqref>CT2:CT5000</xm:sqref>
        </x14:dataValidation>
        <x14:dataValidation type="list" allowBlank="1" xr:uid="{DD2DBFD4-FEEF-4862-AFE7-3EC4DFE11854}">
          <x14:formula1>
            <xm:f>DropDownMenu!$BW$2:$BW$2</xm:f>
          </x14:formula1>
          <xm:sqref>CQ2:CQ5000</xm:sqref>
        </x14:dataValidation>
        <x14:dataValidation type="list" allowBlank="1" xr:uid="{4A61A2D0-7912-4AB2-864D-0E71A9B99587}">
          <x14:formula1>
            <xm:f>DropDownMenu!$BV$2:$BV$2</xm:f>
          </x14:formula1>
          <xm:sqref>CO2:CO5000</xm:sqref>
        </x14:dataValidation>
        <x14:dataValidation type="list" allowBlank="1" xr:uid="{F7A58F17-69B2-4CEE-A426-DC98434CB662}">
          <x14:formula1>
            <xm:f>DropDownMenu!$BU$2:$BU$2</xm:f>
          </x14:formula1>
          <xm:sqref>CN2:CN5000</xm:sqref>
        </x14:dataValidation>
        <x14:dataValidation type="list" allowBlank="1" xr:uid="{B1100FD3-27E9-46F4-A0ED-07AFE513C804}">
          <x14:formula1>
            <xm:f>DropDownMenu!$BT$2:$BT$2</xm:f>
          </x14:formula1>
          <xm:sqref>CH2:CH5000</xm:sqref>
        </x14:dataValidation>
        <x14:dataValidation type="list" allowBlank="1" xr:uid="{5BF376C6-6AD5-4E41-BC16-D4073E93491C}">
          <x14:formula1>
            <xm:f>DropDownMenu!$BS$2:$BS$2</xm:f>
          </x14:formula1>
          <xm:sqref>CG2:CG5000</xm:sqref>
        </x14:dataValidation>
        <x14:dataValidation type="list" allowBlank="1" xr:uid="{50B1F0CA-0139-4316-808D-CDAED5EBC410}">
          <x14:formula1>
            <xm:f>DropDownMenu!$BR$2:$BR$2</xm:f>
          </x14:formula1>
          <xm:sqref>CF2:CF5000</xm:sqref>
        </x14:dataValidation>
        <x14:dataValidation type="list" allowBlank="1" xr:uid="{0E5DEA24-190F-4385-9349-4F58BF60C1BC}">
          <x14:formula1>
            <xm:f>DropDownMenu!$BQ$2:$BQ$2</xm:f>
          </x14:formula1>
          <xm:sqref>CE2:CE5000</xm:sqref>
        </x14:dataValidation>
        <x14:dataValidation type="list" allowBlank="1" xr:uid="{1B07874F-8D0A-4D74-9D04-2751E1F97DD3}">
          <x14:formula1>
            <xm:f>DropDownMenu!$BP$2:$BP$2</xm:f>
          </x14:formula1>
          <xm:sqref>CD2:CD5000</xm:sqref>
        </x14:dataValidation>
        <x14:dataValidation type="list" allowBlank="1" xr:uid="{A6793AA8-23EB-48A9-9D7A-B6F37C3C0AFF}">
          <x14:formula1>
            <xm:f>DropDownMenu!$BO$2:$BO$6</xm:f>
          </x14:formula1>
          <xm:sqref>CC2:CC5000</xm:sqref>
        </x14:dataValidation>
        <x14:dataValidation type="list" allowBlank="1" xr:uid="{E96ADCF4-78AE-4ADA-A04B-1CE47119BB73}">
          <x14:formula1>
            <xm:f>DropDownMenu!$BN$2:$BN$8</xm:f>
          </x14:formula1>
          <xm:sqref>CB2:CB5000</xm:sqref>
        </x14:dataValidation>
        <x14:dataValidation type="list" allowBlank="1" xr:uid="{2E78F55B-42C8-47A0-9611-A5B2E110323B}">
          <x14:formula1>
            <xm:f>DropDownMenu!$BM$2:$BM$8</xm:f>
          </x14:formula1>
          <xm:sqref>CA2:CA5000</xm:sqref>
        </x14:dataValidation>
        <x14:dataValidation type="list" allowBlank="1" xr:uid="{AD18BF3A-B00D-4E5B-95D1-4D79E3DC609A}">
          <x14:formula1>
            <xm:f>DropDownMenu!$BL$2:$BL$8</xm:f>
          </x14:formula1>
          <xm:sqref>BZ2:BZ5000</xm:sqref>
        </x14:dataValidation>
        <x14:dataValidation type="list" allowBlank="1" xr:uid="{1A1134FB-E1CE-4F63-B93E-4967E7506EC9}">
          <x14:formula1>
            <xm:f>DropDownMenu!$BK$2:$BK$2</xm:f>
          </x14:formula1>
          <xm:sqref>BY2:BY5000</xm:sqref>
        </x14:dataValidation>
        <x14:dataValidation type="list" allowBlank="1" xr:uid="{831AE5B2-F168-4168-A4AF-1EAEE67C7DAD}">
          <x14:formula1>
            <xm:f>DropDownMenu!$BJ$2:$BJ$2</xm:f>
          </x14:formula1>
          <xm:sqref>BX2:BX5000</xm:sqref>
        </x14:dataValidation>
        <x14:dataValidation type="list" allowBlank="1" xr:uid="{178F9960-20CC-4C7E-8CC4-AB9015F1BFAE}">
          <x14:formula1>
            <xm:f>DropDownMenu!$BI$2:$BI$2</xm:f>
          </x14:formula1>
          <xm:sqref>BW2:BW5000</xm:sqref>
        </x14:dataValidation>
        <x14:dataValidation type="list" allowBlank="1" xr:uid="{CA93FE52-BD6A-4B7F-A676-2258B346FE69}">
          <x14:formula1>
            <xm:f>DropDownMenu!$BH$2:$BH$4</xm:f>
          </x14:formula1>
          <xm:sqref>AW2:AW5000</xm:sqref>
        </x14:dataValidation>
        <x14:dataValidation type="list" allowBlank="1" xr:uid="{B7E8349C-2841-4201-9473-3B1E068C0D07}">
          <x14:formula1>
            <xm:f>DropDownMenu!$BG$2:$BG$2</xm:f>
          </x14:formula1>
          <xm:sqref>BV2:BV5000</xm:sqref>
        </x14:dataValidation>
        <x14:dataValidation type="list" allowBlank="1" xr:uid="{A1677C58-7523-46B9-8FEF-F999E382E6A9}">
          <x14:formula1>
            <xm:f>DropDownMenu!$BF$2:$BF$33</xm:f>
          </x14:formula1>
          <xm:sqref>BU2:BU5000</xm:sqref>
        </x14:dataValidation>
        <x14:dataValidation type="list" allowBlank="1" xr:uid="{4426D431-00DE-495B-86F6-7738B9C4D2EC}">
          <x14:formula1>
            <xm:f>DropDownMenu!$BE$2:$BE$2</xm:f>
          </x14:formula1>
          <xm:sqref>BT2:BT5000</xm:sqref>
        </x14:dataValidation>
        <x14:dataValidation type="list" allowBlank="1" xr:uid="{A7F763D6-29BA-475F-AEC9-7EBDBBBA9E42}">
          <x14:formula1>
            <xm:f>DropDownMenu!$BD$2:$BD$29</xm:f>
          </x14:formula1>
          <xm:sqref>BQ2:BQ5000</xm:sqref>
        </x14:dataValidation>
        <x14:dataValidation type="list" allowBlank="1" xr:uid="{CE682F59-AC1B-49E9-A652-2581074C8C48}">
          <x14:formula1>
            <xm:f>DropDownMenu!$BC$2:$BC$2</xm:f>
          </x14:formula1>
          <xm:sqref>BO2:BO5000</xm:sqref>
        </x14:dataValidation>
        <x14:dataValidation type="list" allowBlank="1" xr:uid="{3A55EDB9-9DEF-4CFA-8185-20E7FCF74667}">
          <x14:formula1>
            <xm:f>DropDownMenu!$BB$2:$BB$3</xm:f>
          </x14:formula1>
          <xm:sqref>BN2:BN5000</xm:sqref>
        </x14:dataValidation>
        <x14:dataValidation type="list" allowBlank="1" xr:uid="{306045D9-F7EF-41D0-8C84-EA403329E33E}">
          <x14:formula1>
            <xm:f>DropDownMenu!$BA$2:$BA$9</xm:f>
          </x14:formula1>
          <xm:sqref>BM2:BM5000</xm:sqref>
        </x14:dataValidation>
        <x14:dataValidation type="list" allowBlank="1" xr:uid="{3681FE96-BCC7-423E-8C34-7133EDD8B651}">
          <x14:formula1>
            <xm:f>DropDownMenu!$AZ$2:$AZ$9</xm:f>
          </x14:formula1>
          <xm:sqref>BL2:BL5000</xm:sqref>
        </x14:dataValidation>
        <x14:dataValidation type="list" allowBlank="1" xr:uid="{BA389008-B3A0-41A4-B373-DDA9C0139D21}">
          <x14:formula1>
            <xm:f>DropDownMenu!$AY$2:$AY$7</xm:f>
          </x14:formula1>
          <xm:sqref>BK2:BK5000</xm:sqref>
        </x14:dataValidation>
        <x14:dataValidation type="list" allowBlank="1" xr:uid="{39CD1E05-1DA2-419E-B68B-4EAA8A8E3F1E}">
          <x14:formula1>
            <xm:f>DropDownMenu!$AX$2:$AX$3</xm:f>
          </x14:formula1>
          <xm:sqref>BJ2:BJ5000</xm:sqref>
        </x14:dataValidation>
        <x14:dataValidation type="list" allowBlank="1" xr:uid="{B51A0BD1-2BF8-4F2D-8D6E-26A10A6AA523}">
          <x14:formula1>
            <xm:f>DropDownMenu!$AW$2:$AW$81</xm:f>
          </x14:formula1>
          <xm:sqref>BI2:BI5000</xm:sqref>
        </x14:dataValidation>
        <x14:dataValidation type="list" allowBlank="1" xr:uid="{3C0E730C-034A-40CA-B572-45DF10DF4079}">
          <x14:formula1>
            <xm:f>DropDownMenu!$AV$2:$AV$9</xm:f>
          </x14:formula1>
          <xm:sqref>BH2:BH5000</xm:sqref>
        </x14:dataValidation>
        <x14:dataValidation type="list" allowBlank="1" xr:uid="{10492B90-8DDA-48AA-B764-3E82D447AB34}">
          <x14:formula1>
            <xm:f>DropDownMenu!$AU$2:$AU$2</xm:f>
          </x14:formula1>
          <xm:sqref>BG2:BG5000</xm:sqref>
        </x14:dataValidation>
        <x14:dataValidation type="list" allowBlank="1" xr:uid="{B7AB56E3-FA9D-4777-8C9C-62294AE83D43}">
          <x14:formula1>
            <xm:f>DropDownMenu!$AT$2:$AT$4</xm:f>
          </x14:formula1>
          <xm:sqref>BE2:BE5000</xm:sqref>
        </x14:dataValidation>
        <x14:dataValidation type="list" allowBlank="1" xr:uid="{54231E96-DF4E-40AD-8E0A-0B939181A47A}">
          <x14:formula1>
            <xm:f>DropDownMenu!$AS$2:$AS$3</xm:f>
          </x14:formula1>
          <xm:sqref>BD2:BD5000</xm:sqref>
        </x14:dataValidation>
        <x14:dataValidation type="list" allowBlank="1" xr:uid="{69637388-3CAE-48A6-9C70-4F58A6370569}">
          <x14:formula1>
            <xm:f>DropDownMenu!$AR$2:$AR$11</xm:f>
          </x14:formula1>
          <xm:sqref>BC2:BC5000</xm:sqref>
        </x14:dataValidation>
        <x14:dataValidation type="list" allowBlank="1" xr:uid="{A10566F6-1A7A-41D9-8402-FC7AECCD2B72}">
          <x14:formula1>
            <xm:f>DropDownMenu!$AQ$2:$AQ$9</xm:f>
          </x14:formula1>
          <xm:sqref>BB2:BB5000</xm:sqref>
        </x14:dataValidation>
        <x14:dataValidation type="list" allowBlank="1" xr:uid="{F5F05827-BF30-44BB-9CFA-2337627CD268}">
          <x14:formula1>
            <xm:f>DropDownMenu!$AP$2:$AP$274</xm:f>
          </x14:formula1>
          <xm:sqref>AT2:AT5000</xm:sqref>
        </x14:dataValidation>
        <x14:dataValidation type="list" allowBlank="1" xr:uid="{C3B82346-CF86-4BFF-9BFD-F1A051EC0099}">
          <x14:formula1>
            <xm:f>DropDownMenu!$AO$2:$AO$40</xm:f>
          </x14:formula1>
          <xm:sqref>AS2:AS5000</xm:sqref>
        </x14:dataValidation>
        <x14:dataValidation type="list" allowBlank="1" xr:uid="{ED937059-5EAF-4868-8069-82D0F17D2D35}">
          <x14:formula1>
            <xm:f>DropDownMenu!$AN$2:$AN$13</xm:f>
          </x14:formula1>
          <xm:sqref>AR2:AR5000</xm:sqref>
        </x14:dataValidation>
        <x14:dataValidation type="list" allowBlank="1" xr:uid="{1BEB154A-7316-4D90-9B22-376D85038430}">
          <x14:formula1>
            <xm:f>DropDownMenu!$AM$2:$AM$5</xm:f>
          </x14:formula1>
          <xm:sqref>CS2:CS5000</xm:sqref>
        </x14:dataValidation>
        <x14:dataValidation type="list" allowBlank="1" xr:uid="{647B97B2-F5D6-429D-B5DC-45FF0343A698}">
          <x14:formula1>
            <xm:f>DropDownMenu!$AL$2:$AL$2</xm:f>
          </x14:formula1>
          <xm:sqref>AO2:AO5000</xm:sqref>
        </x14:dataValidation>
        <x14:dataValidation type="list" allowBlank="1" xr:uid="{C65E2666-900C-4DE2-9A96-C6B6552F59A3}">
          <x14:formula1>
            <xm:f>DropDownMenu!$AK$2:$AK$2</xm:f>
          </x14:formula1>
          <xm:sqref>AN2:AN5000</xm:sqref>
        </x14:dataValidation>
        <x14:dataValidation type="list" allowBlank="1" xr:uid="{196BD8D8-7722-49EB-89D4-FF3F596EF854}">
          <x14:formula1>
            <xm:f>DropDownMenu!$AJ$2:$AJ$2</xm:f>
          </x14:formula1>
          <xm:sqref>AM2:AM5000</xm:sqref>
        </x14:dataValidation>
        <x14:dataValidation type="list" allowBlank="1" xr:uid="{D078BDB8-30F2-465C-B4EB-6149EAEE35A5}">
          <x14:formula1>
            <xm:f>DropDownMenu!$AI$2:$AI$2</xm:f>
          </x14:formula1>
          <xm:sqref>AL2:AL5000</xm:sqref>
        </x14:dataValidation>
        <x14:dataValidation type="list" allowBlank="1" xr:uid="{88987AB7-7BBF-43C7-9FD1-A9601C4289CF}">
          <x14:formula1>
            <xm:f>DropDownMenu!$AH$2:$AH$2</xm:f>
          </x14:formula1>
          <xm:sqref>AK2:AK5000</xm:sqref>
        </x14:dataValidation>
        <x14:dataValidation type="list" allowBlank="1" xr:uid="{570B1AAC-2F02-474D-AAD1-78BEAC4072F9}">
          <x14:formula1>
            <xm:f>DropDownMenu!$AG$2:$AG$11</xm:f>
          </x14:formula1>
          <xm:sqref>AJ2:AJ5000</xm:sqref>
        </x14:dataValidation>
        <x14:dataValidation type="list" allowBlank="1" xr:uid="{CFAFF448-7D24-485F-B8C6-AF95D586810B}">
          <x14:formula1>
            <xm:f>DropDownMenu!$AF$2:$AF$6</xm:f>
          </x14:formula1>
          <xm:sqref>AI2:AI5000</xm:sqref>
        </x14:dataValidation>
        <x14:dataValidation type="list" allowBlank="1" xr:uid="{BA95CEAA-0B63-4AC8-BE99-497C4F2CC464}">
          <x14:formula1>
            <xm:f>DropDownMenu!$AE$2:$AE$9</xm:f>
          </x14:formula1>
          <xm:sqref>AH2:AH5000</xm:sqref>
        </x14:dataValidation>
        <x14:dataValidation type="list" allowBlank="1" xr:uid="{C6ED82C0-B1B1-4A80-9748-90F3913172A0}">
          <x14:formula1>
            <xm:f>DropDownMenu!$AD$2:$AD$52</xm:f>
          </x14:formula1>
          <xm:sqref>AE3:AE4 AE6:AE7 AE9:AE10 AE12:AE5000</xm:sqref>
        </x14:dataValidation>
        <x14:dataValidation type="list" allowBlank="1" xr:uid="{CD446D9F-A389-4655-BC79-444132489668}">
          <x14:formula1>
            <xm:f>DropDownMenu!$AC$2:$AC$49</xm:f>
          </x14:formula1>
          <xm:sqref>AD3:AD4 AD6:AD7 AD9:AD10 AD12:AD5000</xm:sqref>
        </x14:dataValidation>
        <x14:dataValidation type="list" allowBlank="1" xr:uid="{03909D02-6C3D-4932-AA4E-12AADE8DE96D}">
          <x14:formula1>
            <xm:f>DropDownMenu!$AB$2:$AB$7</xm:f>
          </x14:formula1>
          <xm:sqref>AA2:AA5000</xm:sqref>
        </x14:dataValidation>
        <x14:dataValidation type="list" allowBlank="1" xr:uid="{B6D19129-6799-40D1-AD98-28618FBB9D7B}">
          <x14:formula1>
            <xm:f>DropDownMenu!$AA$2:$AA$6</xm:f>
          </x14:formula1>
          <xm:sqref>Z2:Z5000</xm:sqref>
        </x14:dataValidation>
        <x14:dataValidation type="list" allowBlank="1" xr:uid="{3BAC5EFD-C6DD-4F65-A99A-49E70996F6C2}">
          <x14:formula1>
            <xm:f>DropDownMenu!$Z$2:$Z$15</xm:f>
          </x14:formula1>
          <xm:sqref>Y2:Y5000</xm:sqref>
        </x14:dataValidation>
        <x14:dataValidation type="list" allowBlank="1" xr:uid="{CC243B15-FDD7-49C8-A96E-E296B4294B45}">
          <x14:formula1>
            <xm:f>DropDownMenu!$Y$2:$Y$7</xm:f>
          </x14:formula1>
          <xm:sqref>X2:X5000</xm:sqref>
        </x14:dataValidation>
        <x14:dataValidation type="list" allowBlank="1" xr:uid="{37C51731-DB10-4090-B9AB-3A70310FD93F}">
          <x14:formula1>
            <xm:f>DropDownMenu!$X$2:$X$26</xm:f>
          </x14:formula1>
          <xm:sqref>W2:W5000</xm:sqref>
        </x14:dataValidation>
        <x14:dataValidation type="list" allowBlank="1" xr:uid="{7BEC15A4-6940-420B-B891-62EBB68B3506}">
          <x14:formula1>
            <xm:f>DropDownMenu!$W$2:$W$6</xm:f>
          </x14:formula1>
          <xm:sqref>CU2:CU5000</xm:sqref>
        </x14:dataValidation>
        <x14:dataValidation type="list" allowBlank="1" xr:uid="{349004E7-7FCF-4E30-9612-9A5F9B777A0D}">
          <x14:formula1>
            <xm:f>DropDownMenu!$V$2:$V$4</xm:f>
          </x14:formula1>
          <xm:sqref>V2:V5000</xm:sqref>
        </x14:dataValidation>
        <x14:dataValidation type="list" allowBlank="1" xr:uid="{10E5735E-1BD7-4413-B031-DC330638B25A}">
          <x14:formula1>
            <xm:f>DropDownMenu!$U$2:$U$5</xm:f>
          </x14:formula1>
          <xm:sqref>CR2:CR5000</xm:sqref>
        </x14:dataValidation>
        <x14:dataValidation type="list" allowBlank="1" xr:uid="{0721E764-0A39-487F-B693-BDEC1D312435}">
          <x14:formula1>
            <xm:f>DropDownMenu!$T$2:$T$13</xm:f>
          </x14:formula1>
          <xm:sqref>U2:U5000</xm:sqref>
        </x14:dataValidation>
        <x14:dataValidation type="list" allowBlank="1" xr:uid="{902EF7E2-F507-4E91-A509-C4C81F8954E9}">
          <x14:formula1>
            <xm:f>DropDownMenu!$S$2:$S$11</xm:f>
          </x14:formula1>
          <xm:sqref>T2:T5000</xm:sqref>
        </x14:dataValidation>
        <x14:dataValidation type="list" allowBlank="1" xr:uid="{BE2C15A0-F4FE-46AE-8AEB-6B0FEC7D26A3}">
          <x14:formula1>
            <xm:f>DropDownMenu!$R$2:$R$7</xm:f>
          </x14:formula1>
          <xm:sqref>S2:S5000</xm:sqref>
        </x14:dataValidation>
        <x14:dataValidation type="list" allowBlank="1" xr:uid="{F5FAC517-C09C-4848-91B5-D231A26E7F4E}">
          <x14:formula1>
            <xm:f>DropDownMenu!$Q$2:$Q$5</xm:f>
          </x14:formula1>
          <xm:sqref>R2:R5000</xm:sqref>
        </x14:dataValidation>
        <x14:dataValidation type="list" allowBlank="1" xr:uid="{1810CAE5-ED9C-40B5-9702-B34470C7750B}">
          <x14:formula1>
            <xm:f>DropDownMenu!$P$2:$P$45</xm:f>
          </x14:formula1>
          <xm:sqref>Q2:Q5000</xm:sqref>
        </x14:dataValidation>
        <x14:dataValidation type="list" allowBlank="1" xr:uid="{E68214EA-88E9-4519-BA00-A68EF2AE29B0}">
          <x14:formula1>
            <xm:f>DropDownMenu!$O$2:$O$65</xm:f>
          </x14:formula1>
          <xm:sqref>O2:O5000</xm:sqref>
        </x14:dataValidation>
        <x14:dataValidation type="list" allowBlank="1" xr:uid="{F2435AD6-114B-4A02-B7F4-9837814059B9}">
          <x14:formula1>
            <xm:f>DropDownMenu!$N$2:$N$140</xm:f>
          </x14:formula1>
          <xm:sqref>N2:N5000</xm:sqref>
        </x14:dataValidation>
        <x14:dataValidation type="list" allowBlank="1" xr:uid="{FC90E386-1EA6-4D4A-BB82-35E54B67B533}">
          <x14:formula1>
            <xm:f>DropDownMenu!$M$2:$M$16</xm:f>
          </x14:formula1>
          <xm:sqref>M2:M5000</xm:sqref>
        </x14:dataValidation>
        <x14:dataValidation type="list" allowBlank="1" xr:uid="{692DEE28-CF0E-4430-A640-F24B7708162D}">
          <x14:formula1>
            <xm:f>DropDownMenu!$L$2:$L$42</xm:f>
          </x14:formula1>
          <xm:sqref>L2:L5000</xm:sqref>
        </x14:dataValidation>
        <x14:dataValidation type="list" allowBlank="1" xr:uid="{91BA79B8-22C6-4E8D-955C-D565D1701918}">
          <x14:formula1>
            <xm:f>DropDownMenu!$K$2:$K$101</xm:f>
          </x14:formula1>
          <xm:sqref>K2:K5000</xm:sqref>
        </x14:dataValidation>
        <x14:dataValidation type="list" allowBlank="1" xr:uid="{DA670AB7-D5FB-400C-8E1D-4453D418F4C5}">
          <x14:formula1>
            <xm:f>DropDownMenu!$J$2:$J$10</xm:f>
          </x14:formula1>
          <xm:sqref>J2:J5000</xm:sqref>
        </x14:dataValidation>
        <x14:dataValidation type="list" allowBlank="1" xr:uid="{FFBE53D3-970E-4F5B-B976-EB0938374FCD}">
          <x14:formula1>
            <xm:f>DropDownMenu!$I$2:$I$352</xm:f>
          </x14:formula1>
          <xm:sqref>I2:I5000</xm:sqref>
        </x14:dataValidation>
        <x14:dataValidation type="list" allowBlank="1" xr:uid="{9575DB84-66FB-440F-B99B-F3E526B4363A}">
          <x14:formula1>
            <xm:f>DropDownMenu!$H$2:$H$564</xm:f>
          </x14:formula1>
          <xm:sqref>H2:H5000</xm:sqref>
        </x14:dataValidation>
        <x14:dataValidation type="list" allowBlank="1" xr:uid="{B86A94E4-12F4-408B-B32F-2441C7FA54CC}">
          <x14:formula1>
            <xm:f>DropDownMenu!$G$2:$G$19</xm:f>
          </x14:formula1>
          <xm:sqref>G43:G5000</xm:sqref>
        </x14:dataValidation>
        <x14:dataValidation type="list" allowBlank="1" xr:uid="{F9DB04FF-A801-490D-8631-C612C5444C5E}">
          <x14:formula1>
            <xm:f>DropDownMenu!$E$2:$E$3</xm:f>
          </x14:formula1>
          <xm:sqref>F43:F5000</xm:sqref>
        </x14:dataValidation>
        <x14:dataValidation type="list" allowBlank="1" xr:uid="{48A17DC0-E6E9-4807-9DA6-368CF18FA1AE}">
          <x14:formula1>
            <xm:f>DropDownMenu!$D$2:$D$3</xm:f>
          </x14:formula1>
          <xm:sqref>E43:E5000</xm:sqref>
        </x14:dataValidation>
        <x14:dataValidation type="list" allowBlank="1" xr:uid="{7D443348-ACB1-494F-A412-1F40E689412D}">
          <x14:formula1>
            <xm:f>DropDownMenu!$C$2:$C$3</xm:f>
          </x14:formula1>
          <xm:sqref>D43:D5000</xm:sqref>
        </x14:dataValidation>
        <x14:dataValidation type="list" allowBlank="1" xr:uid="{0A142478-35DD-4B81-99A1-D62B4AC86BB4}">
          <x14:formula1>
            <xm:f>DropDownMenu!$B$2:$B$3</xm:f>
          </x14:formula1>
          <xm:sqref>B43:B5000</xm:sqref>
        </x14:dataValidation>
        <x14:dataValidation type="list" allowBlank="1" xr:uid="{65D46247-795E-4230-8D67-E0AE146F40C1}">
          <x14:formula1>
            <xm:f>DropDownMenu!$A$2:$A$3</xm:f>
          </x14:formula1>
          <xm:sqref>A43:A5000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applyStyles="1" summaryRight="0"/>
  </sheetPr>
  <dimension ref="A1:CV39"/>
  <sheetViews>
    <sheetView workbookViewId="0">
      <pane xSplit="7" ySplit="1" topLeftCell="H2" activePane="bottomRight" state="frozen"/>
      <selection pane="topRight"/>
      <selection pane="bottomLeft"/>
      <selection pane="bottomRight" activeCell="A2" sqref="A2:G39"/>
    </sheetView>
  </sheetViews>
  <sheetFormatPr baseColWidth="10" defaultColWidth="8.83203125" defaultRowHeight="15" outlineLevelCol="1" x14ac:dyDescent="0.2"/>
  <cols>
    <col min="1" max="6" width="4" customWidth="1"/>
    <col min="7" max="7" width="40" customWidth="1"/>
    <col min="8" max="16" width="4" customWidth="1"/>
    <col min="17" max="22" width="4" customWidth="1" outlineLevel="1"/>
    <col min="23" max="23" width="4" customWidth="1"/>
    <col min="24" max="26" width="4" customWidth="1" outlineLevel="1"/>
    <col min="27" max="27" width="10" customWidth="1"/>
    <col min="28" max="34" width="10" customWidth="1" outlineLevel="1"/>
    <col min="35" max="35" width="4" customWidth="1"/>
    <col min="36" max="45" width="4" customWidth="1" outlineLevel="1"/>
    <col min="46" max="47" width="20" customWidth="1" outlineLevel="1"/>
    <col min="48" max="48" width="10" customWidth="1" outlineLevel="1"/>
    <col min="49" max="49" width="4" customWidth="1" outlineLevel="1"/>
    <col min="50" max="50" width="4" customWidth="1"/>
    <col min="51" max="52" width="4" customWidth="1" outlineLevel="1"/>
    <col min="53" max="53" width="20" customWidth="1" outlineLevel="1"/>
    <col min="54" max="54" width="4" customWidth="1"/>
    <col min="55" max="100" width="4" customWidth="1" outlineLevel="1"/>
  </cols>
  <sheetData>
    <row r="1" spans="1:100" ht="15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 t="s">
        <v>22</v>
      </c>
      <c r="X1" s="1" t="s">
        <v>23</v>
      </c>
      <c r="Y1" s="1" t="s">
        <v>24</v>
      </c>
      <c r="Z1" s="1" t="s">
        <v>25</v>
      </c>
      <c r="AA1" s="3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</row>
    <row r="2" spans="1:100" x14ac:dyDescent="0.2">
      <c r="A2" s="26" t="b">
        <v>0</v>
      </c>
      <c r="B2" s="26" t="b">
        <v>0</v>
      </c>
      <c r="C2" s="26" t="b">
        <v>0</v>
      </c>
      <c r="D2" s="26" t="b">
        <v>0</v>
      </c>
      <c r="E2" s="26" t="b">
        <v>0</v>
      </c>
      <c r="F2" s="26" t="b">
        <v>0</v>
      </c>
      <c r="G2" s="27"/>
    </row>
    <row r="3" spans="1:100" x14ac:dyDescent="0.2">
      <c r="A3" s="26" t="b">
        <v>0</v>
      </c>
      <c r="B3" s="26" t="b">
        <v>0</v>
      </c>
      <c r="C3" s="26" t="b">
        <v>0</v>
      </c>
      <c r="D3" s="26" t="b">
        <v>0</v>
      </c>
      <c r="E3" s="26" t="b">
        <v>0</v>
      </c>
      <c r="F3" s="26" t="b">
        <v>0</v>
      </c>
      <c r="G3" s="27"/>
    </row>
    <row r="4" spans="1:100" x14ac:dyDescent="0.2">
      <c r="A4" s="26" t="b">
        <v>0</v>
      </c>
      <c r="B4" s="26" t="b">
        <v>0</v>
      </c>
      <c r="C4" s="26" t="b">
        <v>0</v>
      </c>
      <c r="D4" s="26" t="b">
        <v>0</v>
      </c>
      <c r="E4" s="26" t="b">
        <v>0</v>
      </c>
      <c r="F4" s="26" t="b">
        <v>0</v>
      </c>
      <c r="G4" s="27"/>
    </row>
    <row r="5" spans="1:100" x14ac:dyDescent="0.2">
      <c r="A5" s="26" t="b">
        <v>0</v>
      </c>
      <c r="B5" s="26" t="b">
        <v>0</v>
      </c>
      <c r="C5" s="26" t="b">
        <v>0</v>
      </c>
      <c r="D5" s="26" t="b">
        <v>0</v>
      </c>
      <c r="E5" s="26" t="b">
        <v>0</v>
      </c>
      <c r="F5" s="26" t="b">
        <v>0</v>
      </c>
      <c r="G5" s="27"/>
    </row>
    <row r="6" spans="1:100" x14ac:dyDescent="0.2">
      <c r="A6" s="26" t="b">
        <v>0</v>
      </c>
      <c r="B6" s="26" t="b">
        <v>0</v>
      </c>
      <c r="C6" s="26" t="b">
        <v>0</v>
      </c>
      <c r="D6" s="26" t="b">
        <v>0</v>
      </c>
      <c r="E6" s="26" t="b">
        <v>0</v>
      </c>
      <c r="F6" s="26" t="b">
        <v>0</v>
      </c>
      <c r="G6" s="27"/>
    </row>
    <row r="7" spans="1:100" x14ac:dyDescent="0.2">
      <c r="A7" s="26" t="b">
        <v>0</v>
      </c>
      <c r="B7" s="26" t="b">
        <v>0</v>
      </c>
      <c r="C7" s="26" t="b">
        <v>0</v>
      </c>
      <c r="D7" s="26" t="b">
        <v>0</v>
      </c>
      <c r="E7" s="26" t="b">
        <v>0</v>
      </c>
      <c r="F7" s="26" t="b">
        <v>0</v>
      </c>
      <c r="G7" s="27"/>
    </row>
    <row r="8" spans="1:100" x14ac:dyDescent="0.2">
      <c r="A8" s="26" t="b">
        <v>0</v>
      </c>
      <c r="B8" s="26" t="b">
        <v>0</v>
      </c>
      <c r="C8" s="26" t="b">
        <v>0</v>
      </c>
      <c r="D8" s="26" t="b">
        <v>0</v>
      </c>
      <c r="E8" s="26" t="b">
        <v>0</v>
      </c>
      <c r="F8" s="26" t="b">
        <v>0</v>
      </c>
      <c r="G8" s="27"/>
    </row>
    <row r="9" spans="1:100" x14ac:dyDescent="0.2">
      <c r="A9" s="26" t="b">
        <v>0</v>
      </c>
      <c r="B9" s="26" t="b">
        <v>0</v>
      </c>
      <c r="C9" s="26" t="b">
        <v>0</v>
      </c>
      <c r="D9" s="26" t="b">
        <v>0</v>
      </c>
      <c r="E9" s="26" t="b">
        <v>0</v>
      </c>
      <c r="F9" s="26" t="b">
        <v>0</v>
      </c>
      <c r="G9" s="27"/>
    </row>
    <row r="10" spans="1:100" x14ac:dyDescent="0.2">
      <c r="A10" s="26" t="b">
        <v>0</v>
      </c>
      <c r="B10" s="26" t="b">
        <v>0</v>
      </c>
      <c r="C10" s="26" t="b">
        <v>0</v>
      </c>
      <c r="D10" s="26" t="b">
        <v>0</v>
      </c>
      <c r="E10" s="26" t="b">
        <v>0</v>
      </c>
      <c r="F10" s="26" t="b">
        <v>0</v>
      </c>
      <c r="G10" s="27"/>
    </row>
    <row r="11" spans="1:100" x14ac:dyDescent="0.2">
      <c r="A11" s="26" t="b">
        <v>0</v>
      </c>
      <c r="B11" s="26" t="b">
        <v>0</v>
      </c>
      <c r="C11" s="26" t="b">
        <v>0</v>
      </c>
      <c r="D11" s="26" t="b">
        <v>0</v>
      </c>
      <c r="E11" s="26" t="b">
        <v>0</v>
      </c>
      <c r="F11" s="26" t="b">
        <v>0</v>
      </c>
      <c r="G11" s="27"/>
    </row>
    <row r="12" spans="1:100" x14ac:dyDescent="0.2">
      <c r="A12" s="26" t="b">
        <v>0</v>
      </c>
      <c r="B12" s="26" t="b">
        <v>0</v>
      </c>
      <c r="C12" s="26" t="b">
        <v>0</v>
      </c>
      <c r="D12" s="26" t="b">
        <v>0</v>
      </c>
      <c r="E12" s="26" t="b">
        <v>0</v>
      </c>
      <c r="F12" s="26" t="b">
        <v>0</v>
      </c>
      <c r="G12" s="27"/>
    </row>
    <row r="13" spans="1:100" x14ac:dyDescent="0.2">
      <c r="A13" s="26" t="b">
        <v>0</v>
      </c>
      <c r="B13" s="26" t="b">
        <v>0</v>
      </c>
      <c r="C13" s="26" t="b">
        <v>0</v>
      </c>
      <c r="D13" s="26" t="b">
        <v>0</v>
      </c>
      <c r="E13" s="26" t="b">
        <v>0</v>
      </c>
      <c r="F13" s="26" t="b">
        <v>0</v>
      </c>
      <c r="G13" s="27"/>
    </row>
    <row r="14" spans="1:100" x14ac:dyDescent="0.2">
      <c r="A14" s="26" t="b">
        <v>0</v>
      </c>
      <c r="B14" s="26" t="b">
        <v>0</v>
      </c>
      <c r="C14" s="26" t="b">
        <v>0</v>
      </c>
      <c r="D14" s="26" t="b">
        <v>0</v>
      </c>
      <c r="E14" s="26" t="b">
        <v>0</v>
      </c>
      <c r="F14" s="26" t="b">
        <v>0</v>
      </c>
      <c r="G14" s="27"/>
    </row>
    <row r="15" spans="1:100" x14ac:dyDescent="0.2">
      <c r="A15" s="26" t="b">
        <v>0</v>
      </c>
      <c r="B15" s="26" t="b">
        <v>0</v>
      </c>
      <c r="C15" s="26" t="b">
        <v>0</v>
      </c>
      <c r="D15" s="26" t="b">
        <v>0</v>
      </c>
      <c r="E15" s="26" t="b">
        <v>0</v>
      </c>
      <c r="F15" s="26" t="b">
        <v>0</v>
      </c>
      <c r="G15" s="27"/>
    </row>
    <row r="16" spans="1:100" x14ac:dyDescent="0.2">
      <c r="A16" s="26" t="b">
        <v>0</v>
      </c>
      <c r="B16" s="26" t="b">
        <v>0</v>
      </c>
      <c r="C16" s="26" t="b">
        <v>0</v>
      </c>
      <c r="D16" s="26" t="b">
        <v>0</v>
      </c>
      <c r="E16" s="26" t="b">
        <v>0</v>
      </c>
      <c r="F16" s="26" t="b">
        <v>0</v>
      </c>
      <c r="G16" s="27"/>
    </row>
    <row r="17" spans="1:7" x14ac:dyDescent="0.2">
      <c r="A17" s="26" t="b">
        <v>0</v>
      </c>
      <c r="B17" s="26" t="b">
        <v>0</v>
      </c>
      <c r="C17" s="26" t="b">
        <v>0</v>
      </c>
      <c r="D17" s="26" t="b">
        <v>0</v>
      </c>
      <c r="E17" s="26" t="b">
        <v>0</v>
      </c>
      <c r="F17" s="26" t="b">
        <v>0</v>
      </c>
      <c r="G17" s="27"/>
    </row>
    <row r="18" spans="1:7" x14ac:dyDescent="0.2">
      <c r="A18" s="26" t="b">
        <v>0</v>
      </c>
      <c r="B18" s="26" t="b">
        <v>0</v>
      </c>
      <c r="C18" s="26" t="b">
        <v>0</v>
      </c>
      <c r="D18" s="26" t="b">
        <v>0</v>
      </c>
      <c r="E18" s="26" t="b">
        <v>0</v>
      </c>
      <c r="F18" s="26" t="b">
        <v>0</v>
      </c>
      <c r="G18" s="27"/>
    </row>
    <row r="19" spans="1:7" x14ac:dyDescent="0.2">
      <c r="A19" s="26" t="b">
        <v>0</v>
      </c>
      <c r="B19" s="26" t="b">
        <v>0</v>
      </c>
      <c r="C19" s="26" t="b">
        <v>0</v>
      </c>
      <c r="D19" s="26" t="b">
        <v>0</v>
      </c>
      <c r="E19" s="26" t="b">
        <v>0</v>
      </c>
      <c r="F19" s="26" t="b">
        <v>0</v>
      </c>
      <c r="G19" s="27"/>
    </row>
    <row r="20" spans="1:7" x14ac:dyDescent="0.2">
      <c r="A20" s="26" t="b">
        <v>0</v>
      </c>
      <c r="B20" s="26" t="b">
        <v>0</v>
      </c>
      <c r="C20" s="26" t="b">
        <v>0</v>
      </c>
      <c r="D20" s="26" t="b">
        <v>0</v>
      </c>
      <c r="E20" s="26" t="b">
        <v>0</v>
      </c>
      <c r="F20" s="26" t="b">
        <v>0</v>
      </c>
      <c r="G20" s="27"/>
    </row>
    <row r="21" spans="1:7" x14ac:dyDescent="0.2">
      <c r="A21" s="26" t="b">
        <v>0</v>
      </c>
      <c r="B21" s="26" t="b">
        <v>0</v>
      </c>
      <c r="C21" s="26" t="b">
        <v>0</v>
      </c>
      <c r="D21" s="26" t="b">
        <v>0</v>
      </c>
      <c r="E21" s="26" t="b">
        <v>0</v>
      </c>
      <c r="F21" s="26" t="b">
        <v>0</v>
      </c>
      <c r="G21" s="27"/>
    </row>
    <row r="22" spans="1:7" x14ac:dyDescent="0.2">
      <c r="A22" s="26" t="b">
        <v>0</v>
      </c>
      <c r="B22" s="26" t="b">
        <v>0</v>
      </c>
      <c r="C22" s="26" t="b">
        <v>0</v>
      </c>
      <c r="D22" s="26" t="b">
        <v>0</v>
      </c>
      <c r="E22" s="26" t="b">
        <v>0</v>
      </c>
      <c r="F22" s="26" t="b">
        <v>0</v>
      </c>
      <c r="G22" s="27"/>
    </row>
    <row r="23" spans="1:7" x14ac:dyDescent="0.2">
      <c r="A23" s="26" t="b">
        <v>0</v>
      </c>
      <c r="B23" s="26" t="b">
        <v>0</v>
      </c>
      <c r="C23" s="26" t="b">
        <v>0</v>
      </c>
      <c r="D23" s="26" t="b">
        <v>0</v>
      </c>
      <c r="E23" s="26" t="b">
        <v>0</v>
      </c>
      <c r="F23" s="26" t="b">
        <v>0</v>
      </c>
      <c r="G23" s="27"/>
    </row>
    <row r="24" spans="1:7" x14ac:dyDescent="0.2">
      <c r="A24" s="26" t="b">
        <v>0</v>
      </c>
      <c r="B24" s="26" t="b">
        <v>0</v>
      </c>
      <c r="C24" s="26" t="b">
        <v>0</v>
      </c>
      <c r="D24" s="26" t="b">
        <v>0</v>
      </c>
      <c r="E24" s="26" t="b">
        <v>0</v>
      </c>
      <c r="F24" s="26" t="b">
        <v>0</v>
      </c>
      <c r="G24" s="27"/>
    </row>
    <row r="25" spans="1:7" x14ac:dyDescent="0.2">
      <c r="A25" s="26" t="b">
        <v>0</v>
      </c>
      <c r="B25" s="26" t="b">
        <v>0</v>
      </c>
      <c r="C25" s="26" t="b">
        <v>0</v>
      </c>
      <c r="D25" s="26" t="b">
        <v>0</v>
      </c>
      <c r="E25" s="26" t="b">
        <v>0</v>
      </c>
      <c r="F25" s="26" t="b">
        <v>0</v>
      </c>
      <c r="G25" s="27"/>
    </row>
    <row r="26" spans="1:7" x14ac:dyDescent="0.2">
      <c r="A26" s="26" t="b">
        <v>0</v>
      </c>
      <c r="B26" s="26" t="b">
        <v>0</v>
      </c>
      <c r="C26" s="26" t="b">
        <v>0</v>
      </c>
      <c r="D26" s="26" t="b">
        <v>0</v>
      </c>
      <c r="E26" s="26" t="b">
        <v>0</v>
      </c>
      <c r="F26" s="26" t="b">
        <v>0</v>
      </c>
      <c r="G26" s="27"/>
    </row>
    <row r="27" spans="1:7" x14ac:dyDescent="0.2">
      <c r="A27" s="26" t="b">
        <v>0</v>
      </c>
      <c r="B27" s="26" t="b">
        <v>0</v>
      </c>
      <c r="C27" s="26" t="b">
        <v>0</v>
      </c>
      <c r="D27" s="26" t="b">
        <v>0</v>
      </c>
      <c r="E27" s="26" t="b">
        <v>0</v>
      </c>
      <c r="F27" s="26" t="b">
        <v>0</v>
      </c>
      <c r="G27" s="27"/>
    </row>
    <row r="28" spans="1:7" x14ac:dyDescent="0.2">
      <c r="A28" s="26" t="b">
        <v>0</v>
      </c>
      <c r="B28" s="26" t="b">
        <v>0</v>
      </c>
      <c r="C28" s="26" t="b">
        <v>0</v>
      </c>
      <c r="D28" s="26" t="b">
        <v>0</v>
      </c>
      <c r="E28" s="26" t="b">
        <v>0</v>
      </c>
      <c r="F28" s="26" t="b">
        <v>0</v>
      </c>
      <c r="G28" s="27"/>
    </row>
    <row r="29" spans="1:7" x14ac:dyDescent="0.2">
      <c r="A29" s="26" t="b">
        <v>0</v>
      </c>
      <c r="B29" s="26" t="b">
        <v>0</v>
      </c>
      <c r="C29" s="26" t="b">
        <v>0</v>
      </c>
      <c r="D29" s="26" t="b">
        <v>0</v>
      </c>
      <c r="E29" s="26" t="b">
        <v>0</v>
      </c>
      <c r="F29" s="26" t="b">
        <v>0</v>
      </c>
      <c r="G29" s="27"/>
    </row>
    <row r="30" spans="1:7" x14ac:dyDescent="0.2">
      <c r="A30" s="26" t="b">
        <v>0</v>
      </c>
      <c r="B30" s="26" t="b">
        <v>0</v>
      </c>
      <c r="C30" s="26" t="b">
        <v>0</v>
      </c>
      <c r="D30" s="26" t="b">
        <v>0</v>
      </c>
      <c r="E30" s="26" t="b">
        <v>0</v>
      </c>
      <c r="F30" s="26" t="b">
        <v>0</v>
      </c>
      <c r="G30" s="27"/>
    </row>
    <row r="31" spans="1:7" x14ac:dyDescent="0.2">
      <c r="A31" s="26" t="b">
        <v>0</v>
      </c>
      <c r="B31" s="26" t="b">
        <v>0</v>
      </c>
      <c r="C31" s="26" t="b">
        <v>0</v>
      </c>
      <c r="D31" s="26" t="b">
        <v>0</v>
      </c>
      <c r="E31" s="26" t="b">
        <v>0</v>
      </c>
      <c r="F31" s="26" t="b">
        <v>0</v>
      </c>
      <c r="G31" s="27"/>
    </row>
    <row r="32" spans="1:7" x14ac:dyDescent="0.2">
      <c r="A32" s="26" t="b">
        <v>0</v>
      </c>
      <c r="B32" s="26" t="b">
        <v>0</v>
      </c>
      <c r="C32" s="26" t="b">
        <v>0</v>
      </c>
      <c r="D32" s="26" t="b">
        <v>0</v>
      </c>
      <c r="E32" s="26" t="b">
        <v>0</v>
      </c>
      <c r="F32" s="26" t="b">
        <v>0</v>
      </c>
      <c r="G32" s="27"/>
    </row>
    <row r="33" spans="1:7" x14ac:dyDescent="0.2">
      <c r="A33" s="26" t="b">
        <v>0</v>
      </c>
      <c r="B33" s="26" t="b">
        <v>0</v>
      </c>
      <c r="C33" s="26" t="b">
        <v>0</v>
      </c>
      <c r="D33" s="26" t="b">
        <v>0</v>
      </c>
      <c r="E33" s="26" t="b">
        <v>0</v>
      </c>
      <c r="F33" s="26" t="b">
        <v>0</v>
      </c>
      <c r="G33" s="27"/>
    </row>
    <row r="34" spans="1:7" x14ac:dyDescent="0.2">
      <c r="A34" s="26" t="b">
        <v>0</v>
      </c>
      <c r="B34" s="26" t="b">
        <v>0</v>
      </c>
      <c r="C34" s="26" t="b">
        <v>0</v>
      </c>
      <c r="D34" s="26" t="b">
        <v>0</v>
      </c>
      <c r="E34" s="26" t="b">
        <v>0</v>
      </c>
      <c r="F34" s="26" t="b">
        <v>0</v>
      </c>
      <c r="G34" s="27"/>
    </row>
    <row r="35" spans="1:7" x14ac:dyDescent="0.2">
      <c r="A35" s="26" t="b">
        <v>0</v>
      </c>
      <c r="B35" s="26" t="b">
        <v>0</v>
      </c>
      <c r="C35" s="26" t="b">
        <v>0</v>
      </c>
      <c r="D35" s="26" t="b">
        <v>0</v>
      </c>
      <c r="E35" s="26" t="b">
        <v>0</v>
      </c>
      <c r="F35" s="26" t="b">
        <v>0</v>
      </c>
      <c r="G35" s="27"/>
    </row>
    <row r="36" spans="1:7" x14ac:dyDescent="0.2">
      <c r="A36" s="26" t="b">
        <v>0</v>
      </c>
      <c r="B36" s="26" t="b">
        <v>0</v>
      </c>
      <c r="C36" s="26" t="b">
        <v>0</v>
      </c>
      <c r="D36" s="26" t="b">
        <v>0</v>
      </c>
      <c r="E36" s="26" t="b">
        <v>0</v>
      </c>
      <c r="F36" s="26" t="b">
        <v>0</v>
      </c>
      <c r="G36" s="27"/>
    </row>
    <row r="37" spans="1:7" x14ac:dyDescent="0.2">
      <c r="A37" s="26" t="b">
        <v>0</v>
      </c>
      <c r="B37" s="26" t="b">
        <v>0</v>
      </c>
      <c r="C37" s="26" t="b">
        <v>0</v>
      </c>
      <c r="D37" s="26" t="b">
        <v>0</v>
      </c>
      <c r="E37" s="26" t="b">
        <v>0</v>
      </c>
      <c r="F37" s="26" t="b">
        <v>0</v>
      </c>
      <c r="G37" s="27"/>
    </row>
    <row r="38" spans="1:7" x14ac:dyDescent="0.2">
      <c r="A38" s="26" t="b">
        <v>0</v>
      </c>
      <c r="B38" s="26" t="b">
        <v>0</v>
      </c>
      <c r="C38" s="26" t="b">
        <v>0</v>
      </c>
      <c r="D38" s="26" t="b">
        <v>0</v>
      </c>
      <c r="E38" s="26" t="b">
        <v>0</v>
      </c>
      <c r="F38" s="26" t="b">
        <v>0</v>
      </c>
      <c r="G38" s="27"/>
    </row>
    <row r="39" spans="1:7" x14ac:dyDescent="0.2">
      <c r="A39" s="26" t="b">
        <v>0</v>
      </c>
      <c r="B39" s="26" t="b">
        <v>0</v>
      </c>
      <c r="C39" s="26" t="b">
        <v>0</v>
      </c>
      <c r="D39" s="26" t="b">
        <v>0</v>
      </c>
      <c r="E39" s="26" t="b">
        <v>0</v>
      </c>
      <c r="F39" s="26" t="b">
        <v>0</v>
      </c>
      <c r="G39" s="27"/>
    </row>
  </sheetData>
  <autoFilter ref="A1:CV1" xr:uid="{00000000-0009-0000-0000-000008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62">
        <x14:dataValidation type="list" allowBlank="1" xr:uid="{00000000-0002-0000-0800-000000000000}">
          <x14:formula1>
            <xm:f>DropDownMenu!$A$2:$A$3</xm:f>
          </x14:formula1>
          <xm:sqref>A40:A5000</xm:sqref>
        </x14:dataValidation>
        <x14:dataValidation type="list" allowBlank="1" xr:uid="{00000000-0002-0000-0800-000001000000}">
          <x14:formula1>
            <xm:f>DropDownMenu!$B$2:$B$3</xm:f>
          </x14:formula1>
          <xm:sqref>B40:B5000</xm:sqref>
        </x14:dataValidation>
        <x14:dataValidation type="list" allowBlank="1" xr:uid="{00000000-0002-0000-0800-000002000000}">
          <x14:formula1>
            <xm:f>DropDownMenu!$C$2:$C$3</xm:f>
          </x14:formula1>
          <xm:sqref>D40:D5000</xm:sqref>
        </x14:dataValidation>
        <x14:dataValidation type="list" allowBlank="1" xr:uid="{00000000-0002-0000-0800-000003000000}">
          <x14:formula1>
            <xm:f>DropDownMenu!$D$2:$D$3</xm:f>
          </x14:formula1>
          <xm:sqref>E40:E5000</xm:sqref>
        </x14:dataValidation>
        <x14:dataValidation type="list" allowBlank="1" xr:uid="{00000000-0002-0000-0800-000004000000}">
          <x14:formula1>
            <xm:f>DropDownMenu!$E$2:$E$3</xm:f>
          </x14:formula1>
          <xm:sqref>F40:F5000</xm:sqref>
        </x14:dataValidation>
        <x14:dataValidation type="list" allowBlank="1" xr:uid="{00000000-0002-0000-0800-000005000000}">
          <x14:formula1>
            <xm:f>DropDownMenu!$G$2:$G$19</xm:f>
          </x14:formula1>
          <xm:sqref>G40:G5000</xm:sqref>
        </x14:dataValidation>
        <x14:dataValidation type="list" allowBlank="1" xr:uid="{00000000-0002-0000-0800-000006000000}">
          <x14:formula1>
            <xm:f>DropDownMenu!$H$2:$H$564</xm:f>
          </x14:formula1>
          <xm:sqref>H2:H5000</xm:sqref>
        </x14:dataValidation>
        <x14:dataValidation type="list" allowBlank="1" xr:uid="{00000000-0002-0000-0800-000007000000}">
          <x14:formula1>
            <xm:f>DropDownMenu!$I$2:$I$352</xm:f>
          </x14:formula1>
          <xm:sqref>I2:I5000</xm:sqref>
        </x14:dataValidation>
        <x14:dataValidation type="list" allowBlank="1" xr:uid="{00000000-0002-0000-0800-000008000000}">
          <x14:formula1>
            <xm:f>DropDownMenu!$J$2:$J$10</xm:f>
          </x14:formula1>
          <xm:sqref>J2:J5000</xm:sqref>
        </x14:dataValidation>
        <x14:dataValidation type="list" allowBlank="1" xr:uid="{00000000-0002-0000-0800-000009000000}">
          <x14:formula1>
            <xm:f>DropDownMenu!$K$2:$K$101</xm:f>
          </x14:formula1>
          <xm:sqref>K2:K5000</xm:sqref>
        </x14:dataValidation>
        <x14:dataValidation type="list" allowBlank="1" xr:uid="{00000000-0002-0000-0800-00000A000000}">
          <x14:formula1>
            <xm:f>DropDownMenu!$L$2:$L$42</xm:f>
          </x14:formula1>
          <xm:sqref>L2:L5000</xm:sqref>
        </x14:dataValidation>
        <x14:dataValidation type="list" allowBlank="1" xr:uid="{00000000-0002-0000-0800-00000B000000}">
          <x14:formula1>
            <xm:f>DropDownMenu!$M$2:$M$16</xm:f>
          </x14:formula1>
          <xm:sqref>M2:M5000</xm:sqref>
        </x14:dataValidation>
        <x14:dataValidation type="list" allowBlank="1" xr:uid="{00000000-0002-0000-0800-00000C000000}">
          <x14:formula1>
            <xm:f>DropDownMenu!$N$2:$N$140</xm:f>
          </x14:formula1>
          <xm:sqref>N2:N5000</xm:sqref>
        </x14:dataValidation>
        <x14:dataValidation type="list" allowBlank="1" xr:uid="{00000000-0002-0000-0800-00000D000000}">
          <x14:formula1>
            <xm:f>DropDownMenu!$O$2:$O$65</xm:f>
          </x14:formula1>
          <xm:sqref>O2:O5000</xm:sqref>
        </x14:dataValidation>
        <x14:dataValidation type="list" allowBlank="1" xr:uid="{00000000-0002-0000-0800-00000E000000}">
          <x14:formula1>
            <xm:f>DropDownMenu!$P$2:$P$45</xm:f>
          </x14:formula1>
          <xm:sqref>Q2:Q5000</xm:sqref>
        </x14:dataValidation>
        <x14:dataValidation type="list" allowBlank="1" xr:uid="{00000000-0002-0000-0800-00000F000000}">
          <x14:formula1>
            <xm:f>DropDownMenu!$Q$2:$Q$5</xm:f>
          </x14:formula1>
          <xm:sqref>R2:R5000</xm:sqref>
        </x14:dataValidation>
        <x14:dataValidation type="list" allowBlank="1" xr:uid="{00000000-0002-0000-0800-000010000000}">
          <x14:formula1>
            <xm:f>DropDownMenu!$R$2:$R$7</xm:f>
          </x14:formula1>
          <xm:sqref>S2:S5000</xm:sqref>
        </x14:dataValidation>
        <x14:dataValidation type="list" allowBlank="1" xr:uid="{00000000-0002-0000-0800-000011000000}">
          <x14:formula1>
            <xm:f>DropDownMenu!$S$2:$S$11</xm:f>
          </x14:formula1>
          <xm:sqref>T2:T5000</xm:sqref>
        </x14:dataValidation>
        <x14:dataValidation type="list" allowBlank="1" xr:uid="{00000000-0002-0000-0800-000012000000}">
          <x14:formula1>
            <xm:f>DropDownMenu!$T$2:$T$13</xm:f>
          </x14:formula1>
          <xm:sqref>U2:U5000</xm:sqref>
        </x14:dataValidation>
        <x14:dataValidation type="list" allowBlank="1" xr:uid="{00000000-0002-0000-0800-000013000000}">
          <x14:formula1>
            <xm:f>DropDownMenu!$U$2:$U$5</xm:f>
          </x14:formula1>
          <xm:sqref>CR2:CR5000</xm:sqref>
        </x14:dataValidation>
        <x14:dataValidation type="list" allowBlank="1" xr:uid="{00000000-0002-0000-0800-000014000000}">
          <x14:formula1>
            <xm:f>DropDownMenu!$V$2:$V$4</xm:f>
          </x14:formula1>
          <xm:sqref>V2:V5000</xm:sqref>
        </x14:dataValidation>
        <x14:dataValidation type="list" allowBlank="1" xr:uid="{00000000-0002-0000-0800-000015000000}">
          <x14:formula1>
            <xm:f>DropDownMenu!$W$2:$W$6</xm:f>
          </x14:formula1>
          <xm:sqref>CU2:CU5000</xm:sqref>
        </x14:dataValidation>
        <x14:dataValidation type="list" allowBlank="1" xr:uid="{00000000-0002-0000-0800-000016000000}">
          <x14:formula1>
            <xm:f>DropDownMenu!$X$2:$X$26</xm:f>
          </x14:formula1>
          <xm:sqref>W2:W5000</xm:sqref>
        </x14:dataValidation>
        <x14:dataValidation type="list" allowBlank="1" xr:uid="{00000000-0002-0000-0800-000017000000}">
          <x14:formula1>
            <xm:f>DropDownMenu!$Y$2:$Y$7</xm:f>
          </x14:formula1>
          <xm:sqref>X2:X5000</xm:sqref>
        </x14:dataValidation>
        <x14:dataValidation type="list" allowBlank="1" xr:uid="{00000000-0002-0000-0800-000018000000}">
          <x14:formula1>
            <xm:f>DropDownMenu!$Z$2:$Z$15</xm:f>
          </x14:formula1>
          <xm:sqref>Y2:Y5000</xm:sqref>
        </x14:dataValidation>
        <x14:dataValidation type="list" allowBlank="1" xr:uid="{00000000-0002-0000-0800-000019000000}">
          <x14:formula1>
            <xm:f>DropDownMenu!$AA$2:$AA$6</xm:f>
          </x14:formula1>
          <xm:sqref>Z2:Z5000</xm:sqref>
        </x14:dataValidation>
        <x14:dataValidation type="list" allowBlank="1" xr:uid="{00000000-0002-0000-0800-00001A000000}">
          <x14:formula1>
            <xm:f>DropDownMenu!$AB$2:$AB$7</xm:f>
          </x14:formula1>
          <xm:sqref>AA2:AA5000</xm:sqref>
        </x14:dataValidation>
        <x14:dataValidation type="list" allowBlank="1" xr:uid="{00000000-0002-0000-0800-00001B000000}">
          <x14:formula1>
            <xm:f>DropDownMenu!$AC$2:$AC$49</xm:f>
          </x14:formula1>
          <xm:sqref>AD2:AD5000</xm:sqref>
        </x14:dataValidation>
        <x14:dataValidation type="list" allowBlank="1" xr:uid="{00000000-0002-0000-0800-00001C000000}">
          <x14:formula1>
            <xm:f>DropDownMenu!$AD$2:$AD$52</xm:f>
          </x14:formula1>
          <xm:sqref>AE2:AE5000</xm:sqref>
        </x14:dataValidation>
        <x14:dataValidation type="list" allowBlank="1" xr:uid="{00000000-0002-0000-0800-00001D000000}">
          <x14:formula1>
            <xm:f>DropDownMenu!$AE$2:$AE$9</xm:f>
          </x14:formula1>
          <xm:sqref>AH2:AH5000</xm:sqref>
        </x14:dataValidation>
        <x14:dataValidation type="list" allowBlank="1" xr:uid="{00000000-0002-0000-0800-00001E000000}">
          <x14:formula1>
            <xm:f>DropDownMenu!$AF$2:$AF$6</xm:f>
          </x14:formula1>
          <xm:sqref>AI2:AI5000</xm:sqref>
        </x14:dataValidation>
        <x14:dataValidation type="list" allowBlank="1" xr:uid="{00000000-0002-0000-0800-00001F000000}">
          <x14:formula1>
            <xm:f>DropDownMenu!$AG$2:$AG$11</xm:f>
          </x14:formula1>
          <xm:sqref>AJ2:AJ5000</xm:sqref>
        </x14:dataValidation>
        <x14:dataValidation type="list" allowBlank="1" xr:uid="{00000000-0002-0000-0800-000020000000}">
          <x14:formula1>
            <xm:f>DropDownMenu!$AH$2:$AH$2</xm:f>
          </x14:formula1>
          <xm:sqref>AK2:AK5000</xm:sqref>
        </x14:dataValidation>
        <x14:dataValidation type="list" allowBlank="1" xr:uid="{00000000-0002-0000-0800-000021000000}">
          <x14:formula1>
            <xm:f>DropDownMenu!$AI$2:$AI$2</xm:f>
          </x14:formula1>
          <xm:sqref>AL2:AL5000</xm:sqref>
        </x14:dataValidation>
        <x14:dataValidation type="list" allowBlank="1" xr:uid="{00000000-0002-0000-0800-000022000000}">
          <x14:formula1>
            <xm:f>DropDownMenu!$AJ$2:$AJ$2</xm:f>
          </x14:formula1>
          <xm:sqref>AM2:AM5000</xm:sqref>
        </x14:dataValidation>
        <x14:dataValidation type="list" allowBlank="1" xr:uid="{00000000-0002-0000-0800-000023000000}">
          <x14:formula1>
            <xm:f>DropDownMenu!$AK$2:$AK$2</xm:f>
          </x14:formula1>
          <xm:sqref>AN2:AN5000</xm:sqref>
        </x14:dataValidation>
        <x14:dataValidation type="list" allowBlank="1" xr:uid="{00000000-0002-0000-0800-000024000000}">
          <x14:formula1>
            <xm:f>DropDownMenu!$AL$2:$AL$2</xm:f>
          </x14:formula1>
          <xm:sqref>AO2:AO5000</xm:sqref>
        </x14:dataValidation>
        <x14:dataValidation type="list" allowBlank="1" xr:uid="{00000000-0002-0000-0800-000025000000}">
          <x14:formula1>
            <xm:f>DropDownMenu!$AM$2:$AM$5</xm:f>
          </x14:formula1>
          <xm:sqref>CS2:CS5000</xm:sqref>
        </x14:dataValidation>
        <x14:dataValidation type="list" allowBlank="1" xr:uid="{00000000-0002-0000-0800-000026000000}">
          <x14:formula1>
            <xm:f>DropDownMenu!$AN$2:$AN$13</xm:f>
          </x14:formula1>
          <xm:sqref>AR2:AR5000</xm:sqref>
        </x14:dataValidation>
        <x14:dataValidation type="list" allowBlank="1" xr:uid="{00000000-0002-0000-0800-000027000000}">
          <x14:formula1>
            <xm:f>DropDownMenu!$AO$2:$AO$40</xm:f>
          </x14:formula1>
          <xm:sqref>AS2:AS5000</xm:sqref>
        </x14:dataValidation>
        <x14:dataValidation type="list" allowBlank="1" xr:uid="{00000000-0002-0000-0800-000028000000}">
          <x14:formula1>
            <xm:f>DropDownMenu!$AP$2:$AP$274</xm:f>
          </x14:formula1>
          <xm:sqref>AT2:AT5000</xm:sqref>
        </x14:dataValidation>
        <x14:dataValidation type="list" allowBlank="1" xr:uid="{00000000-0002-0000-0800-000029000000}">
          <x14:formula1>
            <xm:f>DropDownMenu!$AQ$2:$AQ$9</xm:f>
          </x14:formula1>
          <xm:sqref>BB2:BB5000</xm:sqref>
        </x14:dataValidation>
        <x14:dataValidation type="list" allowBlank="1" xr:uid="{00000000-0002-0000-0800-00002A000000}">
          <x14:formula1>
            <xm:f>DropDownMenu!$AR$2:$AR$11</xm:f>
          </x14:formula1>
          <xm:sqref>BC2:BC5000</xm:sqref>
        </x14:dataValidation>
        <x14:dataValidation type="list" allowBlank="1" xr:uid="{00000000-0002-0000-0800-00002B000000}">
          <x14:formula1>
            <xm:f>DropDownMenu!$AS$2:$AS$3</xm:f>
          </x14:formula1>
          <xm:sqref>BD2:BD5000</xm:sqref>
        </x14:dataValidation>
        <x14:dataValidation type="list" allowBlank="1" xr:uid="{00000000-0002-0000-0800-00002C000000}">
          <x14:formula1>
            <xm:f>DropDownMenu!$AT$2:$AT$4</xm:f>
          </x14:formula1>
          <xm:sqref>BE2:BE5000</xm:sqref>
        </x14:dataValidation>
        <x14:dataValidation type="list" allowBlank="1" xr:uid="{00000000-0002-0000-0800-00002D000000}">
          <x14:formula1>
            <xm:f>DropDownMenu!$AU$2:$AU$2</xm:f>
          </x14:formula1>
          <xm:sqref>BG2:BG5000</xm:sqref>
        </x14:dataValidation>
        <x14:dataValidation type="list" allowBlank="1" xr:uid="{00000000-0002-0000-0800-00002E000000}">
          <x14:formula1>
            <xm:f>DropDownMenu!$AV$2:$AV$9</xm:f>
          </x14:formula1>
          <xm:sqref>BH2:BH5000</xm:sqref>
        </x14:dataValidation>
        <x14:dataValidation type="list" allowBlank="1" xr:uid="{00000000-0002-0000-0800-00002F000000}">
          <x14:formula1>
            <xm:f>DropDownMenu!$AW$2:$AW$81</xm:f>
          </x14:formula1>
          <xm:sqref>BI2:BI5000</xm:sqref>
        </x14:dataValidation>
        <x14:dataValidation type="list" allowBlank="1" xr:uid="{00000000-0002-0000-0800-000030000000}">
          <x14:formula1>
            <xm:f>DropDownMenu!$AX$2:$AX$3</xm:f>
          </x14:formula1>
          <xm:sqref>BJ2:BJ5000</xm:sqref>
        </x14:dataValidation>
        <x14:dataValidation type="list" allowBlank="1" xr:uid="{00000000-0002-0000-0800-000031000000}">
          <x14:formula1>
            <xm:f>DropDownMenu!$AY$2:$AY$7</xm:f>
          </x14:formula1>
          <xm:sqref>BK2:BK5000</xm:sqref>
        </x14:dataValidation>
        <x14:dataValidation type="list" allowBlank="1" xr:uid="{00000000-0002-0000-0800-000032000000}">
          <x14:formula1>
            <xm:f>DropDownMenu!$AZ$2:$AZ$9</xm:f>
          </x14:formula1>
          <xm:sqref>BL2:BL5000</xm:sqref>
        </x14:dataValidation>
        <x14:dataValidation type="list" allowBlank="1" xr:uid="{00000000-0002-0000-0800-000033000000}">
          <x14:formula1>
            <xm:f>DropDownMenu!$BA$2:$BA$9</xm:f>
          </x14:formula1>
          <xm:sqref>BM2:BM5000</xm:sqref>
        </x14:dataValidation>
        <x14:dataValidation type="list" allowBlank="1" xr:uid="{00000000-0002-0000-0800-000034000000}">
          <x14:formula1>
            <xm:f>DropDownMenu!$BB$2:$BB$3</xm:f>
          </x14:formula1>
          <xm:sqref>BN2:BN5000</xm:sqref>
        </x14:dataValidation>
        <x14:dataValidation type="list" allowBlank="1" xr:uid="{00000000-0002-0000-0800-000035000000}">
          <x14:formula1>
            <xm:f>DropDownMenu!$BC$2:$BC$2</xm:f>
          </x14:formula1>
          <xm:sqref>BO2:BO5000</xm:sqref>
        </x14:dataValidation>
        <x14:dataValidation type="list" allowBlank="1" xr:uid="{00000000-0002-0000-0800-000036000000}">
          <x14:formula1>
            <xm:f>DropDownMenu!$BD$2:$BD$29</xm:f>
          </x14:formula1>
          <xm:sqref>BQ2:BQ5000</xm:sqref>
        </x14:dataValidation>
        <x14:dataValidation type="list" allowBlank="1" xr:uid="{00000000-0002-0000-0800-000037000000}">
          <x14:formula1>
            <xm:f>DropDownMenu!$BE$2:$BE$2</xm:f>
          </x14:formula1>
          <xm:sqref>BT2:BT5000</xm:sqref>
        </x14:dataValidation>
        <x14:dataValidation type="list" allowBlank="1" xr:uid="{00000000-0002-0000-0800-000038000000}">
          <x14:formula1>
            <xm:f>DropDownMenu!$BF$2:$BF$33</xm:f>
          </x14:formula1>
          <xm:sqref>BU2:BU5000</xm:sqref>
        </x14:dataValidation>
        <x14:dataValidation type="list" allowBlank="1" xr:uid="{00000000-0002-0000-0800-000039000000}">
          <x14:formula1>
            <xm:f>DropDownMenu!$BG$2:$BG$2</xm:f>
          </x14:formula1>
          <xm:sqref>BV2:BV5000</xm:sqref>
        </x14:dataValidation>
        <x14:dataValidation type="list" allowBlank="1" xr:uid="{00000000-0002-0000-0800-00003A000000}">
          <x14:formula1>
            <xm:f>DropDownMenu!$BH$2:$BH$4</xm:f>
          </x14:formula1>
          <xm:sqref>AW2:AW5000</xm:sqref>
        </x14:dataValidation>
        <x14:dataValidation type="list" allowBlank="1" xr:uid="{00000000-0002-0000-0800-00003B000000}">
          <x14:formula1>
            <xm:f>DropDownMenu!$BI$2:$BI$2</xm:f>
          </x14:formula1>
          <xm:sqref>BW2:BW5000</xm:sqref>
        </x14:dataValidation>
        <x14:dataValidation type="list" allowBlank="1" xr:uid="{00000000-0002-0000-0800-00003C000000}">
          <x14:formula1>
            <xm:f>DropDownMenu!$BJ$2:$BJ$2</xm:f>
          </x14:formula1>
          <xm:sqref>BX2:BX5000</xm:sqref>
        </x14:dataValidation>
        <x14:dataValidation type="list" allowBlank="1" xr:uid="{00000000-0002-0000-0800-00003D000000}">
          <x14:formula1>
            <xm:f>DropDownMenu!$BK$2:$BK$2</xm:f>
          </x14:formula1>
          <xm:sqref>BY2:BY5000</xm:sqref>
        </x14:dataValidation>
        <x14:dataValidation type="list" allowBlank="1" xr:uid="{00000000-0002-0000-0800-00003E000000}">
          <x14:formula1>
            <xm:f>DropDownMenu!$BL$2:$BL$8</xm:f>
          </x14:formula1>
          <xm:sqref>BZ2:BZ5000</xm:sqref>
        </x14:dataValidation>
        <x14:dataValidation type="list" allowBlank="1" xr:uid="{00000000-0002-0000-0800-00003F000000}">
          <x14:formula1>
            <xm:f>DropDownMenu!$BM$2:$BM$8</xm:f>
          </x14:formula1>
          <xm:sqref>CA2:CA5000</xm:sqref>
        </x14:dataValidation>
        <x14:dataValidation type="list" allowBlank="1" xr:uid="{00000000-0002-0000-0800-000040000000}">
          <x14:formula1>
            <xm:f>DropDownMenu!$BN$2:$BN$8</xm:f>
          </x14:formula1>
          <xm:sqref>CB2:CB5000</xm:sqref>
        </x14:dataValidation>
        <x14:dataValidation type="list" allowBlank="1" xr:uid="{00000000-0002-0000-0800-000041000000}">
          <x14:formula1>
            <xm:f>DropDownMenu!$BO$2:$BO$6</xm:f>
          </x14:formula1>
          <xm:sqref>CC2:CC5000</xm:sqref>
        </x14:dataValidation>
        <x14:dataValidation type="list" allowBlank="1" xr:uid="{00000000-0002-0000-0800-000042000000}">
          <x14:formula1>
            <xm:f>DropDownMenu!$BP$2:$BP$2</xm:f>
          </x14:formula1>
          <xm:sqref>CD2:CD5000</xm:sqref>
        </x14:dataValidation>
        <x14:dataValidation type="list" allowBlank="1" xr:uid="{00000000-0002-0000-0800-000043000000}">
          <x14:formula1>
            <xm:f>DropDownMenu!$BQ$2:$BQ$2</xm:f>
          </x14:formula1>
          <xm:sqref>CE2:CE5000</xm:sqref>
        </x14:dataValidation>
        <x14:dataValidation type="list" allowBlank="1" xr:uid="{00000000-0002-0000-0800-000044000000}">
          <x14:formula1>
            <xm:f>DropDownMenu!$BR$2:$BR$2</xm:f>
          </x14:formula1>
          <xm:sqref>CF2:CF5000</xm:sqref>
        </x14:dataValidation>
        <x14:dataValidation type="list" allowBlank="1" xr:uid="{00000000-0002-0000-0800-000045000000}">
          <x14:formula1>
            <xm:f>DropDownMenu!$BS$2:$BS$2</xm:f>
          </x14:formula1>
          <xm:sqref>CG2:CG5000</xm:sqref>
        </x14:dataValidation>
        <x14:dataValidation type="list" allowBlank="1" xr:uid="{00000000-0002-0000-0800-000046000000}">
          <x14:formula1>
            <xm:f>DropDownMenu!$BT$2:$BT$2</xm:f>
          </x14:formula1>
          <xm:sqref>CH2:CH5000</xm:sqref>
        </x14:dataValidation>
        <x14:dataValidation type="list" allowBlank="1" xr:uid="{00000000-0002-0000-0800-000047000000}">
          <x14:formula1>
            <xm:f>DropDownMenu!$BU$2:$BU$2</xm:f>
          </x14:formula1>
          <xm:sqref>CN2:CN5000</xm:sqref>
        </x14:dataValidation>
        <x14:dataValidation type="list" allowBlank="1" xr:uid="{00000000-0002-0000-0800-000048000000}">
          <x14:formula1>
            <xm:f>DropDownMenu!$BV$2:$BV$2</xm:f>
          </x14:formula1>
          <xm:sqref>CO2:CO5000</xm:sqref>
        </x14:dataValidation>
        <x14:dataValidation type="list" allowBlank="1" xr:uid="{00000000-0002-0000-0800-000049000000}">
          <x14:formula1>
            <xm:f>DropDownMenu!$BW$2:$BW$2</xm:f>
          </x14:formula1>
          <xm:sqref>CQ2:CQ5000</xm:sqref>
        </x14:dataValidation>
        <x14:dataValidation type="list" allowBlank="1" xr:uid="{00000000-0002-0000-0800-00004A000000}">
          <x14:formula1>
            <xm:f>DropDownMenu!$BX$2:$BX$2</xm:f>
          </x14:formula1>
          <xm:sqref>CT2:CT5000</xm:sqref>
        </x14:dataValidation>
        <x14:dataValidation type="list" allowBlank="1" xr:uid="{00000000-0002-0000-0800-00004B000000}">
          <x14:formula1>
            <xm:f>DropDownMenu!$BY$2:$BY$77</xm:f>
          </x14:formula1>
          <xm:sqref>AU2:AU5000</xm:sqref>
        </x14:dataValidation>
        <x14:dataValidation type="list" allowBlank="1" xr:uid="{00000000-0002-0000-0800-00004C000000}">
          <x14:formula1>
            <xm:f>DropDownMenu!$BZ$2:$BZ$3</xm:f>
          </x14:formula1>
          <xm:sqref>CV2:CV5000</xm:sqref>
        </x14:dataValidation>
        <x14:dataValidation type="list" allowBlank="1" xr:uid="{00000000-0002-0000-0800-00004D000000}">
          <x14:formula1>
            <xm:f>DropDownMenu!$CA$2:$CA$77</xm:f>
          </x14:formula1>
          <xm:sqref>AV2:AV5000</xm:sqref>
        </x14:dataValidation>
        <x14:dataValidation type="list" allowBlank="1" xr:uid="{00000000-0002-0000-0800-00004E000000}">
          <x14:formula1>
            <xm:f>DropDownMenu!$CB$2:$CB$3</xm:f>
          </x14:formula1>
          <xm:sqref>AX2:AX5000</xm:sqref>
        </x14:dataValidation>
        <x14:dataValidation type="list" allowBlank="1" xr:uid="{00000000-0002-0000-0800-00004F000000}">
          <x14:formula1>
            <xm:f>DropDownMenu!$CC$2:$CC$3</xm:f>
          </x14:formula1>
          <xm:sqref>AY2:AY5000</xm:sqref>
        </x14:dataValidation>
        <x14:dataValidation type="list" allowBlank="1" xr:uid="{00000000-0002-0000-0800-000050000000}">
          <x14:formula1>
            <xm:f>DropDownMenu!$CD$2:$CD$10</xm:f>
          </x14:formula1>
          <xm:sqref>BA2:BA5000</xm:sqref>
        </x14:dataValidation>
        <x14:dataValidation type="list" allowBlank="1" showInputMessage="1" showErrorMessage="1" xr:uid="{00000000-0002-0000-0800-000051000000}">
          <x14:formula1>
            <xm:f>DropDownMenu!$A$2:$A$3</xm:f>
          </x14:formula1>
          <xm:sqref>A40:A5000</xm:sqref>
        </x14:dataValidation>
        <x14:dataValidation type="list" allowBlank="1" showInputMessage="1" showErrorMessage="1" xr:uid="{00000000-0002-0000-0800-000052000000}">
          <x14:formula1>
            <xm:f>DropDownMenu!$B$2:$B$3</xm:f>
          </x14:formula1>
          <xm:sqref>B40:B5000</xm:sqref>
        </x14:dataValidation>
        <x14:dataValidation type="list" allowBlank="1" showInputMessage="1" showErrorMessage="1" xr:uid="{00000000-0002-0000-0800-000053000000}">
          <x14:formula1>
            <xm:f>DropDownMenu!$C$2:$C$3</xm:f>
          </x14:formula1>
          <xm:sqref>D40:D5000</xm:sqref>
        </x14:dataValidation>
        <x14:dataValidation type="list" allowBlank="1" showInputMessage="1" showErrorMessage="1" xr:uid="{00000000-0002-0000-0800-000054000000}">
          <x14:formula1>
            <xm:f>DropDownMenu!$D$2:$D$3</xm:f>
          </x14:formula1>
          <xm:sqref>E40:E5000</xm:sqref>
        </x14:dataValidation>
        <x14:dataValidation type="list" allowBlank="1" showInputMessage="1" showErrorMessage="1" xr:uid="{00000000-0002-0000-0800-000055000000}">
          <x14:formula1>
            <xm:f>DropDownMenu!$E$2:$E$3</xm:f>
          </x14:formula1>
          <xm:sqref>F40:F5000</xm:sqref>
        </x14:dataValidation>
        <x14:dataValidation type="list" allowBlank="1" showInputMessage="1" showErrorMessage="1" xr:uid="{00000000-0002-0000-0800-000056000000}">
          <x14:formula1>
            <xm:f>DropDownMenu!$G$2:$G$19</xm:f>
          </x14:formula1>
          <xm:sqref>G40:G5000</xm:sqref>
        </x14:dataValidation>
        <x14:dataValidation type="list" allowBlank="1" showInputMessage="1" showErrorMessage="1" xr:uid="{00000000-0002-0000-0800-000057000000}">
          <x14:formula1>
            <xm:f>DropDownMenu!$H$2:$H$564</xm:f>
          </x14:formula1>
          <xm:sqref>H2:H5000</xm:sqref>
        </x14:dataValidation>
        <x14:dataValidation type="list" allowBlank="1" showInputMessage="1" showErrorMessage="1" xr:uid="{00000000-0002-0000-0800-000058000000}">
          <x14:formula1>
            <xm:f>DropDownMenu!$I$2:$I$352</xm:f>
          </x14:formula1>
          <xm:sqref>I2:I5000</xm:sqref>
        </x14:dataValidation>
        <x14:dataValidation type="list" allowBlank="1" showInputMessage="1" showErrorMessage="1" xr:uid="{00000000-0002-0000-0800-000059000000}">
          <x14:formula1>
            <xm:f>DropDownMenu!$J$2:$J$10</xm:f>
          </x14:formula1>
          <xm:sqref>J2:J5000</xm:sqref>
        </x14:dataValidation>
        <x14:dataValidation type="list" allowBlank="1" showInputMessage="1" showErrorMessage="1" xr:uid="{00000000-0002-0000-0800-00005A000000}">
          <x14:formula1>
            <xm:f>DropDownMenu!$K$2:$K$101</xm:f>
          </x14:formula1>
          <xm:sqref>K2:K5000</xm:sqref>
        </x14:dataValidation>
        <x14:dataValidation type="list" allowBlank="1" showInputMessage="1" showErrorMessage="1" xr:uid="{00000000-0002-0000-0800-00005B000000}">
          <x14:formula1>
            <xm:f>DropDownMenu!$L$2:$L$42</xm:f>
          </x14:formula1>
          <xm:sqref>L2:L5000</xm:sqref>
        </x14:dataValidation>
        <x14:dataValidation type="list" allowBlank="1" showInputMessage="1" showErrorMessage="1" xr:uid="{00000000-0002-0000-0800-00005C000000}">
          <x14:formula1>
            <xm:f>DropDownMenu!$M$2:$M$16</xm:f>
          </x14:formula1>
          <xm:sqref>M2:M5000</xm:sqref>
        </x14:dataValidation>
        <x14:dataValidation type="list" allowBlank="1" showInputMessage="1" showErrorMessage="1" xr:uid="{00000000-0002-0000-0800-00005D000000}">
          <x14:formula1>
            <xm:f>DropDownMenu!$N$2:$N$140</xm:f>
          </x14:formula1>
          <xm:sqref>N2:N5000</xm:sqref>
        </x14:dataValidation>
        <x14:dataValidation type="list" allowBlank="1" showInputMessage="1" showErrorMessage="1" xr:uid="{00000000-0002-0000-0800-00005E000000}">
          <x14:formula1>
            <xm:f>DropDownMenu!$O$2:$O$65</xm:f>
          </x14:formula1>
          <xm:sqref>O2:O5000</xm:sqref>
        </x14:dataValidation>
        <x14:dataValidation type="list" allowBlank="1" showInputMessage="1" showErrorMessage="1" xr:uid="{00000000-0002-0000-0800-00005F000000}">
          <x14:formula1>
            <xm:f>DropDownMenu!$P$2:$P$45</xm:f>
          </x14:formula1>
          <xm:sqref>Q2:Q5000</xm:sqref>
        </x14:dataValidation>
        <x14:dataValidation type="list" allowBlank="1" showInputMessage="1" showErrorMessage="1" xr:uid="{00000000-0002-0000-0800-000060000000}">
          <x14:formula1>
            <xm:f>DropDownMenu!$Q$2:$Q$5</xm:f>
          </x14:formula1>
          <xm:sqref>R2:R5000</xm:sqref>
        </x14:dataValidation>
        <x14:dataValidation type="list" allowBlank="1" showInputMessage="1" showErrorMessage="1" xr:uid="{00000000-0002-0000-0800-000061000000}">
          <x14:formula1>
            <xm:f>DropDownMenu!$R$2:$R$7</xm:f>
          </x14:formula1>
          <xm:sqref>S2:S5000</xm:sqref>
        </x14:dataValidation>
        <x14:dataValidation type="list" allowBlank="1" showInputMessage="1" showErrorMessage="1" xr:uid="{00000000-0002-0000-0800-000062000000}">
          <x14:formula1>
            <xm:f>DropDownMenu!$S$2:$S$11</xm:f>
          </x14:formula1>
          <xm:sqref>T2:T5000</xm:sqref>
        </x14:dataValidation>
        <x14:dataValidation type="list" allowBlank="1" showInputMessage="1" showErrorMessage="1" xr:uid="{00000000-0002-0000-0800-000063000000}">
          <x14:formula1>
            <xm:f>DropDownMenu!$T$2:$T$13</xm:f>
          </x14:formula1>
          <xm:sqref>U2:U5000</xm:sqref>
        </x14:dataValidation>
        <x14:dataValidation type="list" allowBlank="1" showInputMessage="1" showErrorMessage="1" xr:uid="{00000000-0002-0000-0800-000064000000}">
          <x14:formula1>
            <xm:f>DropDownMenu!$U$2:$U$5</xm:f>
          </x14:formula1>
          <xm:sqref>CR2:CR5000</xm:sqref>
        </x14:dataValidation>
        <x14:dataValidation type="list" allowBlank="1" showInputMessage="1" showErrorMessage="1" xr:uid="{00000000-0002-0000-0800-000065000000}">
          <x14:formula1>
            <xm:f>DropDownMenu!$V$2:$V$4</xm:f>
          </x14:formula1>
          <xm:sqref>V2:V5000</xm:sqref>
        </x14:dataValidation>
        <x14:dataValidation type="list" allowBlank="1" showInputMessage="1" showErrorMessage="1" xr:uid="{00000000-0002-0000-0800-000066000000}">
          <x14:formula1>
            <xm:f>DropDownMenu!$W$2:$W$6</xm:f>
          </x14:formula1>
          <xm:sqref>CU2:CU5000</xm:sqref>
        </x14:dataValidation>
        <x14:dataValidation type="list" allowBlank="1" showInputMessage="1" showErrorMessage="1" xr:uid="{00000000-0002-0000-0800-000067000000}">
          <x14:formula1>
            <xm:f>DropDownMenu!$X$2:$X$26</xm:f>
          </x14:formula1>
          <xm:sqref>W2:W5000</xm:sqref>
        </x14:dataValidation>
        <x14:dataValidation type="list" allowBlank="1" showInputMessage="1" showErrorMessage="1" xr:uid="{00000000-0002-0000-0800-000068000000}">
          <x14:formula1>
            <xm:f>DropDownMenu!$Y$2:$Y$7</xm:f>
          </x14:formula1>
          <xm:sqref>X2:X5000</xm:sqref>
        </x14:dataValidation>
        <x14:dataValidation type="list" allowBlank="1" showInputMessage="1" showErrorMessage="1" xr:uid="{00000000-0002-0000-0800-000069000000}">
          <x14:formula1>
            <xm:f>DropDownMenu!$Z$2:$Z$15</xm:f>
          </x14:formula1>
          <xm:sqref>Y2:Y5000</xm:sqref>
        </x14:dataValidation>
        <x14:dataValidation type="list" allowBlank="1" showInputMessage="1" showErrorMessage="1" xr:uid="{00000000-0002-0000-0800-00006A000000}">
          <x14:formula1>
            <xm:f>DropDownMenu!$AA$2:$AA$6</xm:f>
          </x14:formula1>
          <xm:sqref>Z2:Z5000</xm:sqref>
        </x14:dataValidation>
        <x14:dataValidation type="list" allowBlank="1" showInputMessage="1" showErrorMessage="1" xr:uid="{00000000-0002-0000-0800-00006B000000}">
          <x14:formula1>
            <xm:f>DropDownMenu!$AB$2:$AB$7</xm:f>
          </x14:formula1>
          <xm:sqref>AA2:AA5000</xm:sqref>
        </x14:dataValidation>
        <x14:dataValidation type="list" allowBlank="1" showInputMessage="1" showErrorMessage="1" xr:uid="{00000000-0002-0000-0800-00006C000000}">
          <x14:formula1>
            <xm:f>DropDownMenu!$AC$2:$AC$49</xm:f>
          </x14:formula1>
          <xm:sqref>AD2:AD5000</xm:sqref>
        </x14:dataValidation>
        <x14:dataValidation type="list" allowBlank="1" showInputMessage="1" showErrorMessage="1" xr:uid="{00000000-0002-0000-0800-00006D000000}">
          <x14:formula1>
            <xm:f>DropDownMenu!$AD$2:$AD$52</xm:f>
          </x14:formula1>
          <xm:sqref>AE2:AE5000</xm:sqref>
        </x14:dataValidation>
        <x14:dataValidation type="list" allowBlank="1" showInputMessage="1" showErrorMessage="1" xr:uid="{00000000-0002-0000-0800-00006E000000}">
          <x14:formula1>
            <xm:f>DropDownMenu!$AE$2:$AE$9</xm:f>
          </x14:formula1>
          <xm:sqref>AH2:AH5000</xm:sqref>
        </x14:dataValidation>
        <x14:dataValidation type="list" allowBlank="1" showInputMessage="1" showErrorMessage="1" xr:uid="{00000000-0002-0000-0800-00006F000000}">
          <x14:formula1>
            <xm:f>DropDownMenu!$AF$2:$AF$6</xm:f>
          </x14:formula1>
          <xm:sqref>AI2:AI5000</xm:sqref>
        </x14:dataValidation>
        <x14:dataValidation type="list" allowBlank="1" showInputMessage="1" showErrorMessage="1" xr:uid="{00000000-0002-0000-0800-000070000000}">
          <x14:formula1>
            <xm:f>DropDownMenu!$AG$2:$AG$11</xm:f>
          </x14:formula1>
          <xm:sqref>AJ2:AJ5000</xm:sqref>
        </x14:dataValidation>
        <x14:dataValidation type="list" allowBlank="1" showInputMessage="1" showErrorMessage="1" xr:uid="{00000000-0002-0000-0800-000071000000}">
          <x14:formula1>
            <xm:f>DropDownMenu!$AH$2:$AH$2</xm:f>
          </x14:formula1>
          <xm:sqref>AK2:AK5000</xm:sqref>
        </x14:dataValidation>
        <x14:dataValidation type="list" allowBlank="1" showInputMessage="1" showErrorMessage="1" xr:uid="{00000000-0002-0000-0800-000072000000}">
          <x14:formula1>
            <xm:f>DropDownMenu!$AI$2:$AI$2</xm:f>
          </x14:formula1>
          <xm:sqref>AL2:AL5000</xm:sqref>
        </x14:dataValidation>
        <x14:dataValidation type="list" allowBlank="1" showInputMessage="1" showErrorMessage="1" xr:uid="{00000000-0002-0000-0800-000073000000}">
          <x14:formula1>
            <xm:f>DropDownMenu!$AJ$2:$AJ$2</xm:f>
          </x14:formula1>
          <xm:sqref>AM2:AM5000</xm:sqref>
        </x14:dataValidation>
        <x14:dataValidation type="list" allowBlank="1" showInputMessage="1" showErrorMessage="1" xr:uid="{00000000-0002-0000-0800-000074000000}">
          <x14:formula1>
            <xm:f>DropDownMenu!$AK$2:$AK$2</xm:f>
          </x14:formula1>
          <xm:sqref>AN2:AN5000</xm:sqref>
        </x14:dataValidation>
        <x14:dataValidation type="list" allowBlank="1" showInputMessage="1" showErrorMessage="1" xr:uid="{00000000-0002-0000-0800-000075000000}">
          <x14:formula1>
            <xm:f>DropDownMenu!$AL$2:$AL$2</xm:f>
          </x14:formula1>
          <xm:sqref>AO2:AO5000</xm:sqref>
        </x14:dataValidation>
        <x14:dataValidation type="list" allowBlank="1" showInputMessage="1" showErrorMessage="1" xr:uid="{00000000-0002-0000-0800-000076000000}">
          <x14:formula1>
            <xm:f>DropDownMenu!$AM$2:$AM$5</xm:f>
          </x14:formula1>
          <xm:sqref>CS2:CS5000</xm:sqref>
        </x14:dataValidation>
        <x14:dataValidation type="list" allowBlank="1" showInputMessage="1" showErrorMessage="1" xr:uid="{00000000-0002-0000-0800-000077000000}">
          <x14:formula1>
            <xm:f>DropDownMenu!$AN$2:$AN$13</xm:f>
          </x14:formula1>
          <xm:sqref>AR2:AR5000</xm:sqref>
        </x14:dataValidation>
        <x14:dataValidation type="list" allowBlank="1" showInputMessage="1" showErrorMessage="1" xr:uid="{00000000-0002-0000-0800-000078000000}">
          <x14:formula1>
            <xm:f>DropDownMenu!$AO$2:$AO$40</xm:f>
          </x14:formula1>
          <xm:sqref>AS2:AS5000</xm:sqref>
        </x14:dataValidation>
        <x14:dataValidation type="list" allowBlank="1" showInputMessage="1" showErrorMessage="1" xr:uid="{00000000-0002-0000-0800-000079000000}">
          <x14:formula1>
            <xm:f>DropDownMenu!$AP$2:$AP$274</xm:f>
          </x14:formula1>
          <xm:sqref>AT2:AT5000</xm:sqref>
        </x14:dataValidation>
        <x14:dataValidation type="list" allowBlank="1" showInputMessage="1" showErrorMessage="1" xr:uid="{00000000-0002-0000-0800-00007A000000}">
          <x14:formula1>
            <xm:f>DropDownMenu!$AQ$2:$AQ$9</xm:f>
          </x14:formula1>
          <xm:sqref>BB2:BB5000</xm:sqref>
        </x14:dataValidation>
        <x14:dataValidation type="list" allowBlank="1" showInputMessage="1" showErrorMessage="1" xr:uid="{00000000-0002-0000-0800-00007B000000}">
          <x14:formula1>
            <xm:f>DropDownMenu!$AR$2:$AR$11</xm:f>
          </x14:formula1>
          <xm:sqref>BC2:BC5000</xm:sqref>
        </x14:dataValidation>
        <x14:dataValidation type="list" allowBlank="1" showInputMessage="1" showErrorMessage="1" xr:uid="{00000000-0002-0000-0800-00007C000000}">
          <x14:formula1>
            <xm:f>DropDownMenu!$AS$2:$AS$3</xm:f>
          </x14:formula1>
          <xm:sqref>BD2:BD5000</xm:sqref>
        </x14:dataValidation>
        <x14:dataValidation type="list" allowBlank="1" showInputMessage="1" showErrorMessage="1" xr:uid="{00000000-0002-0000-0800-00007D000000}">
          <x14:formula1>
            <xm:f>DropDownMenu!$AT$2:$AT$4</xm:f>
          </x14:formula1>
          <xm:sqref>BE2:BE5000</xm:sqref>
        </x14:dataValidation>
        <x14:dataValidation type="list" allowBlank="1" showInputMessage="1" showErrorMessage="1" xr:uid="{00000000-0002-0000-0800-00007E000000}">
          <x14:formula1>
            <xm:f>DropDownMenu!$AU$2:$AU$2</xm:f>
          </x14:formula1>
          <xm:sqref>BG2:BG5000</xm:sqref>
        </x14:dataValidation>
        <x14:dataValidation type="list" allowBlank="1" showInputMessage="1" showErrorMessage="1" xr:uid="{00000000-0002-0000-0800-00007F000000}">
          <x14:formula1>
            <xm:f>DropDownMenu!$AV$2:$AV$9</xm:f>
          </x14:formula1>
          <xm:sqref>BH2:BH5000</xm:sqref>
        </x14:dataValidation>
        <x14:dataValidation type="list" allowBlank="1" showInputMessage="1" showErrorMessage="1" xr:uid="{00000000-0002-0000-0800-000080000000}">
          <x14:formula1>
            <xm:f>DropDownMenu!$AW$2:$AW$81</xm:f>
          </x14:formula1>
          <xm:sqref>BI2:BI5000</xm:sqref>
        </x14:dataValidation>
        <x14:dataValidation type="list" allowBlank="1" showInputMessage="1" showErrorMessage="1" xr:uid="{00000000-0002-0000-0800-000081000000}">
          <x14:formula1>
            <xm:f>DropDownMenu!$AX$2:$AX$3</xm:f>
          </x14:formula1>
          <xm:sqref>BJ2:BJ5000</xm:sqref>
        </x14:dataValidation>
        <x14:dataValidation type="list" allowBlank="1" showInputMessage="1" showErrorMessage="1" xr:uid="{00000000-0002-0000-0800-000082000000}">
          <x14:formula1>
            <xm:f>DropDownMenu!$AY$2:$AY$7</xm:f>
          </x14:formula1>
          <xm:sqref>BK2:BK5000</xm:sqref>
        </x14:dataValidation>
        <x14:dataValidation type="list" allowBlank="1" showInputMessage="1" showErrorMessage="1" xr:uid="{00000000-0002-0000-0800-000083000000}">
          <x14:formula1>
            <xm:f>DropDownMenu!$AZ$2:$AZ$9</xm:f>
          </x14:formula1>
          <xm:sqref>BL2:BL5000</xm:sqref>
        </x14:dataValidation>
        <x14:dataValidation type="list" allowBlank="1" showInputMessage="1" showErrorMessage="1" xr:uid="{00000000-0002-0000-0800-000084000000}">
          <x14:formula1>
            <xm:f>DropDownMenu!$BA$2:$BA$9</xm:f>
          </x14:formula1>
          <xm:sqref>BM2:BM5000</xm:sqref>
        </x14:dataValidation>
        <x14:dataValidation type="list" allowBlank="1" showInputMessage="1" showErrorMessage="1" xr:uid="{00000000-0002-0000-0800-000085000000}">
          <x14:formula1>
            <xm:f>DropDownMenu!$BB$2:$BB$3</xm:f>
          </x14:formula1>
          <xm:sqref>BN2:BN5000</xm:sqref>
        </x14:dataValidation>
        <x14:dataValidation type="list" allowBlank="1" showInputMessage="1" showErrorMessage="1" xr:uid="{00000000-0002-0000-0800-000086000000}">
          <x14:formula1>
            <xm:f>DropDownMenu!$BC$2:$BC$2</xm:f>
          </x14:formula1>
          <xm:sqref>BO2:BO5000</xm:sqref>
        </x14:dataValidation>
        <x14:dataValidation type="list" allowBlank="1" showInputMessage="1" showErrorMessage="1" xr:uid="{00000000-0002-0000-0800-000087000000}">
          <x14:formula1>
            <xm:f>DropDownMenu!$BD$2:$BD$29</xm:f>
          </x14:formula1>
          <xm:sqref>BQ2:BQ5000</xm:sqref>
        </x14:dataValidation>
        <x14:dataValidation type="list" allowBlank="1" showInputMessage="1" showErrorMessage="1" xr:uid="{00000000-0002-0000-0800-000088000000}">
          <x14:formula1>
            <xm:f>DropDownMenu!$BE$2:$BE$2</xm:f>
          </x14:formula1>
          <xm:sqref>BT2:BT5000</xm:sqref>
        </x14:dataValidation>
        <x14:dataValidation type="list" allowBlank="1" showInputMessage="1" showErrorMessage="1" xr:uid="{00000000-0002-0000-0800-000089000000}">
          <x14:formula1>
            <xm:f>DropDownMenu!$BF$2:$BF$33</xm:f>
          </x14:formula1>
          <xm:sqref>BU2:BU5000</xm:sqref>
        </x14:dataValidation>
        <x14:dataValidation type="list" allowBlank="1" showInputMessage="1" showErrorMessage="1" xr:uid="{00000000-0002-0000-0800-00008A000000}">
          <x14:formula1>
            <xm:f>DropDownMenu!$BG$2:$BG$2</xm:f>
          </x14:formula1>
          <xm:sqref>BV2:BV5000</xm:sqref>
        </x14:dataValidation>
        <x14:dataValidation type="list" allowBlank="1" showInputMessage="1" showErrorMessage="1" xr:uid="{00000000-0002-0000-0800-00008B000000}">
          <x14:formula1>
            <xm:f>DropDownMenu!$BH$2:$BH$4</xm:f>
          </x14:formula1>
          <xm:sqref>AW2:AW5000</xm:sqref>
        </x14:dataValidation>
        <x14:dataValidation type="list" allowBlank="1" showInputMessage="1" showErrorMessage="1" xr:uid="{00000000-0002-0000-0800-00008C000000}">
          <x14:formula1>
            <xm:f>DropDownMenu!$BI$2:$BI$2</xm:f>
          </x14:formula1>
          <xm:sqref>BW2:BW5000</xm:sqref>
        </x14:dataValidation>
        <x14:dataValidation type="list" allowBlank="1" showInputMessage="1" showErrorMessage="1" xr:uid="{00000000-0002-0000-0800-00008D000000}">
          <x14:formula1>
            <xm:f>DropDownMenu!$BJ$2:$BJ$2</xm:f>
          </x14:formula1>
          <xm:sqref>BX2:BX5000</xm:sqref>
        </x14:dataValidation>
        <x14:dataValidation type="list" allowBlank="1" showInputMessage="1" showErrorMessage="1" xr:uid="{00000000-0002-0000-0800-00008E000000}">
          <x14:formula1>
            <xm:f>DropDownMenu!$BK$2:$BK$2</xm:f>
          </x14:formula1>
          <xm:sqref>BY2:BY5000</xm:sqref>
        </x14:dataValidation>
        <x14:dataValidation type="list" allowBlank="1" showInputMessage="1" showErrorMessage="1" xr:uid="{00000000-0002-0000-0800-00008F000000}">
          <x14:formula1>
            <xm:f>DropDownMenu!$BL$2:$BL$8</xm:f>
          </x14:formula1>
          <xm:sqref>BZ2:BZ5000</xm:sqref>
        </x14:dataValidation>
        <x14:dataValidation type="list" allowBlank="1" showInputMessage="1" showErrorMessage="1" xr:uid="{00000000-0002-0000-0800-000090000000}">
          <x14:formula1>
            <xm:f>DropDownMenu!$BM$2:$BM$8</xm:f>
          </x14:formula1>
          <xm:sqref>CA2:CA5000</xm:sqref>
        </x14:dataValidation>
        <x14:dataValidation type="list" allowBlank="1" showInputMessage="1" showErrorMessage="1" xr:uid="{00000000-0002-0000-0800-000091000000}">
          <x14:formula1>
            <xm:f>DropDownMenu!$BN$2:$BN$8</xm:f>
          </x14:formula1>
          <xm:sqref>CB2:CB5000</xm:sqref>
        </x14:dataValidation>
        <x14:dataValidation type="list" allowBlank="1" showInputMessage="1" showErrorMessage="1" xr:uid="{00000000-0002-0000-0800-000092000000}">
          <x14:formula1>
            <xm:f>DropDownMenu!$BO$2:$BO$6</xm:f>
          </x14:formula1>
          <xm:sqref>CC2:CC5000</xm:sqref>
        </x14:dataValidation>
        <x14:dataValidation type="list" allowBlank="1" showInputMessage="1" showErrorMessage="1" xr:uid="{00000000-0002-0000-0800-000093000000}">
          <x14:formula1>
            <xm:f>DropDownMenu!$BP$2:$BP$2</xm:f>
          </x14:formula1>
          <xm:sqref>CD2:CD5000</xm:sqref>
        </x14:dataValidation>
        <x14:dataValidation type="list" allowBlank="1" showInputMessage="1" showErrorMessage="1" xr:uid="{00000000-0002-0000-0800-000094000000}">
          <x14:formula1>
            <xm:f>DropDownMenu!$BQ$2:$BQ$2</xm:f>
          </x14:formula1>
          <xm:sqref>CE2:CE5000</xm:sqref>
        </x14:dataValidation>
        <x14:dataValidation type="list" allowBlank="1" showInputMessage="1" showErrorMessage="1" xr:uid="{00000000-0002-0000-0800-000095000000}">
          <x14:formula1>
            <xm:f>DropDownMenu!$BR$2:$BR$2</xm:f>
          </x14:formula1>
          <xm:sqref>CF2:CF5000</xm:sqref>
        </x14:dataValidation>
        <x14:dataValidation type="list" allowBlank="1" showInputMessage="1" showErrorMessage="1" xr:uid="{00000000-0002-0000-0800-000096000000}">
          <x14:formula1>
            <xm:f>DropDownMenu!$BS$2:$BS$2</xm:f>
          </x14:formula1>
          <xm:sqref>CG2:CG5000</xm:sqref>
        </x14:dataValidation>
        <x14:dataValidation type="list" allowBlank="1" showInputMessage="1" showErrorMessage="1" xr:uid="{00000000-0002-0000-0800-000097000000}">
          <x14:formula1>
            <xm:f>DropDownMenu!$BT$2:$BT$2</xm:f>
          </x14:formula1>
          <xm:sqref>CH2:CH5000</xm:sqref>
        </x14:dataValidation>
        <x14:dataValidation type="list" allowBlank="1" showInputMessage="1" showErrorMessage="1" xr:uid="{00000000-0002-0000-0800-000098000000}">
          <x14:formula1>
            <xm:f>DropDownMenu!$BU$2:$BU$2</xm:f>
          </x14:formula1>
          <xm:sqref>CN2:CN5000</xm:sqref>
        </x14:dataValidation>
        <x14:dataValidation type="list" allowBlank="1" showInputMessage="1" showErrorMessage="1" xr:uid="{00000000-0002-0000-0800-000099000000}">
          <x14:formula1>
            <xm:f>DropDownMenu!$BV$2:$BV$2</xm:f>
          </x14:formula1>
          <xm:sqref>CO2:CO5000</xm:sqref>
        </x14:dataValidation>
        <x14:dataValidation type="list" allowBlank="1" showInputMessage="1" showErrorMessage="1" xr:uid="{00000000-0002-0000-0800-00009A000000}">
          <x14:formula1>
            <xm:f>DropDownMenu!$BW$2:$BW$2</xm:f>
          </x14:formula1>
          <xm:sqref>CQ2:CQ5000</xm:sqref>
        </x14:dataValidation>
        <x14:dataValidation type="list" allowBlank="1" showInputMessage="1" showErrorMessage="1" xr:uid="{00000000-0002-0000-0800-00009B000000}">
          <x14:formula1>
            <xm:f>DropDownMenu!$BX$2:$BX$2</xm:f>
          </x14:formula1>
          <xm:sqref>CT2:CT5000</xm:sqref>
        </x14:dataValidation>
        <x14:dataValidation type="list" allowBlank="1" showInputMessage="1" showErrorMessage="1" xr:uid="{00000000-0002-0000-0800-00009C000000}">
          <x14:formula1>
            <xm:f>DropDownMenu!$BY$2:$BY$77</xm:f>
          </x14:formula1>
          <xm:sqref>AU2:AU5000</xm:sqref>
        </x14:dataValidation>
        <x14:dataValidation type="list" allowBlank="1" showInputMessage="1" showErrorMessage="1" xr:uid="{00000000-0002-0000-0800-00009D000000}">
          <x14:formula1>
            <xm:f>DropDownMenu!$BZ$2:$BZ$3</xm:f>
          </x14:formula1>
          <xm:sqref>CV2:CV5000</xm:sqref>
        </x14:dataValidation>
        <x14:dataValidation type="list" allowBlank="1" showInputMessage="1" showErrorMessage="1" xr:uid="{00000000-0002-0000-0800-00009E000000}">
          <x14:formula1>
            <xm:f>DropDownMenu!$CA$2:$CA$77</xm:f>
          </x14:formula1>
          <xm:sqref>AV2:AV5000</xm:sqref>
        </x14:dataValidation>
        <x14:dataValidation type="list" allowBlank="1" showInputMessage="1" showErrorMessage="1" xr:uid="{00000000-0002-0000-0800-00009F000000}">
          <x14:formula1>
            <xm:f>DropDownMenu!$CB$2:$CB$3</xm:f>
          </x14:formula1>
          <xm:sqref>AX2:AX5000</xm:sqref>
        </x14:dataValidation>
        <x14:dataValidation type="list" allowBlank="1" showInputMessage="1" showErrorMessage="1" xr:uid="{00000000-0002-0000-0800-0000A0000000}">
          <x14:formula1>
            <xm:f>DropDownMenu!$CC$2:$CC$3</xm:f>
          </x14:formula1>
          <xm:sqref>AY2:AY5000</xm:sqref>
        </x14:dataValidation>
        <x14:dataValidation type="list" allowBlank="1" showInputMessage="1" showErrorMessage="1" xr:uid="{00000000-0002-0000-0800-0000A1000000}">
          <x14:formula1>
            <xm:f>DropDownMenu!$CD$2:$CD$10</xm:f>
          </x14:formula1>
          <xm:sqref>BA2:BA5000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applyStyles="1" summaryRight="0"/>
  </sheetPr>
  <dimension ref="A1:FP44"/>
  <sheetViews>
    <sheetView workbookViewId="0">
      <pane xSplit="7" ySplit="1" topLeftCell="H2" activePane="bottomRight" state="frozen"/>
      <selection pane="topRight"/>
      <selection pane="bottomLeft"/>
      <selection pane="bottomRight" activeCell="AA42" sqref="AA42"/>
    </sheetView>
  </sheetViews>
  <sheetFormatPr baseColWidth="10" defaultColWidth="8.83203125" defaultRowHeight="15" outlineLevelCol="1" x14ac:dyDescent="0.2"/>
  <cols>
    <col min="1" max="6" width="4" customWidth="1"/>
    <col min="7" max="7" width="40" customWidth="1"/>
    <col min="8" max="8" width="4" customWidth="1"/>
    <col min="9" max="9" width="5.6640625" customWidth="1"/>
    <col min="10" max="10" width="7.6640625" customWidth="1"/>
    <col min="11" max="13" width="4" customWidth="1"/>
    <col min="14" max="14" width="13.6640625" customWidth="1"/>
    <col min="15" max="16" width="4" customWidth="1"/>
    <col min="17" max="22" width="4" customWidth="1" outlineLevel="1"/>
    <col min="23" max="23" width="4" customWidth="1"/>
    <col min="24" max="26" width="4" customWidth="1" outlineLevel="1"/>
    <col min="27" max="27" width="10" customWidth="1"/>
    <col min="28" max="34" width="10" customWidth="1" outlineLevel="1"/>
    <col min="35" max="35" width="4" customWidth="1"/>
    <col min="36" max="44" width="4" customWidth="1" outlineLevel="1"/>
    <col min="45" max="45" width="16.83203125" customWidth="1" outlineLevel="1"/>
    <col min="46" max="47" width="20" customWidth="1" outlineLevel="1"/>
    <col min="48" max="48" width="10" customWidth="1" outlineLevel="1"/>
    <col min="49" max="49" width="4" customWidth="1" outlineLevel="1"/>
    <col min="50" max="50" width="4" customWidth="1"/>
    <col min="51" max="51" width="4" customWidth="1" outlineLevel="1"/>
    <col min="52" max="52" width="6.5" customWidth="1" outlineLevel="1"/>
    <col min="53" max="53" width="20" customWidth="1" outlineLevel="1"/>
    <col min="54" max="54" width="4" customWidth="1"/>
    <col min="55" max="77" width="4" customWidth="1" outlineLevel="1"/>
    <col min="78" max="78" width="11.5" customWidth="1" outlineLevel="1"/>
    <col min="79" max="100" width="4" customWidth="1" outlineLevel="1"/>
  </cols>
  <sheetData>
    <row r="1" spans="1:172" ht="15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 t="s">
        <v>22</v>
      </c>
      <c r="X1" s="1" t="s">
        <v>23</v>
      </c>
      <c r="Y1" s="1" t="s">
        <v>24</v>
      </c>
      <c r="Z1" s="1" t="s">
        <v>25</v>
      </c>
      <c r="AA1" s="3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</row>
    <row r="2" spans="1:172" x14ac:dyDescent="0.2">
      <c r="A2" s="173" t="b">
        <v>0</v>
      </c>
      <c r="B2" s="173" t="b">
        <v>0</v>
      </c>
      <c r="C2" s="173" t="b">
        <v>1</v>
      </c>
      <c r="D2" s="173" t="b">
        <v>0</v>
      </c>
      <c r="E2" s="173" t="b">
        <v>0</v>
      </c>
      <c r="F2" s="173" t="b">
        <v>0</v>
      </c>
      <c r="G2" s="163" t="s">
        <v>765</v>
      </c>
      <c r="H2" s="163"/>
      <c r="I2" s="164"/>
      <c r="J2" s="163" t="s">
        <v>519</v>
      </c>
      <c r="K2" s="163" t="s">
        <v>472</v>
      </c>
      <c r="L2" s="163" t="s">
        <v>1522</v>
      </c>
      <c r="M2" s="163"/>
      <c r="N2" s="163" t="s">
        <v>609</v>
      </c>
      <c r="O2" s="163"/>
      <c r="P2" s="163"/>
      <c r="Q2" s="163"/>
      <c r="R2" s="163" t="s">
        <v>635</v>
      </c>
      <c r="S2" s="163"/>
      <c r="T2" s="163"/>
      <c r="U2" s="163"/>
      <c r="V2" s="163"/>
      <c r="W2" s="163" t="s">
        <v>129</v>
      </c>
      <c r="X2" s="163" t="s">
        <v>129</v>
      </c>
      <c r="Y2" s="163" t="s">
        <v>148</v>
      </c>
      <c r="Z2" s="163" t="s">
        <v>142</v>
      </c>
      <c r="AA2" s="68" t="s">
        <v>115</v>
      </c>
      <c r="AB2" s="68"/>
      <c r="AC2" s="68"/>
      <c r="AD2" s="68" t="s">
        <v>115</v>
      </c>
      <c r="AE2" s="68" t="s">
        <v>116</v>
      </c>
      <c r="AF2" s="68"/>
      <c r="AG2" s="68"/>
      <c r="AH2" s="68" t="s">
        <v>116</v>
      </c>
      <c r="AI2" s="163"/>
      <c r="AJ2" s="163"/>
      <c r="AK2" s="163"/>
      <c r="AL2" s="163"/>
      <c r="AM2" s="163"/>
      <c r="AN2" s="163"/>
      <c r="AO2" s="163"/>
      <c r="AP2" s="163"/>
      <c r="AQ2" s="163"/>
      <c r="AR2" s="163"/>
      <c r="AS2" s="163" t="s">
        <v>1523</v>
      </c>
      <c r="AT2" s="163" t="s">
        <v>612</v>
      </c>
      <c r="AU2" s="163" t="s">
        <v>1524</v>
      </c>
      <c r="AV2" s="163" t="s">
        <v>1525</v>
      </c>
      <c r="AW2" s="163" t="s">
        <v>121</v>
      </c>
      <c r="AX2" s="163" t="s">
        <v>122</v>
      </c>
      <c r="AY2" s="163"/>
      <c r="AZ2" s="163"/>
      <c r="BA2" s="163"/>
      <c r="BB2" s="163"/>
      <c r="BC2" s="163"/>
      <c r="BD2" s="163"/>
      <c r="BE2" s="163"/>
      <c r="BF2" s="163"/>
      <c r="BG2" s="163"/>
      <c r="BH2" s="163"/>
      <c r="BI2" s="163"/>
      <c r="BJ2" s="163"/>
      <c r="BK2" s="163"/>
      <c r="BL2" s="163" t="s">
        <v>249</v>
      </c>
      <c r="BM2" s="163"/>
      <c r="BN2" s="163"/>
      <c r="BO2" s="163"/>
      <c r="BP2" s="163"/>
      <c r="BQ2" s="163"/>
      <c r="BR2" s="163"/>
      <c r="BS2" s="163"/>
      <c r="BT2" s="163"/>
      <c r="BU2" s="163"/>
      <c r="BV2" s="163"/>
      <c r="BW2" s="163"/>
      <c r="BX2" s="163"/>
      <c r="BY2" s="163"/>
      <c r="BZ2" s="163"/>
      <c r="CA2" s="163"/>
      <c r="CB2" s="167"/>
      <c r="CC2" s="163"/>
      <c r="CD2" s="163"/>
      <c r="CE2" s="163"/>
      <c r="CF2" s="163"/>
      <c r="CG2" s="163"/>
      <c r="CH2" s="163"/>
      <c r="CI2" s="163"/>
      <c r="CJ2" s="163"/>
      <c r="CK2" s="163"/>
      <c r="CL2" s="163"/>
      <c r="CM2" s="164"/>
      <c r="CN2" s="164"/>
      <c r="CO2" s="164"/>
      <c r="CP2" s="164"/>
      <c r="CQ2" s="163"/>
      <c r="CR2" s="163"/>
      <c r="CS2" s="163"/>
      <c r="CT2" s="163"/>
      <c r="CU2" s="163"/>
      <c r="CV2" s="163"/>
      <c r="CW2" s="168"/>
      <c r="CX2" s="168"/>
      <c r="CY2" s="168"/>
      <c r="CZ2" s="168"/>
      <c r="DA2" s="168"/>
      <c r="DB2" s="168"/>
      <c r="DC2" s="168"/>
      <c r="DD2" s="168"/>
      <c r="DE2" s="168"/>
      <c r="DF2" s="168"/>
      <c r="DG2" s="168"/>
      <c r="DH2" s="168"/>
      <c r="DI2" s="168"/>
      <c r="DJ2" s="168"/>
      <c r="DK2" s="168"/>
      <c r="DL2" s="168"/>
      <c r="DM2" s="168"/>
      <c r="DN2" s="168"/>
      <c r="DO2" s="168"/>
      <c r="DP2" s="168"/>
      <c r="DQ2" s="168"/>
      <c r="DR2" s="168"/>
      <c r="DS2" s="168"/>
      <c r="DT2" s="168"/>
      <c r="DU2" s="168"/>
      <c r="DV2" s="168"/>
      <c r="DW2" s="168"/>
      <c r="DX2" s="168"/>
      <c r="DY2" s="168"/>
      <c r="DZ2" s="168"/>
      <c r="EA2" s="168"/>
      <c r="EB2" s="168"/>
      <c r="EC2" s="168"/>
      <c r="ED2" s="168"/>
      <c r="EE2" s="168"/>
      <c r="EF2" s="168"/>
      <c r="EG2" s="168"/>
      <c r="EH2" s="163"/>
      <c r="EI2" s="163"/>
      <c r="EJ2" s="163"/>
      <c r="EK2" s="163"/>
      <c r="EL2" s="163"/>
      <c r="EM2" s="163"/>
      <c r="EN2" s="163"/>
      <c r="EO2" s="163"/>
      <c r="EP2" s="163"/>
      <c r="EQ2" s="163"/>
      <c r="ER2" s="163"/>
      <c r="ES2" s="163"/>
      <c r="ET2" s="163"/>
      <c r="EU2" s="163"/>
      <c r="EV2" s="163"/>
      <c r="EW2" s="163"/>
      <c r="EX2" s="163"/>
      <c r="EY2" s="163"/>
      <c r="EZ2" s="163"/>
      <c r="FA2" s="163"/>
      <c r="FB2" s="163"/>
      <c r="FC2" s="163"/>
      <c r="FD2" s="163"/>
      <c r="FE2" s="163"/>
      <c r="FF2" s="163"/>
      <c r="FG2" s="163"/>
      <c r="FH2" s="163"/>
      <c r="FI2" s="163"/>
      <c r="FJ2" s="163"/>
      <c r="FK2" s="163"/>
      <c r="FL2" s="163"/>
      <c r="FM2" s="163"/>
      <c r="FN2" s="163"/>
      <c r="FO2" s="163"/>
      <c r="FP2" s="163"/>
    </row>
    <row r="3" spans="1:172" x14ac:dyDescent="0.2">
      <c r="A3" s="169" t="b">
        <v>0</v>
      </c>
      <c r="B3" s="169" t="b">
        <v>0</v>
      </c>
      <c r="C3" s="169" t="b">
        <v>1</v>
      </c>
      <c r="D3" s="169" t="b">
        <v>0</v>
      </c>
      <c r="E3" s="169" t="b">
        <v>0</v>
      </c>
      <c r="F3" s="169" t="b">
        <v>0</v>
      </c>
      <c r="G3" s="163" t="s">
        <v>765</v>
      </c>
      <c r="H3" s="100"/>
      <c r="I3" s="100"/>
      <c r="J3" s="100" t="s">
        <v>519</v>
      </c>
      <c r="K3" s="100" t="s">
        <v>472</v>
      </c>
      <c r="L3" s="100" t="s">
        <v>1526</v>
      </c>
      <c r="M3" s="100"/>
      <c r="N3" s="100" t="s">
        <v>609</v>
      </c>
      <c r="O3" s="100"/>
      <c r="P3" s="100"/>
      <c r="Q3" s="100"/>
      <c r="R3" s="100" t="s">
        <v>635</v>
      </c>
      <c r="S3" s="100"/>
      <c r="T3" s="100"/>
      <c r="U3" s="100"/>
      <c r="V3" s="100"/>
      <c r="W3" s="100" t="s">
        <v>134</v>
      </c>
      <c r="X3" s="100" t="s">
        <v>129</v>
      </c>
      <c r="Y3" s="100" t="s">
        <v>148</v>
      </c>
      <c r="Z3" s="100" t="s">
        <v>142</v>
      </c>
      <c r="AA3" s="68" t="s">
        <v>115</v>
      </c>
      <c r="AB3" s="68"/>
      <c r="AC3" s="68"/>
      <c r="AD3" s="68" t="s">
        <v>115</v>
      </c>
      <c r="AE3" s="68" t="s">
        <v>116</v>
      </c>
      <c r="AF3" s="68"/>
      <c r="AG3" s="68"/>
      <c r="AH3" s="68" t="s">
        <v>116</v>
      </c>
      <c r="AI3" s="100"/>
      <c r="AJ3" s="100"/>
      <c r="AK3" s="100"/>
      <c r="AL3" s="100"/>
      <c r="AM3" s="100"/>
      <c r="AN3" s="100"/>
      <c r="AO3" s="100"/>
      <c r="AP3" s="100"/>
      <c r="AQ3" s="100"/>
      <c r="AR3" s="100"/>
      <c r="AS3" s="100" t="s">
        <v>1527</v>
      </c>
      <c r="AT3" s="100" t="s">
        <v>612</v>
      </c>
      <c r="AU3" s="100" t="str">
        <f>IF($AT3="","",IFERROR(INDEX([2]InstructorMap!$B:$B, MATCH($AT3, [2]InstructorMap!$A:$A, 0)),""))</f>
        <v>cvine@andrews.edu</v>
      </c>
      <c r="AV3" s="100" t="str">
        <f>IF($AT3="","",IFERROR(INDEX([2]InstructorMap!$C:$C, MATCH($AT3, [2]InstructorMap!$A:$A, 0)),""))</f>
        <v>000093509</v>
      </c>
      <c r="AW3" s="163" t="s">
        <v>121</v>
      </c>
      <c r="AX3" s="163" t="s">
        <v>122</v>
      </c>
      <c r="AY3" s="100"/>
      <c r="AZ3" s="100"/>
      <c r="BA3" s="100"/>
      <c r="BB3" s="100"/>
      <c r="BC3" s="100"/>
      <c r="BD3" s="100"/>
      <c r="BE3" s="100"/>
      <c r="BF3" s="100"/>
      <c r="BG3" s="100"/>
      <c r="BH3" s="100"/>
      <c r="BI3" s="100"/>
      <c r="BJ3" s="100"/>
      <c r="BK3" s="100"/>
      <c r="BL3" s="100" t="s">
        <v>249</v>
      </c>
      <c r="BM3" s="100"/>
      <c r="BN3" s="100"/>
      <c r="BO3" s="100"/>
      <c r="BP3" s="100"/>
      <c r="BQ3" s="100"/>
      <c r="BR3" s="100"/>
      <c r="BS3" s="100"/>
      <c r="BT3" s="100"/>
      <c r="BU3" s="100"/>
      <c r="BV3" s="100"/>
      <c r="BW3" s="100"/>
      <c r="BX3" s="100"/>
      <c r="BY3" s="100"/>
      <c r="BZ3" s="100"/>
      <c r="CA3" s="100"/>
      <c r="CB3" s="100"/>
      <c r="CC3" s="100"/>
      <c r="CD3" s="100"/>
      <c r="CE3" s="100"/>
      <c r="CF3" s="100"/>
      <c r="CG3" s="100"/>
      <c r="CH3" s="100"/>
      <c r="CI3" s="100"/>
      <c r="CJ3" s="100"/>
      <c r="CK3" s="100"/>
      <c r="CL3" s="100"/>
      <c r="CM3" s="100"/>
      <c r="CN3" s="100"/>
      <c r="CO3" s="100"/>
      <c r="CP3" s="100"/>
      <c r="CQ3" s="100"/>
      <c r="CR3" s="100"/>
      <c r="CS3" s="100"/>
      <c r="CT3" s="100"/>
      <c r="CU3" s="100"/>
      <c r="CV3" s="100"/>
      <c r="CW3" s="168"/>
      <c r="CX3" s="168"/>
      <c r="CY3" s="168"/>
      <c r="CZ3" s="168"/>
      <c r="DA3" s="168"/>
      <c r="DB3" s="168"/>
      <c r="DC3" s="168"/>
      <c r="DD3" s="168"/>
      <c r="DE3" s="168"/>
      <c r="DF3" s="168"/>
      <c r="DG3" s="168"/>
      <c r="DH3" s="168"/>
      <c r="DI3" s="168"/>
      <c r="DJ3" s="168"/>
      <c r="DK3" s="168"/>
      <c r="DL3" s="168"/>
      <c r="DM3" s="168"/>
      <c r="DN3" s="168"/>
      <c r="DO3" s="168"/>
      <c r="DP3" s="168"/>
      <c r="DQ3" s="168"/>
      <c r="DR3" s="168"/>
      <c r="DS3" s="168"/>
      <c r="DT3" s="168"/>
      <c r="DU3" s="168"/>
      <c r="DV3" s="168"/>
      <c r="DW3" s="168"/>
      <c r="DX3" s="168"/>
      <c r="DY3" s="168"/>
      <c r="DZ3" s="168"/>
      <c r="EA3" s="168"/>
      <c r="EB3" s="168"/>
      <c r="EC3" s="168"/>
      <c r="ED3" s="168"/>
      <c r="EE3" s="168"/>
      <c r="EF3" s="168"/>
      <c r="EG3" s="168"/>
      <c r="EH3" s="163"/>
      <c r="EI3" s="163"/>
      <c r="EJ3" s="163"/>
      <c r="EK3" s="163"/>
      <c r="EL3" s="163"/>
      <c r="EM3" s="163"/>
      <c r="EN3" s="163"/>
      <c r="EO3" s="163"/>
      <c r="EP3" s="163"/>
      <c r="EQ3" s="163"/>
      <c r="ER3" s="163"/>
      <c r="ES3" s="163"/>
      <c r="ET3" s="163"/>
      <c r="EU3" s="163"/>
      <c r="EV3" s="163"/>
      <c r="EW3" s="163"/>
      <c r="EX3" s="163"/>
      <c r="EY3" s="163"/>
      <c r="EZ3" s="163"/>
      <c r="FA3" s="163"/>
      <c r="FB3" s="163"/>
      <c r="FC3" s="163"/>
      <c r="FD3" s="163"/>
      <c r="FE3" s="163"/>
      <c r="FF3" s="163"/>
      <c r="FG3" s="163"/>
      <c r="FH3" s="163"/>
      <c r="FI3" s="163"/>
      <c r="FJ3" s="163"/>
      <c r="FK3" s="163"/>
      <c r="FL3" s="163"/>
      <c r="FM3" s="163"/>
      <c r="FN3" s="163"/>
      <c r="FO3" s="163"/>
      <c r="FP3" s="100"/>
    </row>
    <row r="4" spans="1:172" x14ac:dyDescent="0.2">
      <c r="A4" s="169" t="b">
        <v>0</v>
      </c>
      <c r="B4" s="169" t="b">
        <v>0</v>
      </c>
      <c r="C4" s="169" t="b">
        <v>1</v>
      </c>
      <c r="D4" s="169" t="b">
        <v>0</v>
      </c>
      <c r="E4" s="169" t="b">
        <v>0</v>
      </c>
      <c r="F4" s="169" t="b">
        <v>0</v>
      </c>
      <c r="G4" s="163" t="s">
        <v>765</v>
      </c>
      <c r="H4" s="100"/>
      <c r="I4" s="100"/>
      <c r="J4" s="100" t="s">
        <v>519</v>
      </c>
      <c r="K4" s="100" t="s">
        <v>472</v>
      </c>
      <c r="L4" s="100" t="s">
        <v>814</v>
      </c>
      <c r="M4" s="100"/>
      <c r="N4" s="100" t="s">
        <v>609</v>
      </c>
      <c r="O4" s="100"/>
      <c r="P4" s="100"/>
      <c r="Q4" s="100"/>
      <c r="R4" s="100" t="s">
        <v>635</v>
      </c>
      <c r="S4" s="100"/>
      <c r="T4" s="100"/>
      <c r="U4" s="100"/>
      <c r="V4" s="100"/>
      <c r="W4" s="100" t="s">
        <v>134</v>
      </c>
      <c r="X4" s="100" t="s">
        <v>129</v>
      </c>
      <c r="Y4" s="100" t="s">
        <v>148</v>
      </c>
      <c r="Z4" s="100" t="s">
        <v>142</v>
      </c>
      <c r="AA4" s="68" t="s">
        <v>115</v>
      </c>
      <c r="AB4" s="68"/>
      <c r="AC4" s="68"/>
      <c r="AD4" s="68" t="s">
        <v>115</v>
      </c>
      <c r="AE4" s="68" t="s">
        <v>116</v>
      </c>
      <c r="AF4" s="68"/>
      <c r="AG4" s="68"/>
      <c r="AH4" s="68" t="s">
        <v>116</v>
      </c>
      <c r="AI4" s="100"/>
      <c r="AJ4" s="100"/>
      <c r="AK4" s="100"/>
      <c r="AL4" s="100"/>
      <c r="AM4" s="100"/>
      <c r="AN4" s="100"/>
      <c r="AO4" s="100"/>
      <c r="AP4" s="100"/>
      <c r="AQ4" s="100"/>
      <c r="AR4" s="100"/>
      <c r="AS4" s="100" t="s">
        <v>1528</v>
      </c>
      <c r="AT4" s="100" t="s">
        <v>612</v>
      </c>
      <c r="AU4" s="100" t="str">
        <f>IF($AT4="","",IFERROR(INDEX([2]InstructorMap!$B:$B, MATCH($AT4, [2]InstructorMap!$A:$A, 0)),""))</f>
        <v>cvine@andrews.edu</v>
      </c>
      <c r="AV4" s="100" t="str">
        <f>IF($AT4="","",IFERROR(INDEX([2]InstructorMap!$C:$C, MATCH($AT4, [2]InstructorMap!$A:$A, 0)),""))</f>
        <v>000093509</v>
      </c>
      <c r="AW4" s="163" t="s">
        <v>121</v>
      </c>
      <c r="AX4" s="163" t="s">
        <v>122</v>
      </c>
      <c r="AY4" s="100"/>
      <c r="AZ4" s="100"/>
      <c r="BA4" s="100"/>
      <c r="BB4" s="100"/>
      <c r="BC4" s="100"/>
      <c r="BD4" s="100"/>
      <c r="BE4" s="100"/>
      <c r="BF4" s="100"/>
      <c r="BG4" s="100"/>
      <c r="BH4" s="100"/>
      <c r="BI4" s="100"/>
      <c r="BJ4" s="100"/>
      <c r="BK4" s="100"/>
      <c r="BL4" s="163" t="s">
        <v>249</v>
      </c>
      <c r="BM4" s="100"/>
      <c r="BN4" s="100"/>
      <c r="BO4" s="100"/>
      <c r="BP4" s="100"/>
      <c r="BQ4" s="100"/>
      <c r="BR4" s="100"/>
      <c r="BS4" s="100"/>
      <c r="BT4" s="100"/>
      <c r="BU4" s="100"/>
      <c r="BV4" s="100"/>
      <c r="BW4" s="100"/>
      <c r="BX4" s="100"/>
      <c r="BY4" s="100"/>
      <c r="BZ4" s="100"/>
      <c r="CA4" s="100"/>
      <c r="CB4" s="100"/>
      <c r="CC4" s="100"/>
      <c r="CD4" s="100"/>
      <c r="CE4" s="100"/>
      <c r="CF4" s="100"/>
      <c r="CG4" s="100"/>
      <c r="CH4" s="100"/>
      <c r="CI4" s="100"/>
      <c r="CJ4" s="100"/>
      <c r="CK4" s="100"/>
      <c r="CL4" s="100"/>
      <c r="CM4" s="100"/>
      <c r="CN4" s="100"/>
      <c r="CO4" s="100"/>
      <c r="CP4" s="100"/>
      <c r="CQ4" s="100"/>
      <c r="CR4" s="100"/>
      <c r="CS4" s="100"/>
      <c r="CT4" s="100"/>
      <c r="CU4" s="100"/>
      <c r="CV4" s="100"/>
      <c r="CW4" s="168"/>
      <c r="CX4" s="168"/>
      <c r="CY4" s="168"/>
      <c r="CZ4" s="168"/>
      <c r="DA4" s="168"/>
      <c r="DB4" s="168"/>
      <c r="DC4" s="168"/>
      <c r="DD4" s="168"/>
      <c r="DE4" s="168"/>
      <c r="DF4" s="168"/>
      <c r="DG4" s="168"/>
      <c r="DH4" s="168"/>
      <c r="DI4" s="168"/>
      <c r="DJ4" s="168"/>
      <c r="DK4" s="168"/>
      <c r="DL4" s="168"/>
      <c r="DM4" s="168"/>
      <c r="DN4" s="168"/>
      <c r="DO4" s="168"/>
      <c r="DP4" s="168"/>
      <c r="DQ4" s="168"/>
      <c r="DR4" s="168"/>
      <c r="DS4" s="168"/>
      <c r="DT4" s="168"/>
      <c r="DU4" s="168"/>
      <c r="DV4" s="168"/>
      <c r="DW4" s="168"/>
      <c r="DX4" s="168"/>
      <c r="DY4" s="168"/>
      <c r="DZ4" s="168"/>
      <c r="EA4" s="168"/>
      <c r="EB4" s="168"/>
      <c r="EC4" s="168"/>
      <c r="ED4" s="168"/>
      <c r="EE4" s="168"/>
      <c r="EF4" s="168"/>
      <c r="EG4" s="168"/>
      <c r="EH4" s="163"/>
      <c r="EI4" s="163"/>
      <c r="EJ4" s="163"/>
      <c r="EK4" s="163"/>
      <c r="EL4" s="163"/>
      <c r="EM4" s="163"/>
      <c r="EN4" s="163"/>
      <c r="EO4" s="163"/>
      <c r="EP4" s="163"/>
      <c r="EQ4" s="163"/>
      <c r="ER4" s="163"/>
      <c r="ES4" s="163"/>
      <c r="ET4" s="163"/>
      <c r="EU4" s="163"/>
      <c r="EV4" s="163"/>
      <c r="EW4" s="163"/>
      <c r="EX4" s="163"/>
      <c r="EY4" s="163"/>
      <c r="EZ4" s="163"/>
      <c r="FA4" s="163"/>
      <c r="FB4" s="163"/>
      <c r="FC4" s="163"/>
      <c r="FD4" s="163"/>
      <c r="FE4" s="163"/>
      <c r="FF4" s="163"/>
      <c r="FG4" s="163"/>
      <c r="FH4" s="163"/>
      <c r="FI4" s="163"/>
      <c r="FJ4" s="163"/>
      <c r="FK4" s="163"/>
      <c r="FL4" s="163"/>
      <c r="FM4" s="163"/>
      <c r="FN4" s="163"/>
      <c r="FO4" s="163"/>
      <c r="FP4" s="170"/>
    </row>
    <row r="5" spans="1:172" x14ac:dyDescent="0.2">
      <c r="A5" s="169" t="b">
        <v>0</v>
      </c>
      <c r="B5" s="169" t="b">
        <v>0</v>
      </c>
      <c r="C5" s="169" t="b">
        <v>1</v>
      </c>
      <c r="D5" s="169" t="b">
        <v>0</v>
      </c>
      <c r="E5" s="169" t="b">
        <v>0</v>
      </c>
      <c r="F5" s="169" t="b">
        <v>0</v>
      </c>
      <c r="G5" s="163" t="s">
        <v>765</v>
      </c>
      <c r="H5" s="100"/>
      <c r="I5" s="100"/>
      <c r="J5" s="100" t="s">
        <v>519</v>
      </c>
      <c r="K5" s="100" t="s">
        <v>472</v>
      </c>
      <c r="L5" s="100" t="s">
        <v>1529</v>
      </c>
      <c r="M5" s="100"/>
      <c r="N5" s="100" t="s">
        <v>609</v>
      </c>
      <c r="O5" s="100"/>
      <c r="P5" s="100"/>
      <c r="Q5" s="100"/>
      <c r="R5" s="100" t="s">
        <v>635</v>
      </c>
      <c r="S5" s="100"/>
      <c r="T5" s="100"/>
      <c r="U5" s="100"/>
      <c r="V5" s="100"/>
      <c r="W5" s="100" t="s">
        <v>134</v>
      </c>
      <c r="X5" s="100" t="s">
        <v>129</v>
      </c>
      <c r="Y5" s="100" t="s">
        <v>148</v>
      </c>
      <c r="Z5" s="100" t="s">
        <v>142</v>
      </c>
      <c r="AA5" s="68" t="s">
        <v>115</v>
      </c>
      <c r="AB5" s="68"/>
      <c r="AC5" s="68"/>
      <c r="AD5" s="68" t="s">
        <v>115</v>
      </c>
      <c r="AE5" s="68" t="s">
        <v>116</v>
      </c>
      <c r="AF5" s="68"/>
      <c r="AG5" s="68"/>
      <c r="AH5" s="68" t="s">
        <v>116</v>
      </c>
      <c r="AI5" s="100"/>
      <c r="AJ5" s="100"/>
      <c r="AK5" s="100"/>
      <c r="AL5" s="100"/>
      <c r="AM5" s="100"/>
      <c r="AN5" s="100"/>
      <c r="AO5" s="100"/>
      <c r="AP5" s="100"/>
      <c r="AQ5" s="100"/>
      <c r="AR5" s="100"/>
      <c r="AS5" s="100" t="s">
        <v>1530</v>
      </c>
      <c r="AT5" s="100" t="s">
        <v>612</v>
      </c>
      <c r="AU5" s="100" t="str">
        <f>IF($AT5="","",IFERROR(INDEX([2]InstructorMap!$B:$B, MATCH($AT5, [2]InstructorMap!$A:$A, 0)),""))</f>
        <v>cvine@andrews.edu</v>
      </c>
      <c r="AV5" s="100" t="str">
        <f>IF($AT5="","",IFERROR(INDEX([2]InstructorMap!$C:$C, MATCH($AT5, [2]InstructorMap!$A:$A, 0)),""))</f>
        <v>000093509</v>
      </c>
      <c r="AW5" s="163" t="s">
        <v>121</v>
      </c>
      <c r="AX5" s="163" t="s">
        <v>122</v>
      </c>
      <c r="AY5" s="100"/>
      <c r="AZ5" s="100"/>
      <c r="BA5" s="100"/>
      <c r="BB5" s="100"/>
      <c r="BC5" s="100"/>
      <c r="BD5" s="100"/>
      <c r="BE5" s="100"/>
      <c r="BF5" s="100"/>
      <c r="BG5" s="100"/>
      <c r="BH5" s="100"/>
      <c r="BI5" s="100"/>
      <c r="BJ5" s="100"/>
      <c r="BK5" s="100"/>
      <c r="BL5" s="163" t="s">
        <v>249</v>
      </c>
      <c r="BM5" s="100"/>
      <c r="BN5" s="100"/>
      <c r="BO5" s="100"/>
      <c r="BP5" s="100"/>
      <c r="BQ5" s="100"/>
      <c r="BR5" s="100"/>
      <c r="BS5" s="100"/>
      <c r="BT5" s="100"/>
      <c r="BU5" s="100"/>
      <c r="BV5" s="100"/>
      <c r="BW5" s="100"/>
      <c r="BX5" s="100"/>
      <c r="BY5" s="100"/>
      <c r="BZ5" s="100"/>
      <c r="CA5" s="100"/>
      <c r="CB5" s="100"/>
      <c r="CC5" s="100"/>
      <c r="CD5" s="100"/>
      <c r="CE5" s="100"/>
      <c r="CF5" s="100"/>
      <c r="CG5" s="100"/>
      <c r="CH5" s="100"/>
      <c r="CI5" s="100"/>
      <c r="CJ5" s="100"/>
      <c r="CK5" s="100"/>
      <c r="CL5" s="100"/>
      <c r="CM5" s="100"/>
      <c r="CN5" s="100"/>
      <c r="CO5" s="100"/>
      <c r="CP5" s="100"/>
      <c r="CQ5" s="100"/>
      <c r="CR5" s="100"/>
      <c r="CS5" s="100"/>
      <c r="CT5" s="100"/>
      <c r="CU5" s="100"/>
      <c r="CV5" s="100"/>
      <c r="CW5" s="168"/>
      <c r="CX5" s="168"/>
      <c r="CY5" s="168"/>
      <c r="CZ5" s="168"/>
      <c r="DA5" s="168"/>
      <c r="DB5" s="168"/>
      <c r="DC5" s="168"/>
      <c r="DD5" s="168"/>
      <c r="DE5" s="168"/>
      <c r="DF5" s="168"/>
      <c r="DG5" s="168"/>
      <c r="DH5" s="168"/>
      <c r="DI5" s="168"/>
      <c r="DJ5" s="168"/>
      <c r="DK5" s="168"/>
      <c r="DL5" s="168"/>
      <c r="DM5" s="168"/>
      <c r="DN5" s="168"/>
      <c r="DO5" s="168"/>
      <c r="DP5" s="168"/>
      <c r="DQ5" s="168"/>
      <c r="DR5" s="168"/>
      <c r="DS5" s="168"/>
      <c r="DT5" s="168"/>
      <c r="DU5" s="168"/>
      <c r="DV5" s="168"/>
      <c r="DW5" s="168"/>
      <c r="DX5" s="168"/>
      <c r="DY5" s="168"/>
      <c r="DZ5" s="168"/>
      <c r="EA5" s="168"/>
      <c r="EB5" s="168"/>
      <c r="EC5" s="168"/>
      <c r="ED5" s="168"/>
      <c r="EE5" s="168"/>
      <c r="EF5" s="168"/>
      <c r="EG5" s="168"/>
      <c r="EH5" s="163"/>
      <c r="EI5" s="163"/>
      <c r="EJ5" s="163"/>
      <c r="EK5" s="163"/>
      <c r="EL5" s="163"/>
      <c r="EM5" s="163"/>
      <c r="EN5" s="163"/>
      <c r="EO5" s="163"/>
      <c r="EP5" s="163"/>
      <c r="EQ5" s="163"/>
      <c r="ER5" s="163"/>
      <c r="ES5" s="163"/>
      <c r="ET5" s="163"/>
      <c r="EU5" s="163"/>
      <c r="EV5" s="163"/>
      <c r="EW5" s="163"/>
      <c r="EX5" s="163"/>
      <c r="EY5" s="163"/>
      <c r="EZ5" s="163"/>
      <c r="FA5" s="163"/>
      <c r="FB5" s="163"/>
      <c r="FC5" s="163"/>
      <c r="FD5" s="163"/>
      <c r="FE5" s="163"/>
      <c r="FF5" s="163"/>
      <c r="FG5" s="163"/>
      <c r="FH5" s="163"/>
      <c r="FI5" s="163"/>
      <c r="FJ5" s="163"/>
      <c r="FK5" s="163"/>
      <c r="FL5" s="163"/>
      <c r="FM5" s="163"/>
      <c r="FN5" s="163"/>
      <c r="FO5" s="163"/>
      <c r="FP5" s="170"/>
    </row>
    <row r="6" spans="1:172" x14ac:dyDescent="0.2">
      <c r="A6" s="169" t="b">
        <v>0</v>
      </c>
      <c r="B6" s="169" t="b">
        <v>0</v>
      </c>
      <c r="C6" s="169" t="b">
        <v>1</v>
      </c>
      <c r="D6" s="169" t="b">
        <v>0</v>
      </c>
      <c r="E6" s="169" t="b">
        <v>0</v>
      </c>
      <c r="F6" s="169" t="b">
        <v>0</v>
      </c>
      <c r="G6" s="163" t="s">
        <v>765</v>
      </c>
      <c r="H6" s="100"/>
      <c r="I6" s="100"/>
      <c r="J6" s="100" t="s">
        <v>519</v>
      </c>
      <c r="K6" s="100" t="s">
        <v>472</v>
      </c>
      <c r="L6" s="100" t="s">
        <v>1531</v>
      </c>
      <c r="M6" s="100"/>
      <c r="N6" s="100" t="s">
        <v>609</v>
      </c>
      <c r="O6" s="100"/>
      <c r="P6" s="100"/>
      <c r="Q6" s="100"/>
      <c r="R6" s="100" t="s">
        <v>635</v>
      </c>
      <c r="S6" s="100"/>
      <c r="T6" s="100"/>
      <c r="U6" s="100"/>
      <c r="V6" s="100"/>
      <c r="W6" s="100" t="s">
        <v>134</v>
      </c>
      <c r="X6" s="100" t="s">
        <v>129</v>
      </c>
      <c r="Y6" s="100" t="s">
        <v>148</v>
      </c>
      <c r="Z6" s="100" t="s">
        <v>142</v>
      </c>
      <c r="AA6" s="68" t="s">
        <v>115</v>
      </c>
      <c r="AB6" s="68"/>
      <c r="AC6" s="68"/>
      <c r="AD6" s="68" t="s">
        <v>115</v>
      </c>
      <c r="AE6" s="68" t="s">
        <v>116</v>
      </c>
      <c r="AF6" s="68"/>
      <c r="AG6" s="68"/>
      <c r="AH6" s="68" t="s">
        <v>116</v>
      </c>
      <c r="AI6" s="100"/>
      <c r="AJ6" s="100"/>
      <c r="AK6" s="100"/>
      <c r="AL6" s="100"/>
      <c r="AM6" s="100"/>
      <c r="AN6" s="100"/>
      <c r="AO6" s="100"/>
      <c r="AP6" s="100"/>
      <c r="AQ6" s="100"/>
      <c r="AR6" s="100"/>
      <c r="AS6" s="100" t="s">
        <v>1532</v>
      </c>
      <c r="AT6" s="100" t="s">
        <v>612</v>
      </c>
      <c r="AU6" s="100" t="str">
        <f>IF($AT6="","",IFERROR(INDEX([2]InstructorMap!$B:$B, MATCH($AT6, [2]InstructorMap!$A:$A, 0)),""))</f>
        <v>cvine@andrews.edu</v>
      </c>
      <c r="AV6" s="100" t="str">
        <f>IF($AT6="","",IFERROR(INDEX([2]InstructorMap!$C:$C, MATCH($AT6, [2]InstructorMap!$A:$A, 0)),""))</f>
        <v>000093509</v>
      </c>
      <c r="AW6" s="163" t="s">
        <v>121</v>
      </c>
      <c r="AX6" s="163" t="s">
        <v>122</v>
      </c>
      <c r="AY6" s="100"/>
      <c r="AZ6" s="100"/>
      <c r="BA6" s="100"/>
      <c r="BB6" s="100"/>
      <c r="BC6" s="100"/>
      <c r="BD6" s="100"/>
      <c r="BE6" s="100"/>
      <c r="BF6" s="100"/>
      <c r="BG6" s="100"/>
      <c r="BH6" s="100"/>
      <c r="BI6" s="100"/>
      <c r="BJ6" s="100"/>
      <c r="BK6" s="100"/>
      <c r="BL6" s="163" t="s">
        <v>249</v>
      </c>
      <c r="BM6" s="100"/>
      <c r="BN6" s="100"/>
      <c r="BO6" s="100"/>
      <c r="BP6" s="100"/>
      <c r="BQ6" s="100"/>
      <c r="BR6" s="100"/>
      <c r="BS6" s="100"/>
      <c r="BT6" s="100"/>
      <c r="BU6" s="100"/>
      <c r="BV6" s="100"/>
      <c r="BW6" s="100"/>
      <c r="BX6" s="100"/>
      <c r="BY6" s="100"/>
      <c r="BZ6" s="100"/>
      <c r="CA6" s="100"/>
      <c r="CB6" s="100"/>
      <c r="CC6" s="100"/>
      <c r="CD6" s="100"/>
      <c r="CE6" s="100"/>
      <c r="CF6" s="100"/>
      <c r="CG6" s="100"/>
      <c r="CH6" s="100"/>
      <c r="CI6" s="100"/>
      <c r="CJ6" s="100"/>
      <c r="CK6" s="100"/>
      <c r="CL6" s="100"/>
      <c r="CM6" s="100"/>
      <c r="CN6" s="100"/>
      <c r="CO6" s="100"/>
      <c r="CP6" s="100"/>
      <c r="CQ6" s="100"/>
      <c r="CR6" s="100"/>
      <c r="CS6" s="100"/>
      <c r="CT6" s="100"/>
      <c r="CU6" s="100"/>
      <c r="CV6" s="100"/>
      <c r="CW6" s="168"/>
      <c r="CX6" s="168"/>
      <c r="CY6" s="168"/>
      <c r="CZ6" s="168"/>
      <c r="DA6" s="168"/>
      <c r="DB6" s="168"/>
      <c r="DC6" s="168"/>
      <c r="DD6" s="168"/>
      <c r="DE6" s="168"/>
      <c r="DF6" s="168"/>
      <c r="DG6" s="168"/>
      <c r="DH6" s="168"/>
      <c r="DI6" s="168"/>
      <c r="DJ6" s="168"/>
      <c r="DK6" s="168"/>
      <c r="DL6" s="168"/>
      <c r="DM6" s="168"/>
      <c r="DN6" s="168"/>
      <c r="DO6" s="168"/>
      <c r="DP6" s="168"/>
      <c r="DQ6" s="168"/>
      <c r="DR6" s="168"/>
      <c r="DS6" s="168"/>
      <c r="DT6" s="168"/>
      <c r="DU6" s="168"/>
      <c r="DV6" s="168"/>
      <c r="DW6" s="168"/>
      <c r="DX6" s="168"/>
      <c r="DY6" s="168"/>
      <c r="DZ6" s="168"/>
      <c r="EA6" s="168"/>
      <c r="EB6" s="168"/>
      <c r="EC6" s="168"/>
      <c r="ED6" s="168"/>
      <c r="EE6" s="168"/>
      <c r="EF6" s="168"/>
      <c r="EG6" s="168"/>
      <c r="EH6" s="163"/>
      <c r="EI6" s="163"/>
      <c r="EJ6" s="163"/>
      <c r="EK6" s="163"/>
      <c r="EL6" s="163"/>
      <c r="EM6" s="163"/>
      <c r="EN6" s="163"/>
      <c r="EO6" s="163"/>
      <c r="EP6" s="163"/>
      <c r="EQ6" s="163"/>
      <c r="ER6" s="163"/>
      <c r="ES6" s="163"/>
      <c r="ET6" s="163"/>
      <c r="EU6" s="163"/>
      <c r="EV6" s="163"/>
      <c r="EW6" s="163"/>
      <c r="EX6" s="163"/>
      <c r="EY6" s="163"/>
      <c r="EZ6" s="163"/>
      <c r="FA6" s="163"/>
      <c r="FB6" s="163"/>
      <c r="FC6" s="163"/>
      <c r="FD6" s="163"/>
      <c r="FE6" s="163"/>
      <c r="FF6" s="163"/>
      <c r="FG6" s="163"/>
      <c r="FH6" s="163"/>
      <c r="FI6" s="163"/>
      <c r="FJ6" s="163"/>
      <c r="FK6" s="163"/>
      <c r="FL6" s="163"/>
      <c r="FM6" s="163"/>
      <c r="FN6" s="163"/>
      <c r="FO6" s="163"/>
      <c r="FP6" s="170"/>
    </row>
    <row r="7" spans="1:172" x14ac:dyDescent="0.2">
      <c r="A7" s="169" t="b">
        <v>0</v>
      </c>
      <c r="B7" s="169" t="b">
        <v>0</v>
      </c>
      <c r="C7" s="169" t="b">
        <v>1</v>
      </c>
      <c r="D7" s="169" t="b">
        <v>0</v>
      </c>
      <c r="E7" s="169" t="b">
        <v>0</v>
      </c>
      <c r="F7" s="169" t="b">
        <v>0</v>
      </c>
      <c r="G7" s="163" t="s">
        <v>765</v>
      </c>
      <c r="H7" s="100"/>
      <c r="I7" s="100"/>
      <c r="J7" s="100" t="s">
        <v>519</v>
      </c>
      <c r="K7" s="100" t="s">
        <v>472</v>
      </c>
      <c r="L7" s="100" t="s">
        <v>1533</v>
      </c>
      <c r="M7" s="100"/>
      <c r="N7" s="100" t="s">
        <v>609</v>
      </c>
      <c r="O7" s="100"/>
      <c r="P7" s="100"/>
      <c r="Q7" s="100"/>
      <c r="R7" s="100" t="s">
        <v>635</v>
      </c>
      <c r="S7" s="100"/>
      <c r="T7" s="100"/>
      <c r="U7" s="100"/>
      <c r="V7" s="100"/>
      <c r="W7" s="100" t="s">
        <v>134</v>
      </c>
      <c r="X7" s="100" t="s">
        <v>129</v>
      </c>
      <c r="Y7" s="100" t="s">
        <v>148</v>
      </c>
      <c r="Z7" s="100" t="s">
        <v>142</v>
      </c>
      <c r="AA7" s="68" t="s">
        <v>115</v>
      </c>
      <c r="AB7" s="68"/>
      <c r="AC7" s="68"/>
      <c r="AD7" s="68" t="s">
        <v>115</v>
      </c>
      <c r="AE7" s="68" t="s">
        <v>116</v>
      </c>
      <c r="AF7" s="68"/>
      <c r="AG7" s="68"/>
      <c r="AH7" s="68" t="s">
        <v>116</v>
      </c>
      <c r="AI7" s="100"/>
      <c r="AJ7" s="100"/>
      <c r="AK7" s="100"/>
      <c r="AL7" s="100"/>
      <c r="AM7" s="100"/>
      <c r="AN7" s="100"/>
      <c r="AO7" s="100"/>
      <c r="AP7" s="100"/>
      <c r="AQ7" s="100"/>
      <c r="AR7" s="100"/>
      <c r="AS7" s="100" t="s">
        <v>1534</v>
      </c>
      <c r="AT7" s="100" t="s">
        <v>612</v>
      </c>
      <c r="AU7" s="100" t="str">
        <f>IF($AT7="","",IFERROR(INDEX([2]InstructorMap!$B:$B, MATCH($AT7, [2]InstructorMap!$A:$A, 0)),""))</f>
        <v>cvine@andrews.edu</v>
      </c>
      <c r="AV7" s="100" t="str">
        <f>IF($AT7="","",IFERROR(INDEX([2]InstructorMap!$C:$C, MATCH($AT7, [2]InstructorMap!$A:$A, 0)),""))</f>
        <v>000093509</v>
      </c>
      <c r="AW7" s="163" t="s">
        <v>121</v>
      </c>
      <c r="AX7" s="163" t="s">
        <v>122</v>
      </c>
      <c r="AY7" s="100"/>
      <c r="AZ7" s="100"/>
      <c r="BA7" s="100"/>
      <c r="BB7" s="100"/>
      <c r="BC7" s="100"/>
      <c r="BD7" s="100"/>
      <c r="BE7" s="100"/>
      <c r="BF7" s="100"/>
      <c r="BG7" s="100"/>
      <c r="BH7" s="100"/>
      <c r="BI7" s="100"/>
      <c r="BJ7" s="100"/>
      <c r="BK7" s="100"/>
      <c r="BL7" s="163" t="s">
        <v>249</v>
      </c>
      <c r="BM7" s="100"/>
      <c r="BN7" s="100"/>
      <c r="BO7" s="100"/>
      <c r="BP7" s="100"/>
      <c r="BQ7" s="100"/>
      <c r="BR7" s="100"/>
      <c r="BS7" s="100"/>
      <c r="BT7" s="100"/>
      <c r="BU7" s="100"/>
      <c r="BV7" s="100"/>
      <c r="BW7" s="100"/>
      <c r="BX7" s="100"/>
      <c r="BY7" s="100"/>
      <c r="BZ7" s="100"/>
      <c r="CA7" s="100"/>
      <c r="CB7" s="100"/>
      <c r="CC7" s="100"/>
      <c r="CD7" s="100"/>
      <c r="CE7" s="100"/>
      <c r="CF7" s="100"/>
      <c r="CG7" s="100"/>
      <c r="CH7" s="100"/>
      <c r="CI7" s="100"/>
      <c r="CJ7" s="100"/>
      <c r="CK7" s="100"/>
      <c r="CL7" s="100"/>
      <c r="CM7" s="100"/>
      <c r="CN7" s="100"/>
      <c r="CO7" s="100"/>
      <c r="CP7" s="100"/>
      <c r="CQ7" s="100"/>
      <c r="CR7" s="100"/>
      <c r="CS7" s="100"/>
      <c r="CT7" s="100"/>
      <c r="CU7" s="100"/>
      <c r="CV7" s="100"/>
      <c r="CW7" s="168"/>
      <c r="CX7" s="168"/>
      <c r="CY7" s="168"/>
      <c r="CZ7" s="168"/>
      <c r="DA7" s="168"/>
      <c r="DB7" s="168"/>
      <c r="DC7" s="168"/>
      <c r="DD7" s="168"/>
      <c r="DE7" s="168"/>
      <c r="DF7" s="168"/>
      <c r="DG7" s="168"/>
      <c r="DH7" s="168"/>
      <c r="DI7" s="168"/>
      <c r="DJ7" s="168"/>
      <c r="DK7" s="168"/>
      <c r="DL7" s="168"/>
      <c r="DM7" s="168"/>
      <c r="DN7" s="168"/>
      <c r="DO7" s="168"/>
      <c r="DP7" s="168"/>
      <c r="DQ7" s="168"/>
      <c r="DR7" s="168"/>
      <c r="DS7" s="168"/>
      <c r="DT7" s="168"/>
      <c r="DU7" s="168"/>
      <c r="DV7" s="168"/>
      <c r="DW7" s="168"/>
      <c r="DX7" s="168"/>
      <c r="DY7" s="168"/>
      <c r="DZ7" s="168"/>
      <c r="EA7" s="168"/>
      <c r="EB7" s="168"/>
      <c r="EC7" s="168"/>
      <c r="ED7" s="168"/>
      <c r="EE7" s="168"/>
      <c r="EF7" s="168"/>
      <c r="EG7" s="168"/>
      <c r="EH7" s="163"/>
      <c r="EI7" s="163"/>
      <c r="EJ7" s="163"/>
      <c r="EK7" s="163"/>
      <c r="EL7" s="163"/>
      <c r="EM7" s="163"/>
      <c r="EN7" s="163"/>
      <c r="EO7" s="163"/>
      <c r="EP7" s="163"/>
      <c r="EQ7" s="163"/>
      <c r="ER7" s="163"/>
      <c r="ES7" s="163"/>
      <c r="ET7" s="163"/>
      <c r="EU7" s="163"/>
      <c r="EV7" s="163"/>
      <c r="EW7" s="163"/>
      <c r="EX7" s="163"/>
      <c r="EY7" s="163"/>
      <c r="EZ7" s="163"/>
      <c r="FA7" s="163"/>
      <c r="FB7" s="163"/>
      <c r="FC7" s="163"/>
      <c r="FD7" s="163"/>
      <c r="FE7" s="163"/>
      <c r="FF7" s="163"/>
      <c r="FG7" s="163"/>
      <c r="FH7" s="163"/>
      <c r="FI7" s="163"/>
      <c r="FJ7" s="163"/>
      <c r="FK7" s="163"/>
      <c r="FL7" s="163"/>
      <c r="FM7" s="163"/>
      <c r="FN7" s="163"/>
      <c r="FO7" s="163"/>
      <c r="FP7" s="170"/>
    </row>
    <row r="8" spans="1:172" s="119" customFormat="1" x14ac:dyDescent="0.2">
      <c r="A8" s="173" t="b">
        <v>0</v>
      </c>
      <c r="B8" s="173" t="b">
        <v>0</v>
      </c>
      <c r="C8" s="173" t="b">
        <v>1</v>
      </c>
      <c r="D8" s="173" t="b">
        <v>0</v>
      </c>
      <c r="E8" s="173" t="b">
        <v>0</v>
      </c>
      <c r="F8" s="173" t="b">
        <v>0</v>
      </c>
      <c r="G8" s="163" t="s">
        <v>765</v>
      </c>
      <c r="H8" s="163"/>
      <c r="I8" s="163"/>
      <c r="J8" s="163" t="s">
        <v>519</v>
      </c>
      <c r="K8" s="164">
        <v>688</v>
      </c>
      <c r="L8" s="163" t="s">
        <v>1522</v>
      </c>
      <c r="M8" s="163"/>
      <c r="N8" s="163" t="s">
        <v>616</v>
      </c>
      <c r="O8" s="163"/>
      <c r="P8" s="163"/>
      <c r="Q8" s="163"/>
      <c r="R8" s="163" t="s">
        <v>635</v>
      </c>
      <c r="S8" s="163"/>
      <c r="T8" s="163"/>
      <c r="U8" s="163"/>
      <c r="V8" s="163"/>
      <c r="W8" s="163" t="s">
        <v>129</v>
      </c>
      <c r="X8" s="163" t="s">
        <v>129</v>
      </c>
      <c r="Y8" s="163" t="s">
        <v>148</v>
      </c>
      <c r="Z8" s="163" t="s">
        <v>142</v>
      </c>
      <c r="AA8" s="68" t="s">
        <v>115</v>
      </c>
      <c r="AB8" s="68"/>
      <c r="AC8" s="68"/>
      <c r="AD8" s="68" t="s">
        <v>115</v>
      </c>
      <c r="AE8" s="68" t="s">
        <v>116</v>
      </c>
      <c r="AF8" s="68"/>
      <c r="AG8" s="68"/>
      <c r="AH8" s="68" t="s">
        <v>116</v>
      </c>
      <c r="AI8" s="163"/>
      <c r="AJ8" s="163"/>
      <c r="AK8" s="163"/>
      <c r="AL8" s="163"/>
      <c r="AM8" s="163"/>
      <c r="AN8" s="163"/>
      <c r="AO8" s="163"/>
      <c r="AP8" s="163"/>
      <c r="AQ8" s="163"/>
      <c r="AR8" s="163"/>
      <c r="AS8" s="163" t="s">
        <v>1523</v>
      </c>
      <c r="AT8" s="163" t="s">
        <v>612</v>
      </c>
      <c r="AU8" s="163" t="s">
        <v>1524</v>
      </c>
      <c r="AV8" s="163" t="s">
        <v>1525</v>
      </c>
      <c r="AW8" s="163" t="s">
        <v>121</v>
      </c>
      <c r="AX8" s="163" t="s">
        <v>122</v>
      </c>
      <c r="AY8" s="163"/>
      <c r="AZ8" s="163"/>
      <c r="BA8" s="163"/>
      <c r="BB8" s="163"/>
      <c r="BC8" s="163"/>
      <c r="BD8" s="163"/>
      <c r="BE8" s="163"/>
      <c r="BF8" s="163"/>
      <c r="BG8" s="163"/>
      <c r="BH8" s="163"/>
      <c r="BI8" s="163"/>
      <c r="BJ8" s="163"/>
      <c r="BK8" s="163"/>
      <c r="BL8" s="163" t="s">
        <v>249</v>
      </c>
      <c r="BM8" s="163"/>
      <c r="BN8" s="163"/>
      <c r="BO8" s="163"/>
      <c r="BP8" s="163"/>
      <c r="BQ8" s="163"/>
      <c r="BR8" s="163"/>
      <c r="BS8" s="163"/>
      <c r="BT8" s="163"/>
      <c r="BU8" s="163"/>
      <c r="BV8" s="163"/>
      <c r="BW8" s="163"/>
      <c r="BX8" s="163"/>
      <c r="BY8" s="163"/>
      <c r="BZ8" s="163"/>
      <c r="CA8" s="163"/>
      <c r="CB8" s="167"/>
      <c r="CC8" s="163"/>
      <c r="CD8" s="163"/>
      <c r="CE8" s="163"/>
      <c r="CF8" s="163"/>
      <c r="CG8" s="163"/>
      <c r="CH8" s="163"/>
      <c r="CI8" s="163"/>
      <c r="CJ8" s="163"/>
      <c r="CK8" s="163"/>
      <c r="CL8" s="163"/>
      <c r="CM8" s="164"/>
      <c r="CN8" s="164"/>
      <c r="CO8" s="164"/>
      <c r="CP8" s="164"/>
      <c r="CQ8" s="163"/>
      <c r="CR8" s="163"/>
      <c r="CS8" s="163"/>
      <c r="CT8" s="163"/>
      <c r="CU8" s="163"/>
      <c r="CV8" s="163"/>
      <c r="CW8" s="168"/>
      <c r="CX8" s="168"/>
      <c r="CY8" s="168"/>
      <c r="CZ8" s="168"/>
      <c r="DA8" s="168"/>
      <c r="DB8" s="168"/>
      <c r="DC8" s="168"/>
      <c r="DD8" s="168"/>
      <c r="DE8" s="168"/>
      <c r="DF8" s="168"/>
      <c r="DG8" s="168"/>
      <c r="DH8" s="168"/>
      <c r="DI8" s="168"/>
      <c r="DJ8" s="168"/>
      <c r="DK8" s="168"/>
      <c r="DL8" s="168"/>
      <c r="DM8" s="168"/>
      <c r="DN8" s="168"/>
      <c r="DO8" s="168"/>
      <c r="DP8" s="168"/>
      <c r="DQ8" s="168"/>
      <c r="DR8" s="168"/>
      <c r="DS8" s="168"/>
      <c r="DT8" s="168"/>
      <c r="DU8" s="168"/>
      <c r="DV8" s="168"/>
      <c r="DW8" s="168"/>
      <c r="DX8" s="168"/>
      <c r="DY8" s="168"/>
      <c r="DZ8" s="168"/>
      <c r="EA8" s="168"/>
      <c r="EB8" s="168"/>
      <c r="EC8" s="168"/>
      <c r="ED8" s="168"/>
      <c r="EE8" s="168"/>
      <c r="EF8" s="168"/>
      <c r="EG8" s="168"/>
      <c r="EH8" s="163"/>
      <c r="EI8" s="163"/>
      <c r="EJ8" s="163"/>
      <c r="EK8" s="163"/>
      <c r="EL8" s="163"/>
      <c r="EM8" s="163"/>
      <c r="EN8" s="163"/>
      <c r="EO8" s="163"/>
      <c r="EP8" s="163"/>
      <c r="EQ8" s="163"/>
      <c r="ER8" s="163"/>
      <c r="ES8" s="163"/>
      <c r="ET8" s="163"/>
      <c r="EU8" s="163"/>
      <c r="EV8" s="163"/>
      <c r="EW8" s="163"/>
      <c r="EX8" s="163"/>
      <c r="EY8" s="163"/>
      <c r="EZ8" s="163"/>
      <c r="FA8" s="163"/>
      <c r="FB8" s="163"/>
      <c r="FC8" s="163"/>
      <c r="FD8" s="163"/>
      <c r="FE8" s="163"/>
      <c r="FF8" s="163"/>
      <c r="FG8" s="163"/>
      <c r="FH8" s="163"/>
      <c r="FI8" s="163"/>
      <c r="FJ8" s="163"/>
      <c r="FK8" s="163"/>
      <c r="FL8" s="163"/>
      <c r="FM8" s="163"/>
      <c r="FN8" s="163"/>
      <c r="FO8" s="163"/>
      <c r="FP8" s="163"/>
    </row>
    <row r="9" spans="1:172" x14ac:dyDescent="0.2">
      <c r="A9" s="169" t="b">
        <v>0</v>
      </c>
      <c r="B9" s="169" t="b">
        <v>0</v>
      </c>
      <c r="C9" s="169" t="b">
        <v>1</v>
      </c>
      <c r="D9" s="169" t="b">
        <v>0</v>
      </c>
      <c r="E9" s="169" t="b">
        <v>0</v>
      </c>
      <c r="F9" s="169" t="b">
        <v>0</v>
      </c>
      <c r="G9" s="163" t="s">
        <v>765</v>
      </c>
      <c r="H9" s="100"/>
      <c r="I9" s="100"/>
      <c r="J9" s="100" t="s">
        <v>519</v>
      </c>
      <c r="K9" s="100" t="s">
        <v>615</v>
      </c>
      <c r="L9" s="100" t="s">
        <v>1526</v>
      </c>
      <c r="M9" s="100"/>
      <c r="N9" s="100" t="s">
        <v>616</v>
      </c>
      <c r="O9" s="100"/>
      <c r="P9" s="100"/>
      <c r="Q9" s="100"/>
      <c r="R9" s="100" t="s">
        <v>635</v>
      </c>
      <c r="S9" s="100"/>
      <c r="T9" s="100"/>
      <c r="U9" s="100"/>
      <c r="V9" s="100"/>
      <c r="W9" s="100" t="s">
        <v>134</v>
      </c>
      <c r="X9" s="100" t="s">
        <v>129</v>
      </c>
      <c r="Y9" s="100" t="s">
        <v>148</v>
      </c>
      <c r="Z9" s="100" t="s">
        <v>142</v>
      </c>
      <c r="AA9" s="68" t="s">
        <v>115</v>
      </c>
      <c r="AB9" s="68"/>
      <c r="AC9" s="68"/>
      <c r="AD9" s="68" t="s">
        <v>115</v>
      </c>
      <c r="AE9" s="68" t="s">
        <v>116</v>
      </c>
      <c r="AF9" s="68"/>
      <c r="AG9" s="68"/>
      <c r="AH9" s="68" t="s">
        <v>116</v>
      </c>
      <c r="AI9" s="100"/>
      <c r="AJ9" s="100"/>
      <c r="AK9" s="100"/>
      <c r="AL9" s="100"/>
      <c r="AM9" s="100"/>
      <c r="AN9" s="100"/>
      <c r="AO9" s="100"/>
      <c r="AP9" s="100"/>
      <c r="AQ9" s="100"/>
      <c r="AR9" s="100"/>
      <c r="AS9" s="100" t="s">
        <v>1527</v>
      </c>
      <c r="AT9" s="100" t="s">
        <v>612</v>
      </c>
      <c r="AU9" s="100" t="str">
        <f>IF($AT9="","",IFERROR(INDEX([2]InstructorMap!$B:$B, MATCH($AT9, [2]InstructorMap!$A:$A, 0)),""))</f>
        <v>cvine@andrews.edu</v>
      </c>
      <c r="AV9" s="100" t="str">
        <f>IF($AT9="","",IFERROR(INDEX([2]InstructorMap!$C:$C, MATCH($AT9, [2]InstructorMap!$A:$A, 0)),""))</f>
        <v>000093509</v>
      </c>
      <c r="AW9" s="163" t="s">
        <v>121</v>
      </c>
      <c r="AX9" s="163" t="s">
        <v>122</v>
      </c>
      <c r="AY9" s="100"/>
      <c r="AZ9" s="100"/>
      <c r="BA9" s="100"/>
      <c r="BB9" s="100"/>
      <c r="BC9" s="100"/>
      <c r="BD9" s="100"/>
      <c r="BE9" s="100"/>
      <c r="BF9" s="100"/>
      <c r="BG9" s="100"/>
      <c r="BH9" s="100"/>
      <c r="BI9" s="100"/>
      <c r="BJ9" s="100"/>
      <c r="BK9" s="100"/>
      <c r="BL9" s="163" t="s">
        <v>249</v>
      </c>
      <c r="BM9" s="100"/>
      <c r="BN9" s="100"/>
      <c r="BO9" s="100"/>
      <c r="BP9" s="100"/>
      <c r="BQ9" s="100"/>
      <c r="BR9" s="100"/>
      <c r="BS9" s="100"/>
      <c r="BT9" s="100"/>
      <c r="BU9" s="100"/>
      <c r="BV9" s="100"/>
      <c r="BW9" s="100"/>
      <c r="BX9" s="100"/>
      <c r="BY9" s="100"/>
      <c r="BZ9" s="100"/>
      <c r="CA9" s="100"/>
      <c r="CB9" s="100"/>
      <c r="CC9" s="100"/>
      <c r="CD9" s="100"/>
      <c r="CE9" s="100"/>
      <c r="CF9" s="100"/>
      <c r="CG9" s="100"/>
      <c r="CH9" s="100"/>
      <c r="CI9" s="100"/>
      <c r="CJ9" s="100"/>
      <c r="CK9" s="100"/>
      <c r="CL9" s="100"/>
      <c r="CM9" s="100"/>
      <c r="CN9" s="100"/>
      <c r="CO9" s="100"/>
      <c r="CP9" s="100"/>
      <c r="CQ9" s="100"/>
      <c r="CR9" s="100"/>
      <c r="CS9" s="100"/>
      <c r="CT9" s="100"/>
      <c r="CU9" s="100"/>
      <c r="CV9" s="100"/>
      <c r="CW9" s="168"/>
      <c r="CX9" s="168"/>
      <c r="CY9" s="168"/>
      <c r="CZ9" s="168"/>
      <c r="DA9" s="168"/>
      <c r="DB9" s="168"/>
      <c r="DC9" s="168"/>
      <c r="DD9" s="168"/>
      <c r="DE9" s="168"/>
      <c r="DF9" s="168"/>
      <c r="DG9" s="168"/>
      <c r="DH9" s="168"/>
      <c r="DI9" s="168"/>
      <c r="DJ9" s="168"/>
      <c r="DK9" s="168"/>
      <c r="DL9" s="168"/>
      <c r="DM9" s="168"/>
      <c r="DN9" s="168"/>
      <c r="DO9" s="168"/>
      <c r="DP9" s="168"/>
      <c r="DQ9" s="168"/>
      <c r="DR9" s="168"/>
      <c r="DS9" s="168"/>
      <c r="DT9" s="168"/>
      <c r="DU9" s="168"/>
      <c r="DV9" s="168"/>
      <c r="DW9" s="168"/>
      <c r="DX9" s="168"/>
      <c r="DY9" s="168"/>
      <c r="DZ9" s="168"/>
      <c r="EA9" s="168"/>
      <c r="EB9" s="168"/>
      <c r="EC9" s="168"/>
      <c r="ED9" s="168"/>
      <c r="EE9" s="168"/>
      <c r="EF9" s="168"/>
      <c r="EG9" s="168"/>
      <c r="EH9" s="163"/>
      <c r="EI9" s="163"/>
      <c r="EJ9" s="163"/>
      <c r="EK9" s="163"/>
      <c r="EL9" s="163"/>
      <c r="EM9" s="163"/>
      <c r="EN9" s="163"/>
      <c r="EO9" s="163"/>
      <c r="EP9" s="163"/>
      <c r="EQ9" s="163"/>
      <c r="ER9" s="163"/>
      <c r="ES9" s="163"/>
      <c r="ET9" s="163"/>
      <c r="EU9" s="163"/>
      <c r="EV9" s="163"/>
      <c r="EW9" s="163"/>
      <c r="EX9" s="163"/>
      <c r="EY9" s="163"/>
      <c r="EZ9" s="163"/>
      <c r="FA9" s="163"/>
      <c r="FB9" s="163"/>
      <c r="FC9" s="163"/>
      <c r="FD9" s="163"/>
      <c r="FE9" s="163"/>
      <c r="FF9" s="163"/>
      <c r="FG9" s="163"/>
      <c r="FH9" s="163"/>
      <c r="FI9" s="163"/>
      <c r="FJ9" s="163"/>
      <c r="FK9" s="163"/>
      <c r="FL9" s="163"/>
      <c r="FM9" s="163"/>
      <c r="FN9" s="163"/>
      <c r="FO9" s="163"/>
      <c r="FP9" s="170"/>
    </row>
    <row r="10" spans="1:172" x14ac:dyDescent="0.2">
      <c r="A10" s="169" t="b">
        <v>0</v>
      </c>
      <c r="B10" s="169" t="b">
        <v>0</v>
      </c>
      <c r="C10" s="169" t="b">
        <v>1</v>
      </c>
      <c r="D10" s="169" t="b">
        <v>0</v>
      </c>
      <c r="E10" s="169" t="b">
        <v>0</v>
      </c>
      <c r="F10" s="169" t="b">
        <v>0</v>
      </c>
      <c r="G10" s="163" t="s">
        <v>765</v>
      </c>
      <c r="H10" s="100"/>
      <c r="I10" s="100"/>
      <c r="J10" s="100" t="s">
        <v>519</v>
      </c>
      <c r="K10" s="100" t="s">
        <v>615</v>
      </c>
      <c r="L10" s="100" t="s">
        <v>1531</v>
      </c>
      <c r="M10" s="100"/>
      <c r="N10" s="100" t="s">
        <v>616</v>
      </c>
      <c r="O10" s="100"/>
      <c r="P10" s="100"/>
      <c r="Q10" s="100"/>
      <c r="R10" s="100" t="s">
        <v>635</v>
      </c>
      <c r="S10" s="100"/>
      <c r="T10" s="100"/>
      <c r="U10" s="100"/>
      <c r="V10" s="100"/>
      <c r="W10" s="100" t="s">
        <v>134</v>
      </c>
      <c r="X10" s="100" t="s">
        <v>129</v>
      </c>
      <c r="Y10" s="100" t="s">
        <v>148</v>
      </c>
      <c r="Z10" s="100" t="s">
        <v>142</v>
      </c>
      <c r="AA10" s="68" t="s">
        <v>115</v>
      </c>
      <c r="AB10" s="68"/>
      <c r="AC10" s="68"/>
      <c r="AD10" s="68" t="s">
        <v>115</v>
      </c>
      <c r="AE10" s="68" t="s">
        <v>116</v>
      </c>
      <c r="AF10" s="68"/>
      <c r="AG10" s="68"/>
      <c r="AH10" s="68" t="s">
        <v>116</v>
      </c>
      <c r="AI10" s="100"/>
      <c r="AJ10" s="100"/>
      <c r="AK10" s="100"/>
      <c r="AL10" s="100"/>
      <c r="AM10" s="100"/>
      <c r="AN10" s="100"/>
      <c r="AO10" s="100"/>
      <c r="AP10" s="100"/>
      <c r="AQ10" s="100"/>
      <c r="AR10" s="100"/>
      <c r="AS10" s="100" t="s">
        <v>1532</v>
      </c>
      <c r="AT10" s="100" t="s">
        <v>612</v>
      </c>
      <c r="AU10" s="100" t="str">
        <f>IF($AT10="","",IFERROR(INDEX([2]InstructorMap!$B:$B, MATCH($AT10, [2]InstructorMap!$A:$A, 0)),""))</f>
        <v>cvine@andrews.edu</v>
      </c>
      <c r="AV10" s="100" t="str">
        <f>IF($AT10="","",IFERROR(INDEX([2]InstructorMap!$C:$C, MATCH($AT10, [2]InstructorMap!$A:$A, 0)),""))</f>
        <v>000093509</v>
      </c>
      <c r="AW10" s="163" t="s">
        <v>121</v>
      </c>
      <c r="AX10" s="163" t="s">
        <v>122</v>
      </c>
      <c r="AY10" s="100"/>
      <c r="AZ10" s="100"/>
      <c r="BA10" s="100"/>
      <c r="BB10" s="100"/>
      <c r="BC10" s="100"/>
      <c r="BD10" s="100"/>
      <c r="BE10" s="100"/>
      <c r="BF10" s="100"/>
      <c r="BG10" s="100"/>
      <c r="BH10" s="100"/>
      <c r="BI10" s="100"/>
      <c r="BJ10" s="100"/>
      <c r="BK10" s="100"/>
      <c r="BL10" s="163" t="s">
        <v>249</v>
      </c>
      <c r="BM10" s="100"/>
      <c r="BN10" s="100"/>
      <c r="BO10" s="100"/>
      <c r="BP10" s="100"/>
      <c r="BQ10" s="100"/>
      <c r="BR10" s="100"/>
      <c r="BS10" s="100"/>
      <c r="BT10" s="100"/>
      <c r="BU10" s="100"/>
      <c r="BV10" s="100"/>
      <c r="BW10" s="100"/>
      <c r="BX10" s="100"/>
      <c r="BY10" s="100"/>
      <c r="BZ10" s="100"/>
      <c r="CA10" s="100"/>
      <c r="CB10" s="100"/>
      <c r="CC10" s="100"/>
      <c r="CD10" s="100"/>
      <c r="CE10" s="100"/>
      <c r="CF10" s="100"/>
      <c r="CG10" s="100"/>
      <c r="CH10" s="100"/>
      <c r="CI10" s="100"/>
      <c r="CJ10" s="100"/>
      <c r="CK10" s="100"/>
      <c r="CL10" s="100"/>
      <c r="CM10" s="100"/>
      <c r="CN10" s="100"/>
      <c r="CO10" s="100"/>
      <c r="CP10" s="100"/>
      <c r="CQ10" s="100"/>
      <c r="CR10" s="100"/>
      <c r="CS10" s="100"/>
      <c r="CT10" s="100"/>
      <c r="CU10" s="100"/>
      <c r="CV10" s="100"/>
      <c r="CW10" s="168"/>
      <c r="CX10" s="168"/>
      <c r="CY10" s="168"/>
      <c r="CZ10" s="168"/>
      <c r="DA10" s="168"/>
      <c r="DB10" s="168"/>
      <c r="DC10" s="168"/>
      <c r="DD10" s="168"/>
      <c r="DE10" s="168"/>
      <c r="DF10" s="168"/>
      <c r="DG10" s="168"/>
      <c r="DH10" s="168"/>
      <c r="DI10" s="168"/>
      <c r="DJ10" s="168"/>
      <c r="DK10" s="168"/>
      <c r="DL10" s="168"/>
      <c r="DM10" s="168"/>
      <c r="DN10" s="168"/>
      <c r="DO10" s="168"/>
      <c r="DP10" s="168"/>
      <c r="DQ10" s="168"/>
      <c r="DR10" s="168"/>
      <c r="DS10" s="168"/>
      <c r="DT10" s="168"/>
      <c r="DU10" s="168"/>
      <c r="DV10" s="168"/>
      <c r="DW10" s="168"/>
      <c r="DX10" s="168"/>
      <c r="DY10" s="168"/>
      <c r="DZ10" s="168"/>
      <c r="EA10" s="168"/>
      <c r="EB10" s="168"/>
      <c r="EC10" s="168"/>
      <c r="ED10" s="168"/>
      <c r="EE10" s="168"/>
      <c r="EF10" s="168"/>
      <c r="EG10" s="168"/>
      <c r="EH10" s="163"/>
      <c r="EI10" s="163"/>
      <c r="EJ10" s="163"/>
      <c r="EK10" s="163"/>
      <c r="EL10" s="163"/>
      <c r="EM10" s="163"/>
      <c r="EN10" s="163"/>
      <c r="EO10" s="163"/>
      <c r="EP10" s="163"/>
      <c r="EQ10" s="163"/>
      <c r="ER10" s="163"/>
      <c r="ES10" s="163"/>
      <c r="ET10" s="163"/>
      <c r="EU10" s="163"/>
      <c r="EV10" s="163"/>
      <c r="EW10" s="163"/>
      <c r="EX10" s="163"/>
      <c r="EY10" s="163"/>
      <c r="EZ10" s="163"/>
      <c r="FA10" s="163"/>
      <c r="FB10" s="163"/>
      <c r="FC10" s="163"/>
      <c r="FD10" s="163"/>
      <c r="FE10" s="163"/>
      <c r="FF10" s="163"/>
      <c r="FG10" s="163"/>
      <c r="FH10" s="163"/>
      <c r="FI10" s="163"/>
      <c r="FJ10" s="163"/>
      <c r="FK10" s="163"/>
      <c r="FL10" s="163"/>
      <c r="FM10" s="163"/>
      <c r="FN10" s="163"/>
      <c r="FO10" s="163"/>
      <c r="FP10" s="170"/>
    </row>
    <row r="11" spans="1:172" x14ac:dyDescent="0.2">
      <c r="A11" s="169" t="b">
        <v>0</v>
      </c>
      <c r="B11" s="169" t="b">
        <v>0</v>
      </c>
      <c r="C11" s="169" t="b">
        <v>1</v>
      </c>
      <c r="D11" s="169" t="b">
        <v>0</v>
      </c>
      <c r="E11" s="169" t="b">
        <v>0</v>
      </c>
      <c r="F11" s="169" t="b">
        <v>0</v>
      </c>
      <c r="G11" s="163" t="s">
        <v>765</v>
      </c>
      <c r="H11" s="100"/>
      <c r="I11" s="100"/>
      <c r="J11" s="100" t="s">
        <v>519</v>
      </c>
      <c r="K11" s="100" t="s">
        <v>615</v>
      </c>
      <c r="L11" s="100" t="s">
        <v>1533</v>
      </c>
      <c r="M11" s="100"/>
      <c r="N11" s="100" t="s">
        <v>616</v>
      </c>
      <c r="O11" s="100"/>
      <c r="P11" s="100"/>
      <c r="Q11" s="100"/>
      <c r="R11" s="100" t="s">
        <v>635</v>
      </c>
      <c r="S11" s="100"/>
      <c r="T11" s="100"/>
      <c r="U11" s="100"/>
      <c r="V11" s="100"/>
      <c r="W11" s="100" t="s">
        <v>134</v>
      </c>
      <c r="X11" s="100" t="s">
        <v>129</v>
      </c>
      <c r="Y11" s="100" t="s">
        <v>148</v>
      </c>
      <c r="Z11" s="100" t="s">
        <v>142</v>
      </c>
      <c r="AA11" s="68" t="s">
        <v>115</v>
      </c>
      <c r="AB11" s="68"/>
      <c r="AC11" s="68"/>
      <c r="AD11" s="68" t="s">
        <v>115</v>
      </c>
      <c r="AE11" s="68" t="s">
        <v>116</v>
      </c>
      <c r="AF11" s="68"/>
      <c r="AG11" s="68"/>
      <c r="AH11" s="68" t="s">
        <v>116</v>
      </c>
      <c r="AI11" s="100"/>
      <c r="AJ11" s="100"/>
      <c r="AK11" s="100"/>
      <c r="AL11" s="100"/>
      <c r="AM11" s="100"/>
      <c r="AN11" s="100"/>
      <c r="AO11" s="100"/>
      <c r="AP11" s="100"/>
      <c r="AQ11" s="100"/>
      <c r="AR11" s="100"/>
      <c r="AS11" s="100" t="s">
        <v>1534</v>
      </c>
      <c r="AT11" s="100" t="s">
        <v>612</v>
      </c>
      <c r="AU11" s="100" t="str">
        <f>IF($AT11="","",IFERROR(INDEX([2]InstructorMap!$B:$B, MATCH($AT11, [2]InstructorMap!$A:$A, 0)),""))</f>
        <v>cvine@andrews.edu</v>
      </c>
      <c r="AV11" s="100" t="str">
        <f>IF($AT11="","",IFERROR(INDEX([2]InstructorMap!$C:$C, MATCH($AT11, [2]InstructorMap!$A:$A, 0)),""))</f>
        <v>000093509</v>
      </c>
      <c r="AW11" s="163" t="s">
        <v>121</v>
      </c>
      <c r="AX11" s="163" t="s">
        <v>122</v>
      </c>
      <c r="AY11" s="100"/>
      <c r="AZ11" s="100"/>
      <c r="BA11" s="100"/>
      <c r="BB11" s="100"/>
      <c r="BC11" s="100"/>
      <c r="BD11" s="100"/>
      <c r="BE11" s="100"/>
      <c r="BF11" s="100"/>
      <c r="BG11" s="100"/>
      <c r="BH11" s="100"/>
      <c r="BI11" s="100"/>
      <c r="BJ11" s="100"/>
      <c r="BK11" s="100"/>
      <c r="BL11" s="163" t="s">
        <v>249</v>
      </c>
      <c r="BM11" s="100"/>
      <c r="BN11" s="100"/>
      <c r="BO11" s="100"/>
      <c r="BP11" s="100"/>
      <c r="BQ11" s="100"/>
      <c r="BR11" s="100"/>
      <c r="BS11" s="100"/>
      <c r="BT11" s="100"/>
      <c r="BU11" s="100"/>
      <c r="BV11" s="100"/>
      <c r="BW11" s="100"/>
      <c r="BX11" s="100"/>
      <c r="BY11" s="100"/>
      <c r="BZ11" s="100"/>
      <c r="CA11" s="100"/>
      <c r="CB11" s="100"/>
      <c r="CC11" s="100"/>
      <c r="CD11" s="100"/>
      <c r="CE11" s="100"/>
      <c r="CF11" s="100"/>
      <c r="CG11" s="100"/>
      <c r="CH11" s="100"/>
      <c r="CI11" s="100"/>
      <c r="CJ11" s="100"/>
      <c r="CK11" s="100"/>
      <c r="CL11" s="100"/>
      <c r="CM11" s="100"/>
      <c r="CN11" s="100"/>
      <c r="CO11" s="100"/>
      <c r="CP11" s="100"/>
      <c r="CQ11" s="100"/>
      <c r="CR11" s="100"/>
      <c r="CS11" s="100"/>
      <c r="CT11" s="100"/>
      <c r="CU11" s="100"/>
      <c r="CV11" s="100"/>
      <c r="CW11" s="168"/>
      <c r="CX11" s="168"/>
      <c r="CY11" s="168"/>
      <c r="CZ11" s="168"/>
      <c r="DA11" s="168"/>
      <c r="DB11" s="168"/>
      <c r="DC11" s="168"/>
      <c r="DD11" s="168"/>
      <c r="DE11" s="168"/>
      <c r="DF11" s="168"/>
      <c r="DG11" s="168"/>
      <c r="DH11" s="168"/>
      <c r="DI11" s="168"/>
      <c r="DJ11" s="168"/>
      <c r="DK11" s="168"/>
      <c r="DL11" s="168"/>
      <c r="DM11" s="168"/>
      <c r="DN11" s="168"/>
      <c r="DO11" s="168"/>
      <c r="DP11" s="168"/>
      <c r="DQ11" s="168"/>
      <c r="DR11" s="168"/>
      <c r="DS11" s="168"/>
      <c r="DT11" s="168"/>
      <c r="DU11" s="168"/>
      <c r="DV11" s="168"/>
      <c r="DW11" s="168"/>
      <c r="DX11" s="168"/>
      <c r="DY11" s="168"/>
      <c r="DZ11" s="168"/>
      <c r="EA11" s="168"/>
      <c r="EB11" s="168"/>
      <c r="EC11" s="168"/>
      <c r="ED11" s="168"/>
      <c r="EE11" s="168"/>
      <c r="EF11" s="168"/>
      <c r="EG11" s="168"/>
      <c r="EH11" s="163"/>
      <c r="EI11" s="163"/>
      <c r="EJ11" s="163"/>
      <c r="EK11" s="163"/>
      <c r="EL11" s="163"/>
      <c r="EM11" s="163"/>
      <c r="EN11" s="163"/>
      <c r="EO11" s="163"/>
      <c r="EP11" s="163"/>
      <c r="EQ11" s="163"/>
      <c r="ER11" s="163"/>
      <c r="ES11" s="163"/>
      <c r="ET11" s="163"/>
      <c r="EU11" s="163"/>
      <c r="EV11" s="163"/>
      <c r="EW11" s="163"/>
      <c r="EX11" s="163"/>
      <c r="EY11" s="163"/>
      <c r="EZ11" s="163"/>
      <c r="FA11" s="163"/>
      <c r="FB11" s="163"/>
      <c r="FC11" s="163"/>
      <c r="FD11" s="163"/>
      <c r="FE11" s="163"/>
      <c r="FF11" s="163"/>
      <c r="FG11" s="163"/>
      <c r="FH11" s="163"/>
      <c r="FI11" s="163"/>
      <c r="FJ11" s="163"/>
      <c r="FK11" s="163"/>
      <c r="FL11" s="163"/>
      <c r="FM11" s="163"/>
      <c r="FN11" s="163"/>
      <c r="FO11" s="163"/>
      <c r="FP11" s="170"/>
    </row>
    <row r="12" spans="1:172" x14ac:dyDescent="0.2">
      <c r="A12" s="169" t="b">
        <v>0</v>
      </c>
      <c r="B12" s="169" t="b">
        <v>0</v>
      </c>
      <c r="C12" s="169" t="b">
        <v>1</v>
      </c>
      <c r="D12" s="169" t="b">
        <v>0</v>
      </c>
      <c r="E12" s="169" t="b">
        <v>0</v>
      </c>
      <c r="F12" s="169" t="b">
        <v>0</v>
      </c>
      <c r="G12" s="163" t="s">
        <v>765</v>
      </c>
      <c r="H12" s="100"/>
      <c r="I12" s="100"/>
      <c r="J12" s="100" t="s">
        <v>519</v>
      </c>
      <c r="K12" s="100" t="s">
        <v>615</v>
      </c>
      <c r="L12" s="100" t="s">
        <v>1529</v>
      </c>
      <c r="M12" s="100"/>
      <c r="N12" s="100" t="s">
        <v>616</v>
      </c>
      <c r="O12" s="100"/>
      <c r="P12" s="100"/>
      <c r="Q12" s="100"/>
      <c r="R12" s="100" t="s">
        <v>635</v>
      </c>
      <c r="S12" s="100"/>
      <c r="T12" s="100"/>
      <c r="U12" s="100"/>
      <c r="V12" s="100"/>
      <c r="W12" s="100" t="s">
        <v>134</v>
      </c>
      <c r="X12" s="100" t="s">
        <v>129</v>
      </c>
      <c r="Y12" s="100" t="s">
        <v>148</v>
      </c>
      <c r="Z12" s="100" t="s">
        <v>142</v>
      </c>
      <c r="AA12" s="68" t="s">
        <v>115</v>
      </c>
      <c r="AB12" s="68"/>
      <c r="AC12" s="68"/>
      <c r="AD12" s="68" t="s">
        <v>115</v>
      </c>
      <c r="AE12" s="68" t="s">
        <v>116</v>
      </c>
      <c r="AF12" s="68"/>
      <c r="AG12" s="68"/>
      <c r="AH12" s="68" t="s">
        <v>116</v>
      </c>
      <c r="AI12" s="100"/>
      <c r="AJ12" s="100"/>
      <c r="AK12" s="100"/>
      <c r="AL12" s="100"/>
      <c r="AM12" s="100"/>
      <c r="AN12" s="100"/>
      <c r="AO12" s="100"/>
      <c r="AP12" s="100"/>
      <c r="AQ12" s="100"/>
      <c r="AR12" s="100"/>
      <c r="AS12" s="100" t="s">
        <v>1530</v>
      </c>
      <c r="AT12" s="100" t="s">
        <v>612</v>
      </c>
      <c r="AU12" s="100" t="str">
        <f>IF($AT12="","",IFERROR(INDEX([2]InstructorMap!$B:$B, MATCH($AT12, [2]InstructorMap!$A:$A, 0)),""))</f>
        <v>cvine@andrews.edu</v>
      </c>
      <c r="AV12" s="100" t="str">
        <f>IF($AT12="","",IFERROR(INDEX([2]InstructorMap!$C:$C, MATCH($AT12, [2]InstructorMap!$A:$A, 0)),""))</f>
        <v>000093509</v>
      </c>
      <c r="AW12" s="163" t="s">
        <v>121</v>
      </c>
      <c r="AX12" s="163" t="s">
        <v>122</v>
      </c>
      <c r="AY12" s="100"/>
      <c r="AZ12" s="100"/>
      <c r="BA12" s="100"/>
      <c r="BB12" s="100"/>
      <c r="BC12" s="100"/>
      <c r="BD12" s="100"/>
      <c r="BE12" s="100"/>
      <c r="BF12" s="100"/>
      <c r="BG12" s="100"/>
      <c r="BH12" s="100"/>
      <c r="BI12" s="100"/>
      <c r="BJ12" s="100"/>
      <c r="BK12" s="100"/>
      <c r="BL12" s="163" t="s">
        <v>249</v>
      </c>
      <c r="BM12" s="100"/>
      <c r="BN12" s="100"/>
      <c r="BO12" s="100"/>
      <c r="BP12" s="100"/>
      <c r="BQ12" s="100"/>
      <c r="BR12" s="100"/>
      <c r="BS12" s="100"/>
      <c r="BT12" s="100"/>
      <c r="BU12" s="100"/>
      <c r="BV12" s="100"/>
      <c r="BW12" s="100"/>
      <c r="BX12" s="100"/>
      <c r="BY12" s="100"/>
      <c r="BZ12" s="100"/>
      <c r="CA12" s="100"/>
      <c r="CB12" s="100"/>
      <c r="CC12" s="100"/>
      <c r="CD12" s="100"/>
      <c r="CE12" s="100"/>
      <c r="CF12" s="100"/>
      <c r="CG12" s="100"/>
      <c r="CH12" s="100"/>
      <c r="CI12" s="100"/>
      <c r="CJ12" s="100"/>
      <c r="CK12" s="100"/>
      <c r="CL12" s="100"/>
      <c r="CM12" s="100"/>
      <c r="CN12" s="100"/>
      <c r="CO12" s="100"/>
      <c r="CP12" s="100"/>
      <c r="CQ12" s="100"/>
      <c r="CR12" s="100"/>
      <c r="CS12" s="100"/>
      <c r="CT12" s="100"/>
      <c r="CU12" s="100"/>
      <c r="CV12" s="100"/>
      <c r="CW12" s="168"/>
      <c r="CX12" s="168"/>
      <c r="CY12" s="168"/>
      <c r="CZ12" s="168"/>
      <c r="DA12" s="168"/>
      <c r="DB12" s="168"/>
      <c r="DC12" s="168"/>
      <c r="DD12" s="168"/>
      <c r="DE12" s="168"/>
      <c r="DF12" s="168"/>
      <c r="DG12" s="168"/>
      <c r="DH12" s="168"/>
      <c r="DI12" s="168"/>
      <c r="DJ12" s="168"/>
      <c r="DK12" s="168"/>
      <c r="DL12" s="168"/>
      <c r="DM12" s="168"/>
      <c r="DN12" s="168"/>
      <c r="DO12" s="168"/>
      <c r="DP12" s="168"/>
      <c r="DQ12" s="168"/>
      <c r="DR12" s="168"/>
      <c r="DS12" s="168"/>
      <c r="DT12" s="168"/>
      <c r="DU12" s="168"/>
      <c r="DV12" s="168"/>
      <c r="DW12" s="168"/>
      <c r="DX12" s="168"/>
      <c r="DY12" s="168"/>
      <c r="DZ12" s="168"/>
      <c r="EA12" s="168"/>
      <c r="EB12" s="168"/>
      <c r="EC12" s="168"/>
      <c r="ED12" s="168"/>
      <c r="EE12" s="168"/>
      <c r="EF12" s="168"/>
      <c r="EG12" s="168"/>
      <c r="EH12" s="163"/>
      <c r="EI12" s="163"/>
      <c r="EJ12" s="163"/>
      <c r="EK12" s="163"/>
      <c r="EL12" s="163"/>
      <c r="EM12" s="163"/>
      <c r="EN12" s="163"/>
      <c r="EO12" s="163"/>
      <c r="EP12" s="163"/>
      <c r="EQ12" s="163"/>
      <c r="ER12" s="163"/>
      <c r="ES12" s="163"/>
      <c r="ET12" s="163"/>
      <c r="EU12" s="163"/>
      <c r="EV12" s="163"/>
      <c r="EW12" s="163"/>
      <c r="EX12" s="163"/>
      <c r="EY12" s="163"/>
      <c r="EZ12" s="163"/>
      <c r="FA12" s="163"/>
      <c r="FB12" s="163"/>
      <c r="FC12" s="163"/>
      <c r="FD12" s="163"/>
      <c r="FE12" s="163"/>
      <c r="FF12" s="163"/>
      <c r="FG12" s="163"/>
      <c r="FH12" s="163"/>
      <c r="FI12" s="163"/>
      <c r="FJ12" s="163"/>
      <c r="FK12" s="163"/>
      <c r="FL12" s="163"/>
      <c r="FM12" s="163"/>
      <c r="FN12" s="163"/>
      <c r="FO12" s="163"/>
      <c r="FP12" s="170"/>
    </row>
    <row r="13" spans="1:172" x14ac:dyDescent="0.2">
      <c r="A13" s="171" t="b">
        <v>0</v>
      </c>
      <c r="B13" s="171" t="b">
        <v>0</v>
      </c>
      <c r="C13" s="171" t="b">
        <v>1</v>
      </c>
      <c r="D13" s="171" t="b">
        <v>0</v>
      </c>
      <c r="E13" s="171" t="b">
        <v>0</v>
      </c>
      <c r="F13" s="171" t="b">
        <v>0</v>
      </c>
      <c r="G13" s="163" t="s">
        <v>765</v>
      </c>
      <c r="H13" s="163"/>
      <c r="I13" s="163"/>
      <c r="J13" s="163" t="s">
        <v>519</v>
      </c>
      <c r="K13" s="163" t="s">
        <v>615</v>
      </c>
      <c r="L13" s="163" t="s">
        <v>814</v>
      </c>
      <c r="M13" s="163"/>
      <c r="N13" s="163" t="s">
        <v>616</v>
      </c>
      <c r="O13" s="163"/>
      <c r="P13" s="163"/>
      <c r="Q13" s="163"/>
      <c r="R13" s="163" t="s">
        <v>635</v>
      </c>
      <c r="S13" s="163"/>
      <c r="T13" s="163"/>
      <c r="U13" s="163"/>
      <c r="V13" s="163"/>
      <c r="W13" s="163" t="s">
        <v>134</v>
      </c>
      <c r="X13" s="163" t="s">
        <v>129</v>
      </c>
      <c r="Y13" s="163" t="s">
        <v>148</v>
      </c>
      <c r="Z13" s="163" t="s">
        <v>142</v>
      </c>
      <c r="AA13" s="68" t="s">
        <v>115</v>
      </c>
      <c r="AB13" s="68"/>
      <c r="AC13" s="68"/>
      <c r="AD13" s="68" t="s">
        <v>115</v>
      </c>
      <c r="AE13" s="68" t="s">
        <v>116</v>
      </c>
      <c r="AF13" s="68"/>
      <c r="AG13" s="68"/>
      <c r="AH13" s="68" t="s">
        <v>116</v>
      </c>
      <c r="AI13" s="163"/>
      <c r="AJ13" s="163"/>
      <c r="AK13" s="163"/>
      <c r="AL13" s="163"/>
      <c r="AM13" s="163"/>
      <c r="AN13" s="163"/>
      <c r="AO13" s="163"/>
      <c r="AP13" s="163"/>
      <c r="AQ13" s="163"/>
      <c r="AR13" s="163"/>
      <c r="AS13" s="163" t="s">
        <v>1528</v>
      </c>
      <c r="AT13" s="163" t="s">
        <v>612</v>
      </c>
      <c r="AU13" s="163" t="str">
        <f>IF($AT13="","",IFERROR(INDEX([2]InstructorMap!$B:$B, MATCH($AT13, [2]InstructorMap!$A:$A, 0)),""))</f>
        <v>cvine@andrews.edu</v>
      </c>
      <c r="AV13" s="163" t="str">
        <f>IF($AT13="","",IFERROR(INDEX([2]InstructorMap!$C:$C, MATCH($AT13, [2]InstructorMap!$A:$A, 0)),""))</f>
        <v>000093509</v>
      </c>
      <c r="AW13" s="163" t="s">
        <v>121</v>
      </c>
      <c r="AX13" s="163" t="s">
        <v>122</v>
      </c>
      <c r="AY13" s="163"/>
      <c r="AZ13" s="163"/>
      <c r="BA13" s="163"/>
      <c r="BB13" s="163"/>
      <c r="BC13" s="163"/>
      <c r="BD13" s="163"/>
      <c r="BE13" s="163"/>
      <c r="BF13" s="163"/>
      <c r="BG13" s="163"/>
      <c r="BH13" s="163"/>
      <c r="BI13" s="163"/>
      <c r="BJ13" s="163"/>
      <c r="BK13" s="163"/>
      <c r="BL13" s="163" t="s">
        <v>249</v>
      </c>
      <c r="BM13" s="163"/>
      <c r="BN13" s="163"/>
      <c r="BO13" s="163"/>
      <c r="BP13" s="163"/>
      <c r="BQ13" s="163"/>
      <c r="BR13" s="163"/>
      <c r="BS13" s="163"/>
      <c r="BT13" s="163"/>
      <c r="BU13" s="163"/>
      <c r="BV13" s="163"/>
      <c r="BW13" s="163"/>
      <c r="BX13" s="163"/>
      <c r="BY13" s="163"/>
      <c r="BZ13" s="163"/>
      <c r="CA13" s="163"/>
      <c r="CB13" s="163"/>
      <c r="CC13" s="163"/>
      <c r="CD13" s="163"/>
      <c r="CE13" s="163"/>
      <c r="CF13" s="163"/>
      <c r="CG13" s="163"/>
      <c r="CH13" s="163"/>
      <c r="CI13" s="163"/>
      <c r="CJ13" s="163"/>
      <c r="CK13" s="163"/>
      <c r="CL13" s="163"/>
      <c r="CM13" s="163"/>
      <c r="CN13" s="163"/>
      <c r="CO13" s="163"/>
      <c r="CP13" s="163"/>
      <c r="CQ13" s="163"/>
      <c r="CR13" s="163"/>
      <c r="CS13" s="163"/>
      <c r="CT13" s="163"/>
      <c r="CU13" s="163"/>
      <c r="CV13" s="163"/>
      <c r="CW13" s="168"/>
      <c r="CX13" s="168"/>
      <c r="CY13" s="168"/>
      <c r="CZ13" s="168"/>
      <c r="DA13" s="168"/>
      <c r="DB13" s="168"/>
      <c r="DC13" s="168"/>
      <c r="DD13" s="168"/>
      <c r="DE13" s="168"/>
      <c r="DF13" s="168"/>
      <c r="DG13" s="168"/>
      <c r="DH13" s="168"/>
      <c r="DI13" s="168"/>
      <c r="DJ13" s="168"/>
      <c r="DK13" s="168"/>
      <c r="DL13" s="168"/>
      <c r="DM13" s="168"/>
      <c r="DN13" s="168"/>
      <c r="DO13" s="168"/>
      <c r="DP13" s="168"/>
      <c r="DQ13" s="168"/>
      <c r="DR13" s="168"/>
      <c r="DS13" s="168"/>
      <c r="DT13" s="168"/>
      <c r="DU13" s="168"/>
      <c r="DV13" s="168"/>
      <c r="DW13" s="168"/>
      <c r="DX13" s="168"/>
      <c r="DY13" s="168"/>
      <c r="DZ13" s="168"/>
      <c r="EA13" s="168"/>
      <c r="EB13" s="168"/>
      <c r="EC13" s="168"/>
      <c r="ED13" s="168"/>
      <c r="EE13" s="168"/>
      <c r="EF13" s="168"/>
      <c r="EG13" s="168"/>
      <c r="EH13" s="163"/>
      <c r="EI13" s="163"/>
      <c r="EJ13" s="163"/>
      <c r="EK13" s="163"/>
      <c r="EL13" s="163"/>
      <c r="EM13" s="163"/>
      <c r="EN13" s="163"/>
      <c r="EO13" s="163"/>
      <c r="EP13" s="163"/>
      <c r="EQ13" s="163"/>
      <c r="ER13" s="163"/>
      <c r="ES13" s="163"/>
      <c r="ET13" s="163"/>
      <c r="EU13" s="163"/>
      <c r="EV13" s="163"/>
      <c r="EW13" s="163"/>
      <c r="EX13" s="163"/>
      <c r="EY13" s="163"/>
      <c r="EZ13" s="163"/>
      <c r="FA13" s="163"/>
      <c r="FB13" s="163"/>
      <c r="FC13" s="163"/>
      <c r="FD13" s="163"/>
      <c r="FE13" s="163"/>
      <c r="FF13" s="163"/>
      <c r="FG13" s="163"/>
      <c r="FH13" s="163"/>
      <c r="FI13" s="163"/>
      <c r="FJ13" s="163"/>
      <c r="FK13" s="163"/>
      <c r="FL13" s="163"/>
      <c r="FM13" s="163"/>
      <c r="FN13" s="163"/>
      <c r="FO13" s="163"/>
      <c r="FP13" s="163"/>
    </row>
    <row r="14" spans="1:172" x14ac:dyDescent="0.2">
      <c r="A14" s="173" t="b">
        <v>0</v>
      </c>
      <c r="B14" s="173" t="b">
        <v>0</v>
      </c>
      <c r="C14" s="173" t="b">
        <v>1</v>
      </c>
      <c r="D14" s="173" t="b">
        <v>0</v>
      </c>
      <c r="E14" s="173" t="b">
        <v>0</v>
      </c>
      <c r="F14" s="173" t="b">
        <v>0</v>
      </c>
      <c r="G14" s="163" t="s">
        <v>765</v>
      </c>
      <c r="H14" s="163"/>
      <c r="I14" s="163"/>
      <c r="J14" s="163" t="s">
        <v>519</v>
      </c>
      <c r="K14" s="163" t="s">
        <v>621</v>
      </c>
      <c r="L14" s="163" t="s">
        <v>1526</v>
      </c>
      <c r="M14" s="163"/>
      <c r="N14" s="163" t="s">
        <v>622</v>
      </c>
      <c r="O14" s="163"/>
      <c r="P14" s="163"/>
      <c r="Q14" s="163"/>
      <c r="R14" s="163" t="s">
        <v>635</v>
      </c>
      <c r="S14" s="163"/>
      <c r="T14" s="163"/>
      <c r="U14" s="163"/>
      <c r="V14" s="163"/>
      <c r="W14" s="163" t="s">
        <v>134</v>
      </c>
      <c r="X14" s="163" t="s">
        <v>112</v>
      </c>
      <c r="Y14" s="163" t="s">
        <v>148</v>
      </c>
      <c r="Z14" s="163" t="s">
        <v>142</v>
      </c>
      <c r="AA14" s="68" t="s">
        <v>115</v>
      </c>
      <c r="AB14" s="68"/>
      <c r="AC14" s="68"/>
      <c r="AD14" s="68" t="s">
        <v>115</v>
      </c>
      <c r="AE14" s="68" t="s">
        <v>116</v>
      </c>
      <c r="AF14" s="68"/>
      <c r="AG14" s="68"/>
      <c r="AH14" s="68" t="s">
        <v>116</v>
      </c>
      <c r="AI14" s="163"/>
      <c r="AJ14" s="163"/>
      <c r="AK14" s="163"/>
      <c r="AL14" s="163"/>
      <c r="AM14" s="163"/>
      <c r="AN14" s="163"/>
      <c r="AO14" s="163"/>
      <c r="AP14" s="163"/>
      <c r="AQ14" s="163"/>
      <c r="AR14" s="163"/>
      <c r="AS14" s="163" t="s">
        <v>1527</v>
      </c>
      <c r="AT14" s="163" t="s">
        <v>1535</v>
      </c>
      <c r="AU14" s="163" t="str">
        <f>IF($AT14="","",IFERROR(INDEX([2]InstructorMap!$B:$B, MATCH($AT14, [2]InstructorMap!$A:$A, 0)),""))</f>
        <v/>
      </c>
      <c r="AV14" s="163" t="str">
        <f>IF($AT14="","",IFERROR(INDEX([2]InstructorMap!$C:$C, MATCH($AT14, [2]InstructorMap!$A:$A, 0)),""))</f>
        <v/>
      </c>
      <c r="AW14" s="163" t="s">
        <v>121</v>
      </c>
      <c r="AX14" s="100"/>
      <c r="AY14" s="100"/>
      <c r="AZ14" s="100"/>
      <c r="BA14" s="100"/>
      <c r="BB14" s="100"/>
      <c r="BC14" s="100"/>
      <c r="BD14" s="100"/>
      <c r="BE14" s="100"/>
      <c r="BF14" s="100"/>
      <c r="BG14" s="100"/>
      <c r="BH14" s="100"/>
      <c r="BI14" s="100"/>
      <c r="BJ14" s="100"/>
      <c r="BK14" s="100"/>
      <c r="BL14" s="163" t="s">
        <v>249</v>
      </c>
      <c r="BM14" s="100"/>
      <c r="BN14" s="100"/>
      <c r="BO14" s="100"/>
      <c r="BP14" s="100"/>
      <c r="BQ14" s="100"/>
      <c r="BR14" s="100"/>
      <c r="BS14" s="100"/>
      <c r="BT14" s="100"/>
      <c r="BU14" s="100"/>
      <c r="BV14" s="100"/>
      <c r="BW14" s="100"/>
      <c r="BX14" s="100"/>
      <c r="BY14" s="100"/>
      <c r="BZ14" s="100"/>
      <c r="CA14" s="100"/>
      <c r="CB14" s="100"/>
      <c r="CC14" s="100"/>
      <c r="CD14" s="100"/>
      <c r="CE14" s="100"/>
      <c r="CF14" s="100"/>
      <c r="CG14" s="100"/>
      <c r="CH14" s="100"/>
      <c r="CI14" s="100"/>
      <c r="CJ14" s="100"/>
      <c r="CK14" s="100"/>
      <c r="CL14" s="100"/>
      <c r="CM14" s="100"/>
      <c r="CN14" s="100"/>
      <c r="CO14" s="100"/>
      <c r="CP14" s="100"/>
      <c r="CQ14" s="100"/>
      <c r="CR14" s="100"/>
      <c r="CS14" s="100"/>
      <c r="CT14" s="100"/>
      <c r="CU14" s="100"/>
      <c r="CV14" s="100"/>
      <c r="CW14" s="168"/>
      <c r="CX14" s="168"/>
      <c r="CY14" s="168"/>
      <c r="CZ14" s="168"/>
      <c r="DA14" s="168"/>
      <c r="DB14" s="168"/>
      <c r="DC14" s="168"/>
      <c r="DD14" s="168"/>
      <c r="DE14" s="168"/>
      <c r="DF14" s="168"/>
      <c r="DG14" s="168"/>
      <c r="DH14" s="168"/>
      <c r="DI14" s="168"/>
      <c r="DJ14" s="168"/>
      <c r="DK14" s="168"/>
      <c r="DL14" s="168"/>
      <c r="DM14" s="168"/>
      <c r="DN14" s="168"/>
      <c r="DO14" s="168"/>
      <c r="DP14" s="168"/>
      <c r="DQ14" s="168"/>
      <c r="DR14" s="168"/>
      <c r="DS14" s="168"/>
      <c r="DT14" s="168"/>
      <c r="DU14" s="168"/>
      <c r="DV14" s="168"/>
      <c r="DW14" s="168"/>
      <c r="DX14" s="168"/>
      <c r="DY14" s="168"/>
      <c r="DZ14" s="168"/>
      <c r="EA14" s="168"/>
      <c r="EB14" s="168"/>
      <c r="EC14" s="168"/>
      <c r="ED14" s="168"/>
      <c r="EE14" s="168"/>
      <c r="EF14" s="168"/>
      <c r="EG14" s="168"/>
      <c r="EH14" s="163"/>
      <c r="EI14" s="163"/>
      <c r="EJ14" s="163"/>
      <c r="EK14" s="163"/>
      <c r="EL14" s="163"/>
      <c r="EM14" s="163"/>
      <c r="EN14" s="163"/>
      <c r="EO14" s="163"/>
      <c r="EP14" s="163"/>
      <c r="EQ14" s="163"/>
      <c r="ER14" s="163"/>
      <c r="ES14" s="163"/>
      <c r="ET14" s="163"/>
      <c r="EU14" s="163"/>
      <c r="EV14" s="163"/>
      <c r="EW14" s="163"/>
      <c r="EX14" s="163"/>
      <c r="EY14" s="163"/>
      <c r="EZ14" s="163"/>
      <c r="FA14" s="163"/>
      <c r="FB14" s="163"/>
      <c r="FC14" s="163"/>
      <c r="FD14" s="163"/>
      <c r="FE14" s="163"/>
      <c r="FF14" s="163"/>
      <c r="FG14" s="163"/>
      <c r="FH14" s="163"/>
      <c r="FI14" s="163"/>
      <c r="FJ14" s="163"/>
      <c r="FK14" s="163"/>
      <c r="FL14" s="163"/>
      <c r="FM14" s="163"/>
      <c r="FN14" s="163"/>
      <c r="FO14" s="163"/>
      <c r="FP14" s="170"/>
    </row>
    <row r="15" spans="1:172" x14ac:dyDescent="0.2">
      <c r="A15" s="173" t="b">
        <v>0</v>
      </c>
      <c r="B15" s="173" t="b">
        <v>0</v>
      </c>
      <c r="C15" s="173" t="b">
        <v>1</v>
      </c>
      <c r="D15" s="173" t="b">
        <v>0</v>
      </c>
      <c r="E15" s="173" t="b">
        <v>0</v>
      </c>
      <c r="F15" s="173" t="b">
        <v>0</v>
      </c>
      <c r="G15" s="163" t="s">
        <v>765</v>
      </c>
      <c r="H15" s="163"/>
      <c r="I15" s="163"/>
      <c r="J15" s="163" t="s">
        <v>519</v>
      </c>
      <c r="K15" s="163" t="s">
        <v>621</v>
      </c>
      <c r="L15" s="163" t="s">
        <v>1531</v>
      </c>
      <c r="M15" s="163"/>
      <c r="N15" s="163" t="s">
        <v>622</v>
      </c>
      <c r="O15" s="163"/>
      <c r="P15" s="163"/>
      <c r="Q15" s="163"/>
      <c r="R15" s="163" t="s">
        <v>635</v>
      </c>
      <c r="S15" s="163"/>
      <c r="T15" s="163"/>
      <c r="U15" s="163"/>
      <c r="V15" s="163"/>
      <c r="W15" s="163" t="s">
        <v>134</v>
      </c>
      <c r="X15" s="163" t="s">
        <v>112</v>
      </c>
      <c r="Y15" s="163" t="s">
        <v>148</v>
      </c>
      <c r="Z15" s="163" t="s">
        <v>142</v>
      </c>
      <c r="AA15" s="68" t="s">
        <v>115</v>
      </c>
      <c r="AB15" s="68"/>
      <c r="AC15" s="68"/>
      <c r="AD15" s="68" t="s">
        <v>115</v>
      </c>
      <c r="AE15" s="68" t="s">
        <v>116</v>
      </c>
      <c r="AF15" s="68"/>
      <c r="AG15" s="68"/>
      <c r="AH15" s="68" t="s">
        <v>116</v>
      </c>
      <c r="AI15" s="163"/>
      <c r="AJ15" s="163"/>
      <c r="AK15" s="163"/>
      <c r="AL15" s="163"/>
      <c r="AM15" s="163"/>
      <c r="AN15" s="163"/>
      <c r="AO15" s="163"/>
      <c r="AP15" s="163"/>
      <c r="AQ15" s="163"/>
      <c r="AR15" s="163"/>
      <c r="AS15" s="163" t="s">
        <v>1532</v>
      </c>
      <c r="AT15" s="163" t="s">
        <v>196</v>
      </c>
      <c r="AU15" s="163" t="str">
        <f>IF($AT15="","",IFERROR(INDEX([2]InstructorMap!$B:$B, MATCH($AT15, [2]InstructorMap!$A:$A, 0)),""))</f>
        <v/>
      </c>
      <c r="AV15" s="163" t="str">
        <f>IF($AT15="","",IFERROR(INDEX([2]InstructorMap!$C:$C, MATCH($AT15, [2]InstructorMap!$A:$A, 0)),""))</f>
        <v/>
      </c>
      <c r="AW15" s="163" t="s">
        <v>121</v>
      </c>
      <c r="AX15" s="100"/>
      <c r="AY15" s="100"/>
      <c r="AZ15" s="100"/>
      <c r="BA15" s="100"/>
      <c r="BB15" s="100"/>
      <c r="BC15" s="100"/>
      <c r="BD15" s="100"/>
      <c r="BE15" s="100"/>
      <c r="BF15" s="100"/>
      <c r="BG15" s="100"/>
      <c r="BH15" s="100"/>
      <c r="BI15" s="100"/>
      <c r="BJ15" s="100"/>
      <c r="BK15" s="100"/>
      <c r="BL15" s="163" t="s">
        <v>249</v>
      </c>
      <c r="BM15" s="100"/>
      <c r="BN15" s="100"/>
      <c r="BO15" s="100"/>
      <c r="BP15" s="100"/>
      <c r="BQ15" s="100"/>
      <c r="BR15" s="100"/>
      <c r="BS15" s="100"/>
      <c r="BT15" s="100"/>
      <c r="BU15" s="100"/>
      <c r="BV15" s="100"/>
      <c r="BW15" s="100"/>
      <c r="BX15" s="100"/>
      <c r="BY15" s="100"/>
      <c r="BZ15" s="100"/>
      <c r="CA15" s="100"/>
      <c r="CB15" s="100"/>
      <c r="CC15" s="100"/>
      <c r="CD15" s="100"/>
      <c r="CE15" s="100"/>
      <c r="CF15" s="100"/>
      <c r="CG15" s="100"/>
      <c r="CH15" s="100"/>
      <c r="CI15" s="100"/>
      <c r="CJ15" s="100"/>
      <c r="CK15" s="100"/>
      <c r="CL15" s="100"/>
      <c r="CM15" s="100"/>
      <c r="CN15" s="100"/>
      <c r="CO15" s="100"/>
      <c r="CP15" s="100"/>
      <c r="CQ15" s="100"/>
      <c r="CR15" s="100"/>
      <c r="CS15" s="100"/>
      <c r="CT15" s="100"/>
      <c r="CU15" s="100"/>
      <c r="CV15" s="100"/>
      <c r="CW15" s="168"/>
      <c r="CX15" s="168"/>
      <c r="CY15" s="168"/>
      <c r="CZ15" s="168"/>
      <c r="DA15" s="168"/>
      <c r="DB15" s="168"/>
      <c r="DC15" s="168"/>
      <c r="DD15" s="168"/>
      <c r="DE15" s="168"/>
      <c r="DF15" s="168"/>
      <c r="DG15" s="168"/>
      <c r="DH15" s="168"/>
      <c r="DI15" s="168"/>
      <c r="DJ15" s="168"/>
      <c r="DK15" s="168"/>
      <c r="DL15" s="168"/>
      <c r="DM15" s="168"/>
      <c r="DN15" s="168"/>
      <c r="DO15" s="168"/>
      <c r="DP15" s="168"/>
      <c r="DQ15" s="168"/>
      <c r="DR15" s="168"/>
      <c r="DS15" s="168"/>
      <c r="DT15" s="168"/>
      <c r="DU15" s="168"/>
      <c r="DV15" s="168"/>
      <c r="DW15" s="168"/>
      <c r="DX15" s="168"/>
      <c r="DY15" s="168"/>
      <c r="DZ15" s="168"/>
      <c r="EA15" s="168"/>
      <c r="EB15" s="168"/>
      <c r="EC15" s="168"/>
      <c r="ED15" s="168"/>
      <c r="EE15" s="168"/>
      <c r="EF15" s="168"/>
      <c r="EG15" s="168"/>
      <c r="EH15" s="163"/>
      <c r="EI15" s="163"/>
      <c r="EJ15" s="163"/>
      <c r="EK15" s="163"/>
      <c r="EL15" s="163"/>
      <c r="EM15" s="163"/>
      <c r="EN15" s="163"/>
      <c r="EO15" s="163"/>
      <c r="EP15" s="163"/>
      <c r="EQ15" s="163"/>
      <c r="ER15" s="163"/>
      <c r="ES15" s="163"/>
      <c r="ET15" s="163"/>
      <c r="EU15" s="163"/>
      <c r="EV15" s="163"/>
      <c r="EW15" s="163"/>
      <c r="EX15" s="163"/>
      <c r="EY15" s="163"/>
      <c r="EZ15" s="163"/>
      <c r="FA15" s="163"/>
      <c r="FB15" s="163"/>
      <c r="FC15" s="163"/>
      <c r="FD15" s="163"/>
      <c r="FE15" s="163"/>
      <c r="FF15" s="163"/>
      <c r="FG15" s="163"/>
      <c r="FH15" s="163"/>
      <c r="FI15" s="163"/>
      <c r="FJ15" s="163"/>
      <c r="FK15" s="163"/>
      <c r="FL15" s="163"/>
      <c r="FM15" s="163"/>
      <c r="FN15" s="163"/>
      <c r="FO15" s="163"/>
      <c r="FP15" s="170"/>
    </row>
    <row r="16" spans="1:172" x14ac:dyDescent="0.2">
      <c r="A16" s="169" t="b">
        <v>0</v>
      </c>
      <c r="B16" s="169" t="b">
        <v>0</v>
      </c>
      <c r="C16" s="169" t="b">
        <v>1</v>
      </c>
      <c r="D16" s="169" t="b">
        <v>0</v>
      </c>
      <c r="E16" s="169" t="b">
        <v>0</v>
      </c>
      <c r="F16" s="169" t="b">
        <v>0</v>
      </c>
      <c r="G16" s="163" t="s">
        <v>765</v>
      </c>
      <c r="H16" s="100"/>
      <c r="I16" s="100"/>
      <c r="J16" s="100" t="s">
        <v>519</v>
      </c>
      <c r="K16" s="163" t="s">
        <v>621</v>
      </c>
      <c r="L16" s="163" t="s">
        <v>1533</v>
      </c>
      <c r="M16" s="163"/>
      <c r="N16" s="163" t="s">
        <v>622</v>
      </c>
      <c r="O16" s="163"/>
      <c r="P16" s="163"/>
      <c r="Q16" s="163"/>
      <c r="R16" s="163" t="s">
        <v>635</v>
      </c>
      <c r="S16" s="163"/>
      <c r="T16" s="163"/>
      <c r="U16" s="163"/>
      <c r="V16" s="163"/>
      <c r="W16" s="163" t="s">
        <v>134</v>
      </c>
      <c r="X16" s="163" t="s">
        <v>112</v>
      </c>
      <c r="Y16" s="163" t="s">
        <v>148</v>
      </c>
      <c r="Z16" s="163" t="s">
        <v>142</v>
      </c>
      <c r="AA16" s="68" t="s">
        <v>115</v>
      </c>
      <c r="AB16" s="68"/>
      <c r="AC16" s="68"/>
      <c r="AD16" s="68" t="s">
        <v>115</v>
      </c>
      <c r="AE16" s="68" t="s">
        <v>116</v>
      </c>
      <c r="AF16" s="68"/>
      <c r="AG16" s="68"/>
      <c r="AH16" s="68" t="s">
        <v>116</v>
      </c>
      <c r="AI16" s="163"/>
      <c r="AJ16" s="163"/>
      <c r="AK16" s="163"/>
      <c r="AL16" s="163"/>
      <c r="AM16" s="163"/>
      <c r="AN16" s="163"/>
      <c r="AO16" s="163"/>
      <c r="AP16" s="163"/>
      <c r="AQ16" s="163"/>
      <c r="AR16" s="163"/>
      <c r="AS16" s="163" t="s">
        <v>1534</v>
      </c>
      <c r="AT16" s="163" t="s">
        <v>1536</v>
      </c>
      <c r="AU16" s="96" t="s">
        <v>1537</v>
      </c>
      <c r="AV16" s="100" t="s">
        <v>1538</v>
      </c>
      <c r="AW16" s="163" t="s">
        <v>121</v>
      </c>
      <c r="AX16" s="100"/>
      <c r="AY16" s="100"/>
      <c r="AZ16" s="100"/>
      <c r="BA16" s="100"/>
      <c r="BB16" s="100"/>
      <c r="BC16" s="100"/>
      <c r="BD16" s="100"/>
      <c r="BE16" s="100"/>
      <c r="BF16" s="100"/>
      <c r="BG16" s="100"/>
      <c r="BH16" s="100"/>
      <c r="BI16" s="100"/>
      <c r="BJ16" s="100"/>
      <c r="BK16" s="100"/>
      <c r="BL16" s="163" t="s">
        <v>249</v>
      </c>
      <c r="BM16" s="100"/>
      <c r="BN16" s="100"/>
      <c r="BO16" s="100"/>
      <c r="BP16" s="100"/>
      <c r="BQ16" s="100"/>
      <c r="BR16" s="100"/>
      <c r="BS16" s="100"/>
      <c r="BT16" s="100"/>
      <c r="BU16" s="100"/>
      <c r="BV16" s="100"/>
      <c r="BW16" s="100"/>
      <c r="BX16" s="100"/>
      <c r="BY16" s="100"/>
      <c r="BZ16" s="100"/>
      <c r="CA16" s="100"/>
      <c r="CB16" s="100"/>
      <c r="CC16" s="100"/>
      <c r="CD16" s="100"/>
      <c r="CE16" s="100"/>
      <c r="CF16" s="100"/>
      <c r="CG16" s="100"/>
      <c r="CH16" s="100"/>
      <c r="CI16" s="100"/>
      <c r="CJ16" s="100"/>
      <c r="CK16" s="100"/>
      <c r="CL16" s="100"/>
      <c r="CM16" s="100"/>
      <c r="CN16" s="100"/>
      <c r="CO16" s="100"/>
      <c r="CP16" s="100"/>
      <c r="CQ16" s="100"/>
      <c r="CR16" s="100"/>
      <c r="CS16" s="100"/>
      <c r="CT16" s="100"/>
      <c r="CU16" s="100"/>
      <c r="CV16" s="100"/>
      <c r="CW16" s="168"/>
      <c r="CX16" s="168"/>
      <c r="CY16" s="168"/>
      <c r="CZ16" s="168"/>
      <c r="DA16" s="168"/>
      <c r="DB16" s="168"/>
      <c r="DC16" s="168"/>
      <c r="DD16" s="168"/>
      <c r="DE16" s="168"/>
      <c r="DF16" s="168"/>
      <c r="DG16" s="168"/>
      <c r="DH16" s="168"/>
      <c r="DI16" s="168"/>
      <c r="DJ16" s="168"/>
      <c r="DK16" s="168"/>
      <c r="DL16" s="168"/>
      <c r="DM16" s="168"/>
      <c r="DN16" s="168"/>
      <c r="DO16" s="168"/>
      <c r="DP16" s="168"/>
      <c r="DQ16" s="168"/>
      <c r="DR16" s="168"/>
      <c r="DS16" s="168"/>
      <c r="DT16" s="168"/>
      <c r="DU16" s="168"/>
      <c r="DV16" s="168"/>
      <c r="DW16" s="168"/>
      <c r="DX16" s="168"/>
      <c r="DY16" s="168"/>
      <c r="DZ16" s="168"/>
      <c r="EA16" s="168"/>
      <c r="EB16" s="168"/>
      <c r="EC16" s="168"/>
      <c r="ED16" s="168"/>
      <c r="EE16" s="168"/>
      <c r="EF16" s="168"/>
      <c r="EG16" s="168"/>
      <c r="EH16" s="163"/>
      <c r="EI16" s="163"/>
      <c r="EJ16" s="163"/>
      <c r="EK16" s="163"/>
      <c r="EL16" s="163"/>
      <c r="EM16" s="163"/>
      <c r="EN16" s="163"/>
      <c r="EO16" s="163"/>
      <c r="EP16" s="163"/>
      <c r="EQ16" s="163"/>
      <c r="ER16" s="163"/>
      <c r="ES16" s="163"/>
      <c r="ET16" s="163"/>
      <c r="EU16" s="163"/>
      <c r="EV16" s="163"/>
      <c r="EW16" s="163"/>
      <c r="EX16" s="163"/>
      <c r="EY16" s="163"/>
      <c r="EZ16" s="163"/>
      <c r="FA16" s="163"/>
      <c r="FB16" s="163"/>
      <c r="FC16" s="163"/>
      <c r="FD16" s="163"/>
      <c r="FE16" s="163"/>
      <c r="FF16" s="163"/>
      <c r="FG16" s="163"/>
      <c r="FH16" s="163"/>
      <c r="FI16" s="163"/>
      <c r="FJ16" s="163"/>
      <c r="FK16" s="163"/>
      <c r="FL16" s="163"/>
      <c r="FM16" s="163"/>
      <c r="FN16" s="163"/>
      <c r="FO16" s="163"/>
      <c r="FP16" s="170"/>
    </row>
    <row r="17" spans="1:172" x14ac:dyDescent="0.2">
      <c r="A17" s="169" t="b">
        <v>0</v>
      </c>
      <c r="B17" s="169" t="b">
        <v>0</v>
      </c>
      <c r="C17" s="169" t="b">
        <v>1</v>
      </c>
      <c r="D17" s="169" t="b">
        <v>0</v>
      </c>
      <c r="E17" s="169" t="b">
        <v>0</v>
      </c>
      <c r="F17" s="169" t="b">
        <v>0</v>
      </c>
      <c r="G17" s="163" t="s">
        <v>765</v>
      </c>
      <c r="H17" s="100"/>
      <c r="I17" s="100"/>
      <c r="J17" s="100" t="s">
        <v>519</v>
      </c>
      <c r="K17" s="163" t="s">
        <v>621</v>
      </c>
      <c r="L17" s="163" t="s">
        <v>1529</v>
      </c>
      <c r="M17" s="163"/>
      <c r="N17" s="163" t="s">
        <v>622</v>
      </c>
      <c r="O17" s="163"/>
      <c r="P17" s="163"/>
      <c r="Q17" s="163"/>
      <c r="R17" s="163" t="s">
        <v>635</v>
      </c>
      <c r="S17" s="163"/>
      <c r="T17" s="163"/>
      <c r="U17" s="163"/>
      <c r="V17" s="163"/>
      <c r="W17" s="163" t="s">
        <v>134</v>
      </c>
      <c r="X17" s="163" t="s">
        <v>112</v>
      </c>
      <c r="Y17" s="163" t="s">
        <v>148</v>
      </c>
      <c r="Z17" s="163" t="s">
        <v>142</v>
      </c>
      <c r="AA17" s="68" t="s">
        <v>115</v>
      </c>
      <c r="AB17" s="68"/>
      <c r="AC17" s="68"/>
      <c r="AD17" s="68" t="s">
        <v>115</v>
      </c>
      <c r="AE17" s="68" t="s">
        <v>116</v>
      </c>
      <c r="AF17" s="68"/>
      <c r="AG17" s="68"/>
      <c r="AH17" s="68" t="s">
        <v>116</v>
      </c>
      <c r="AI17" s="163"/>
      <c r="AJ17" s="163"/>
      <c r="AK17" s="163"/>
      <c r="AL17" s="163"/>
      <c r="AM17" s="163"/>
      <c r="AN17" s="163"/>
      <c r="AO17" s="163"/>
      <c r="AP17" s="163"/>
      <c r="AQ17" s="163"/>
      <c r="AR17" s="163"/>
      <c r="AS17" s="163" t="s">
        <v>1530</v>
      </c>
      <c r="AT17" s="163" t="s">
        <v>1539</v>
      </c>
      <c r="AU17" s="96" t="s">
        <v>1540</v>
      </c>
      <c r="AV17" s="100" t="s">
        <v>1541</v>
      </c>
      <c r="AW17" s="163" t="s">
        <v>121</v>
      </c>
      <c r="AX17" s="100"/>
      <c r="AY17" s="100"/>
      <c r="AZ17" s="100"/>
      <c r="BA17" s="100"/>
      <c r="BB17" s="100"/>
      <c r="BC17" s="100"/>
      <c r="BD17" s="100"/>
      <c r="BE17" s="100"/>
      <c r="BF17" s="100"/>
      <c r="BG17" s="100"/>
      <c r="BH17" s="100"/>
      <c r="BI17" s="100"/>
      <c r="BJ17" s="100"/>
      <c r="BK17" s="100"/>
      <c r="BL17" s="163" t="s">
        <v>249</v>
      </c>
      <c r="BM17" s="100"/>
      <c r="BN17" s="100"/>
      <c r="BO17" s="100"/>
      <c r="BP17" s="100"/>
      <c r="BQ17" s="100"/>
      <c r="BR17" s="100"/>
      <c r="BS17" s="100"/>
      <c r="BT17" s="100"/>
      <c r="BU17" s="100"/>
      <c r="BV17" s="100"/>
      <c r="BW17" s="100"/>
      <c r="BX17" s="100"/>
      <c r="BY17" s="100"/>
      <c r="BZ17" s="100"/>
      <c r="CA17" s="100"/>
      <c r="CB17" s="100"/>
      <c r="CC17" s="100"/>
      <c r="CD17" s="100"/>
      <c r="CE17" s="100"/>
      <c r="CF17" s="100"/>
      <c r="CG17" s="100"/>
      <c r="CH17" s="100"/>
      <c r="CI17" s="100"/>
      <c r="CJ17" s="100"/>
      <c r="CK17" s="100"/>
      <c r="CL17" s="100"/>
      <c r="CM17" s="100"/>
      <c r="CN17" s="100"/>
      <c r="CO17" s="100"/>
      <c r="CP17" s="100"/>
      <c r="CQ17" s="100"/>
      <c r="CR17" s="100"/>
      <c r="CS17" s="100"/>
      <c r="CT17" s="100"/>
      <c r="CU17" s="100"/>
      <c r="CV17" s="100"/>
      <c r="CW17" s="168"/>
      <c r="CX17" s="168"/>
      <c r="CY17" s="168"/>
      <c r="CZ17" s="168"/>
      <c r="DA17" s="168"/>
      <c r="DB17" s="168"/>
      <c r="DC17" s="168"/>
      <c r="DD17" s="168"/>
      <c r="DE17" s="168"/>
      <c r="DF17" s="168"/>
      <c r="DG17" s="168"/>
      <c r="DH17" s="168"/>
      <c r="DI17" s="168"/>
      <c r="DJ17" s="168"/>
      <c r="DK17" s="168"/>
      <c r="DL17" s="168"/>
      <c r="DM17" s="168"/>
      <c r="DN17" s="168"/>
      <c r="DO17" s="168"/>
      <c r="DP17" s="168"/>
      <c r="DQ17" s="168"/>
      <c r="DR17" s="168"/>
      <c r="DS17" s="168"/>
      <c r="DT17" s="168"/>
      <c r="DU17" s="168"/>
      <c r="DV17" s="168"/>
      <c r="DW17" s="168"/>
      <c r="DX17" s="168"/>
      <c r="DY17" s="168"/>
      <c r="DZ17" s="168"/>
      <c r="EA17" s="168"/>
      <c r="EB17" s="168"/>
      <c r="EC17" s="168"/>
      <c r="ED17" s="168"/>
      <c r="EE17" s="168"/>
      <c r="EF17" s="168"/>
      <c r="EG17" s="168"/>
      <c r="EH17" s="163"/>
      <c r="EI17" s="163"/>
      <c r="EJ17" s="163"/>
      <c r="EK17" s="163"/>
      <c r="EL17" s="163"/>
      <c r="EM17" s="163"/>
      <c r="EN17" s="163"/>
      <c r="EO17" s="163"/>
      <c r="EP17" s="163"/>
      <c r="EQ17" s="163"/>
      <c r="ER17" s="163"/>
      <c r="ES17" s="163"/>
      <c r="ET17" s="163"/>
      <c r="EU17" s="163"/>
      <c r="EV17" s="163"/>
      <c r="EW17" s="163"/>
      <c r="EX17" s="163"/>
      <c r="EY17" s="163"/>
      <c r="EZ17" s="163"/>
      <c r="FA17" s="163"/>
      <c r="FB17" s="163"/>
      <c r="FC17" s="163"/>
      <c r="FD17" s="163"/>
      <c r="FE17" s="163"/>
      <c r="FF17" s="163"/>
      <c r="FG17" s="163"/>
      <c r="FH17" s="163"/>
      <c r="FI17" s="163"/>
      <c r="FJ17" s="163"/>
      <c r="FK17" s="163"/>
      <c r="FL17" s="163"/>
      <c r="FM17" s="163"/>
      <c r="FN17" s="163"/>
      <c r="FO17" s="163"/>
      <c r="FP17" s="100"/>
    </row>
    <row r="18" spans="1:172" x14ac:dyDescent="0.2">
      <c r="A18" s="169" t="b">
        <v>0</v>
      </c>
      <c r="B18" s="169" t="b">
        <v>0</v>
      </c>
      <c r="C18" s="169" t="b">
        <v>1</v>
      </c>
      <c r="D18" s="169" t="b">
        <v>0</v>
      </c>
      <c r="E18" s="169" t="b">
        <v>0</v>
      </c>
      <c r="F18" s="169" t="b">
        <v>0</v>
      </c>
      <c r="G18" s="163" t="s">
        <v>765</v>
      </c>
      <c r="H18" s="100"/>
      <c r="I18" s="100"/>
      <c r="J18" s="100" t="s">
        <v>519</v>
      </c>
      <c r="K18" s="163" t="s">
        <v>621</v>
      </c>
      <c r="L18" s="163" t="s">
        <v>814</v>
      </c>
      <c r="M18" s="163"/>
      <c r="N18" s="163" t="s">
        <v>622</v>
      </c>
      <c r="O18" s="163"/>
      <c r="P18" s="163"/>
      <c r="Q18" s="163"/>
      <c r="R18" s="163" t="s">
        <v>635</v>
      </c>
      <c r="S18" s="163"/>
      <c r="T18" s="163"/>
      <c r="U18" s="163"/>
      <c r="V18" s="163"/>
      <c r="W18" s="163" t="s">
        <v>134</v>
      </c>
      <c r="X18" s="163" t="s">
        <v>112</v>
      </c>
      <c r="Y18" s="163" t="s">
        <v>148</v>
      </c>
      <c r="Z18" s="163" t="s">
        <v>142</v>
      </c>
      <c r="AA18" s="68" t="s">
        <v>115</v>
      </c>
      <c r="AB18" s="68"/>
      <c r="AC18" s="68"/>
      <c r="AD18" s="68" t="s">
        <v>115</v>
      </c>
      <c r="AE18" s="68" t="s">
        <v>116</v>
      </c>
      <c r="AF18" s="68"/>
      <c r="AG18" s="68"/>
      <c r="AH18" s="68" t="s">
        <v>116</v>
      </c>
      <c r="AI18" s="163"/>
      <c r="AJ18" s="163"/>
      <c r="AK18" s="163"/>
      <c r="AL18" s="163"/>
      <c r="AM18" s="163"/>
      <c r="AN18" s="163"/>
      <c r="AO18" s="163"/>
      <c r="AP18" s="163"/>
      <c r="AQ18" s="163"/>
      <c r="AR18" s="163"/>
      <c r="AS18" s="163" t="s">
        <v>1528</v>
      </c>
      <c r="AT18" s="163" t="s">
        <v>1542</v>
      </c>
      <c r="AU18" s="100" t="str">
        <f>IF($AT18="","",IFERROR(INDEX([2]InstructorMap!$B:$B, MATCH($AT18, [2]InstructorMap!$A:$A, 0)),""))</f>
        <v>agustina@andrews.edu</v>
      </c>
      <c r="AV18" s="100" t="str">
        <f>IF($AT18="","",IFERROR(INDEX([2]InstructorMap!$C:$C, MATCH($AT18, [2]InstructorMap!$A:$A, 0)),""))</f>
        <v>000240618</v>
      </c>
      <c r="AW18" s="163" t="s">
        <v>121</v>
      </c>
      <c r="AX18" s="100"/>
      <c r="AY18" s="100"/>
      <c r="AZ18" s="100"/>
      <c r="BA18" s="100"/>
      <c r="BB18" s="100"/>
      <c r="BC18" s="100"/>
      <c r="BD18" s="100"/>
      <c r="BE18" s="100"/>
      <c r="BF18" s="100"/>
      <c r="BG18" s="100"/>
      <c r="BH18" s="100"/>
      <c r="BI18" s="100"/>
      <c r="BJ18" s="100"/>
      <c r="BK18" s="100"/>
      <c r="BL18" s="163" t="s">
        <v>249</v>
      </c>
      <c r="BM18" s="100"/>
      <c r="BN18" s="100"/>
      <c r="BO18" s="100"/>
      <c r="BP18" s="100"/>
      <c r="BQ18" s="100"/>
      <c r="BR18" s="100"/>
      <c r="BS18" s="100"/>
      <c r="BT18" s="100"/>
      <c r="BU18" s="100"/>
      <c r="BV18" s="100"/>
      <c r="BW18" s="100"/>
      <c r="BX18" s="100"/>
      <c r="BY18" s="100"/>
      <c r="BZ18" s="100"/>
      <c r="CA18" s="100"/>
      <c r="CB18" s="100"/>
      <c r="CC18" s="100"/>
      <c r="CD18" s="100"/>
      <c r="CE18" s="100"/>
      <c r="CF18" s="100"/>
      <c r="CG18" s="100"/>
      <c r="CH18" s="100"/>
      <c r="CI18" s="100"/>
      <c r="CJ18" s="100"/>
      <c r="CK18" s="100"/>
      <c r="CL18" s="100"/>
      <c r="CM18" s="100"/>
      <c r="CN18" s="100"/>
      <c r="CO18" s="100"/>
      <c r="CP18" s="100"/>
      <c r="CQ18" s="100"/>
      <c r="CR18" s="100"/>
      <c r="CS18" s="100"/>
      <c r="CT18" s="100"/>
      <c r="CU18" s="100"/>
      <c r="CV18" s="100"/>
      <c r="CW18" s="168"/>
      <c r="CX18" s="168"/>
      <c r="CY18" s="168"/>
      <c r="CZ18" s="168"/>
      <c r="DA18" s="168"/>
      <c r="DB18" s="168"/>
      <c r="DC18" s="168"/>
      <c r="DD18" s="168"/>
      <c r="DE18" s="168"/>
      <c r="DF18" s="168"/>
      <c r="DG18" s="168"/>
      <c r="DH18" s="168"/>
      <c r="DI18" s="168"/>
      <c r="DJ18" s="168"/>
      <c r="DK18" s="168"/>
      <c r="DL18" s="168"/>
      <c r="DM18" s="168"/>
      <c r="DN18" s="168"/>
      <c r="DO18" s="168"/>
      <c r="DP18" s="168"/>
      <c r="DQ18" s="168"/>
      <c r="DR18" s="168"/>
      <c r="DS18" s="168"/>
      <c r="DT18" s="168"/>
      <c r="DU18" s="168"/>
      <c r="DV18" s="168"/>
      <c r="DW18" s="168"/>
      <c r="DX18" s="168"/>
      <c r="DY18" s="168"/>
      <c r="DZ18" s="168"/>
      <c r="EA18" s="168"/>
      <c r="EB18" s="168"/>
      <c r="EC18" s="168"/>
      <c r="ED18" s="168"/>
      <c r="EE18" s="168"/>
      <c r="EF18" s="168"/>
      <c r="EG18" s="168"/>
      <c r="EH18" s="163"/>
      <c r="EI18" s="163"/>
      <c r="EJ18" s="163"/>
      <c r="EK18" s="163"/>
      <c r="EL18" s="163"/>
      <c r="EM18" s="163"/>
      <c r="EN18" s="163"/>
      <c r="EO18" s="163"/>
      <c r="EP18" s="163"/>
      <c r="EQ18" s="163"/>
      <c r="ER18" s="163"/>
      <c r="ES18" s="163"/>
      <c r="ET18" s="163"/>
      <c r="EU18" s="163"/>
      <c r="EV18" s="163"/>
      <c r="EW18" s="163"/>
      <c r="EX18" s="163"/>
      <c r="EY18" s="163"/>
      <c r="EZ18" s="163"/>
      <c r="FA18" s="163"/>
      <c r="FB18" s="163"/>
      <c r="FC18" s="163"/>
      <c r="FD18" s="163"/>
      <c r="FE18" s="163"/>
      <c r="FF18" s="163"/>
      <c r="FG18" s="163"/>
      <c r="FH18" s="163"/>
      <c r="FI18" s="163"/>
      <c r="FJ18" s="163"/>
      <c r="FK18" s="163"/>
      <c r="FL18" s="163"/>
      <c r="FM18" s="163"/>
      <c r="FN18" s="163"/>
      <c r="FO18" s="163"/>
      <c r="FP18" s="100"/>
    </row>
    <row r="19" spans="1:172" x14ac:dyDescent="0.2">
      <c r="A19" s="173" t="b">
        <v>0</v>
      </c>
      <c r="B19" s="173" t="b">
        <v>0</v>
      </c>
      <c r="C19" s="173" t="b">
        <v>1</v>
      </c>
      <c r="D19" s="173" t="b">
        <v>0</v>
      </c>
      <c r="E19" s="173" t="b">
        <v>0</v>
      </c>
      <c r="F19" s="173" t="b">
        <v>0</v>
      </c>
      <c r="G19" s="163" t="s">
        <v>765</v>
      </c>
      <c r="H19" s="163"/>
      <c r="I19" s="163"/>
      <c r="J19" s="163" t="s">
        <v>519</v>
      </c>
      <c r="K19" s="163" t="s">
        <v>628</v>
      </c>
      <c r="L19" s="163" t="s">
        <v>1526</v>
      </c>
      <c r="M19" s="163"/>
      <c r="N19" s="163" t="s">
        <v>629</v>
      </c>
      <c r="O19" s="163"/>
      <c r="P19" s="163"/>
      <c r="Q19" s="163"/>
      <c r="R19" s="163" t="s">
        <v>635</v>
      </c>
      <c r="S19" s="163" t="s">
        <v>129</v>
      </c>
      <c r="T19" s="163"/>
      <c r="U19" s="163"/>
      <c r="V19" s="163"/>
      <c r="W19" s="163" t="s">
        <v>134</v>
      </c>
      <c r="X19" s="163" t="s">
        <v>631</v>
      </c>
      <c r="Y19" s="163" t="s">
        <v>148</v>
      </c>
      <c r="Z19" s="163" t="s">
        <v>142</v>
      </c>
      <c r="AA19" s="68" t="s">
        <v>115</v>
      </c>
      <c r="AB19" s="68"/>
      <c r="AC19" s="68"/>
      <c r="AD19" s="68" t="s">
        <v>115</v>
      </c>
      <c r="AE19" s="68" t="s">
        <v>116</v>
      </c>
      <c r="AF19" s="68"/>
      <c r="AG19" s="68"/>
      <c r="AH19" s="68" t="s">
        <v>116</v>
      </c>
      <c r="AI19" s="163"/>
      <c r="AJ19" s="163"/>
      <c r="AK19" s="163"/>
      <c r="AL19" s="163"/>
      <c r="AM19" s="163"/>
      <c r="AN19" s="163"/>
      <c r="AO19" s="163"/>
      <c r="AP19" s="163"/>
      <c r="AQ19" s="163"/>
      <c r="AR19" s="163"/>
      <c r="AS19" s="163" t="s">
        <v>1527</v>
      </c>
      <c r="AT19" s="163" t="s">
        <v>1535</v>
      </c>
      <c r="AU19" s="163" t="str">
        <f>IF($AT19="","",IFERROR(INDEX([2]InstructorMap!$B:$B, MATCH($AT19, [2]InstructorMap!$A:$A, 0)),""))</f>
        <v/>
      </c>
      <c r="AV19" s="163" t="str">
        <f>IF($AT19="","",IFERROR(INDEX([2]InstructorMap!$C:$C, MATCH($AT19, [2]InstructorMap!$A:$A, 0)),""))</f>
        <v/>
      </c>
      <c r="AW19" s="163" t="s">
        <v>121</v>
      </c>
      <c r="AX19" s="100"/>
      <c r="AY19" s="100"/>
      <c r="AZ19" s="100"/>
      <c r="BA19" s="100"/>
      <c r="BB19" s="100"/>
      <c r="BC19" s="100"/>
      <c r="BD19" s="100"/>
      <c r="BE19" s="100"/>
      <c r="BF19" s="100"/>
      <c r="BG19" s="100"/>
      <c r="BH19" s="100"/>
      <c r="BI19" s="100"/>
      <c r="BJ19" s="100"/>
      <c r="BK19" s="100"/>
      <c r="BL19" s="163" t="s">
        <v>249</v>
      </c>
      <c r="BM19" s="100"/>
      <c r="BN19" s="100"/>
      <c r="BO19" s="100"/>
      <c r="BP19" s="100"/>
      <c r="BQ19" s="100"/>
      <c r="BR19" s="100"/>
      <c r="BS19" s="100"/>
      <c r="BT19" s="100"/>
      <c r="BU19" s="100"/>
      <c r="BV19" s="100"/>
      <c r="BW19" s="100"/>
      <c r="BX19" s="100"/>
      <c r="BY19" s="100"/>
      <c r="BZ19" s="100"/>
      <c r="CA19" s="100"/>
      <c r="CB19" s="100"/>
      <c r="CC19" s="100"/>
      <c r="CD19" s="100"/>
      <c r="CE19" s="100"/>
      <c r="CF19" s="100"/>
      <c r="CG19" s="100"/>
      <c r="CH19" s="100"/>
      <c r="CI19" s="100"/>
      <c r="CJ19" s="100"/>
      <c r="CK19" s="100"/>
      <c r="CL19" s="100"/>
      <c r="CM19" s="100"/>
      <c r="CN19" s="100"/>
      <c r="CO19" s="100"/>
      <c r="CP19" s="100"/>
      <c r="CQ19" s="100"/>
      <c r="CR19" s="100"/>
      <c r="CS19" s="100"/>
      <c r="CT19" s="100"/>
      <c r="CU19" s="100"/>
      <c r="CV19" s="100"/>
      <c r="CW19" s="168"/>
      <c r="CX19" s="168"/>
      <c r="CY19" s="168"/>
      <c r="CZ19" s="168"/>
      <c r="DA19" s="168"/>
      <c r="DB19" s="168"/>
      <c r="DC19" s="168"/>
      <c r="DD19" s="168"/>
      <c r="DE19" s="168"/>
      <c r="DF19" s="168"/>
      <c r="DG19" s="168"/>
      <c r="DH19" s="168"/>
      <c r="DI19" s="168"/>
      <c r="DJ19" s="168"/>
      <c r="DK19" s="168"/>
      <c r="DL19" s="168"/>
      <c r="DM19" s="168"/>
      <c r="DN19" s="168"/>
      <c r="DO19" s="168"/>
      <c r="DP19" s="168"/>
      <c r="DQ19" s="168"/>
      <c r="DR19" s="168"/>
      <c r="DS19" s="168"/>
      <c r="DT19" s="168"/>
      <c r="DU19" s="168"/>
      <c r="DV19" s="168"/>
      <c r="DW19" s="168"/>
      <c r="DX19" s="168"/>
      <c r="DY19" s="168"/>
      <c r="DZ19" s="168"/>
      <c r="EA19" s="168"/>
      <c r="EB19" s="168"/>
      <c r="EC19" s="168"/>
      <c r="ED19" s="168"/>
      <c r="EE19" s="168"/>
      <c r="EF19" s="168"/>
      <c r="EG19" s="168"/>
      <c r="EH19" s="163"/>
      <c r="EI19" s="163"/>
      <c r="EJ19" s="163"/>
      <c r="EK19" s="163"/>
      <c r="EL19" s="163"/>
      <c r="EM19" s="163"/>
      <c r="EN19" s="163"/>
      <c r="EO19" s="163"/>
      <c r="EP19" s="163"/>
      <c r="EQ19" s="163"/>
      <c r="ER19" s="163"/>
      <c r="ES19" s="163"/>
      <c r="ET19" s="163"/>
      <c r="EU19" s="163"/>
      <c r="EV19" s="163"/>
      <c r="EW19" s="163"/>
      <c r="EX19" s="163"/>
      <c r="EY19" s="163"/>
      <c r="EZ19" s="163"/>
      <c r="FA19" s="163"/>
      <c r="FB19" s="163"/>
      <c r="FC19" s="163"/>
      <c r="FD19" s="163"/>
      <c r="FE19" s="163"/>
      <c r="FF19" s="163"/>
      <c r="FG19" s="163"/>
      <c r="FH19" s="163"/>
      <c r="FI19" s="163"/>
      <c r="FJ19" s="163"/>
      <c r="FK19" s="163"/>
      <c r="FL19" s="163"/>
      <c r="FM19" s="163"/>
      <c r="FN19" s="163"/>
      <c r="FO19" s="163"/>
      <c r="FP19" s="170"/>
    </row>
    <row r="20" spans="1:172" x14ac:dyDescent="0.2">
      <c r="A20" s="173" t="b">
        <v>0</v>
      </c>
      <c r="B20" s="173" t="b">
        <v>0</v>
      </c>
      <c r="C20" s="173" t="b">
        <v>1</v>
      </c>
      <c r="D20" s="173" t="b">
        <v>0</v>
      </c>
      <c r="E20" s="173" t="b">
        <v>0</v>
      </c>
      <c r="F20" s="173" t="b">
        <v>0</v>
      </c>
      <c r="G20" s="163" t="s">
        <v>765</v>
      </c>
      <c r="H20" s="163"/>
      <c r="I20" s="163"/>
      <c r="J20" s="163" t="s">
        <v>519</v>
      </c>
      <c r="K20" s="163" t="s">
        <v>628</v>
      </c>
      <c r="L20" s="163" t="s">
        <v>1526</v>
      </c>
      <c r="M20" s="163"/>
      <c r="N20" s="163" t="s">
        <v>629</v>
      </c>
      <c r="O20" s="163"/>
      <c r="P20" s="163"/>
      <c r="Q20" s="163"/>
      <c r="R20" s="163" t="s">
        <v>635</v>
      </c>
      <c r="S20" s="163" t="s">
        <v>633</v>
      </c>
      <c r="T20" s="163"/>
      <c r="U20" s="163"/>
      <c r="V20" s="163"/>
      <c r="W20" s="163" t="s">
        <v>134</v>
      </c>
      <c r="X20" s="163" t="s">
        <v>631</v>
      </c>
      <c r="Y20" s="163" t="s">
        <v>148</v>
      </c>
      <c r="Z20" s="163" t="s">
        <v>142</v>
      </c>
      <c r="AA20" s="68" t="s">
        <v>115</v>
      </c>
      <c r="AB20" s="68"/>
      <c r="AC20" s="68"/>
      <c r="AD20" s="68" t="s">
        <v>115</v>
      </c>
      <c r="AE20" s="68" t="s">
        <v>116</v>
      </c>
      <c r="AF20" s="68"/>
      <c r="AG20" s="68"/>
      <c r="AH20" s="68" t="s">
        <v>116</v>
      </c>
      <c r="AI20" s="163"/>
      <c r="AJ20" s="163"/>
      <c r="AK20" s="163"/>
      <c r="AL20" s="163"/>
      <c r="AM20" s="163"/>
      <c r="AN20" s="163"/>
      <c r="AO20" s="163"/>
      <c r="AP20" s="163"/>
      <c r="AQ20" s="163"/>
      <c r="AR20" s="163"/>
      <c r="AS20" s="163" t="s">
        <v>1527</v>
      </c>
      <c r="AT20" s="163" t="s">
        <v>1535</v>
      </c>
      <c r="AU20" s="163" t="str">
        <f>IF($AT20="","",IFERROR(INDEX([2]InstructorMap!$B:$B, MATCH($AT20, [2]InstructorMap!$A:$A, 0)),""))</f>
        <v/>
      </c>
      <c r="AV20" s="163" t="str">
        <f>IF($AT20="","",IFERROR(INDEX([2]InstructorMap!$C:$C, MATCH($AT20, [2]InstructorMap!$A:$A, 0)),""))</f>
        <v/>
      </c>
      <c r="AW20" s="163" t="s">
        <v>121</v>
      </c>
      <c r="AX20" s="100"/>
      <c r="AY20" s="100"/>
      <c r="AZ20" s="100"/>
      <c r="BA20" s="100"/>
      <c r="BB20" s="100"/>
      <c r="BC20" s="100"/>
      <c r="BD20" s="100"/>
      <c r="BE20" s="100"/>
      <c r="BF20" s="100"/>
      <c r="BG20" s="100"/>
      <c r="BH20" s="100"/>
      <c r="BI20" s="100"/>
      <c r="BJ20" s="100"/>
      <c r="BK20" s="100"/>
      <c r="BL20" s="163" t="s">
        <v>249</v>
      </c>
      <c r="BM20" s="100"/>
      <c r="BN20" s="100"/>
      <c r="BO20" s="100"/>
      <c r="BP20" s="100"/>
      <c r="BQ20" s="100"/>
      <c r="BR20" s="100"/>
      <c r="BS20" s="100"/>
      <c r="BT20" s="100"/>
      <c r="BU20" s="100"/>
      <c r="BV20" s="100"/>
      <c r="BW20" s="100"/>
      <c r="BX20" s="100"/>
      <c r="BY20" s="100"/>
      <c r="BZ20" s="100"/>
      <c r="CA20" s="100"/>
      <c r="CB20" s="100"/>
      <c r="CC20" s="100"/>
      <c r="CD20" s="100"/>
      <c r="CE20" s="100"/>
      <c r="CF20" s="100"/>
      <c r="CG20" s="100"/>
      <c r="CH20" s="100"/>
      <c r="CI20" s="100"/>
      <c r="CJ20" s="100"/>
      <c r="CK20" s="100"/>
      <c r="CL20" s="100"/>
      <c r="CM20" s="100"/>
      <c r="CN20" s="100"/>
      <c r="CO20" s="100"/>
      <c r="CP20" s="100"/>
      <c r="CQ20" s="100"/>
      <c r="CR20" s="100"/>
      <c r="CS20" s="100"/>
      <c r="CT20" s="100"/>
      <c r="CU20" s="100"/>
      <c r="CV20" s="100"/>
      <c r="CW20" s="168"/>
      <c r="CX20" s="168"/>
      <c r="CY20" s="168"/>
      <c r="CZ20" s="168"/>
      <c r="DA20" s="168"/>
      <c r="DB20" s="168"/>
      <c r="DC20" s="168"/>
      <c r="DD20" s="168"/>
      <c r="DE20" s="168"/>
      <c r="DF20" s="168"/>
      <c r="DG20" s="168"/>
      <c r="DH20" s="168"/>
      <c r="DI20" s="168"/>
      <c r="DJ20" s="168"/>
      <c r="DK20" s="168"/>
      <c r="DL20" s="168"/>
      <c r="DM20" s="168"/>
      <c r="DN20" s="168"/>
      <c r="DO20" s="168"/>
      <c r="DP20" s="168"/>
      <c r="DQ20" s="168"/>
      <c r="DR20" s="168"/>
      <c r="DS20" s="168"/>
      <c r="DT20" s="168"/>
      <c r="DU20" s="168"/>
      <c r="DV20" s="168"/>
      <c r="DW20" s="168"/>
      <c r="DX20" s="168"/>
      <c r="DY20" s="168"/>
      <c r="DZ20" s="168"/>
      <c r="EA20" s="168"/>
      <c r="EB20" s="168"/>
      <c r="EC20" s="168"/>
      <c r="ED20" s="168"/>
      <c r="EE20" s="168"/>
      <c r="EF20" s="168"/>
      <c r="EG20" s="168"/>
      <c r="EH20" s="163"/>
      <c r="EI20" s="163"/>
      <c r="EJ20" s="163"/>
      <c r="EK20" s="163"/>
      <c r="EL20" s="163"/>
      <c r="EM20" s="163"/>
      <c r="EN20" s="163"/>
      <c r="EO20" s="163"/>
      <c r="EP20" s="163"/>
      <c r="EQ20" s="163"/>
      <c r="ER20" s="163"/>
      <c r="ES20" s="163"/>
      <c r="ET20" s="163"/>
      <c r="EU20" s="163"/>
      <c r="EV20" s="163"/>
      <c r="EW20" s="163"/>
      <c r="EX20" s="163"/>
      <c r="EY20" s="163"/>
      <c r="EZ20" s="163"/>
      <c r="FA20" s="163"/>
      <c r="FB20" s="163"/>
      <c r="FC20" s="163"/>
      <c r="FD20" s="163"/>
      <c r="FE20" s="163"/>
      <c r="FF20" s="163"/>
      <c r="FG20" s="163"/>
      <c r="FH20" s="163"/>
      <c r="FI20" s="163"/>
      <c r="FJ20" s="163"/>
      <c r="FK20" s="163"/>
      <c r="FL20" s="163"/>
      <c r="FM20" s="163"/>
      <c r="FN20" s="163"/>
      <c r="FO20" s="163"/>
      <c r="FP20" s="170"/>
    </row>
    <row r="21" spans="1:172" x14ac:dyDescent="0.2">
      <c r="A21" s="173" t="b">
        <v>0</v>
      </c>
      <c r="B21" s="173" t="b">
        <v>0</v>
      </c>
      <c r="C21" s="173" t="b">
        <v>1</v>
      </c>
      <c r="D21" s="173" t="b">
        <v>0</v>
      </c>
      <c r="E21" s="173" t="b">
        <v>0</v>
      </c>
      <c r="F21" s="173" t="b">
        <v>0</v>
      </c>
      <c r="G21" s="163" t="s">
        <v>765</v>
      </c>
      <c r="H21" s="163"/>
      <c r="I21" s="163"/>
      <c r="J21" s="163" t="s">
        <v>519</v>
      </c>
      <c r="K21" s="163" t="s">
        <v>628</v>
      </c>
      <c r="L21" s="163" t="s">
        <v>1526</v>
      </c>
      <c r="M21" s="163"/>
      <c r="N21" s="163" t="s">
        <v>629</v>
      </c>
      <c r="O21" s="163"/>
      <c r="P21" s="163"/>
      <c r="Q21" s="163"/>
      <c r="R21" s="163" t="s">
        <v>635</v>
      </c>
      <c r="S21" s="163" t="s">
        <v>635</v>
      </c>
      <c r="T21" s="163"/>
      <c r="U21" s="163"/>
      <c r="V21" s="163"/>
      <c r="W21" s="163" t="s">
        <v>134</v>
      </c>
      <c r="X21" s="163" t="s">
        <v>631</v>
      </c>
      <c r="Y21" s="163" t="s">
        <v>148</v>
      </c>
      <c r="Z21" s="163" t="s">
        <v>142</v>
      </c>
      <c r="AA21" s="68" t="s">
        <v>115</v>
      </c>
      <c r="AB21" s="68"/>
      <c r="AC21" s="68"/>
      <c r="AD21" s="68" t="s">
        <v>115</v>
      </c>
      <c r="AE21" s="68" t="s">
        <v>116</v>
      </c>
      <c r="AF21" s="68"/>
      <c r="AG21" s="68"/>
      <c r="AH21" s="68" t="s">
        <v>116</v>
      </c>
      <c r="AI21" s="163"/>
      <c r="AJ21" s="163"/>
      <c r="AK21" s="163"/>
      <c r="AL21" s="163"/>
      <c r="AM21" s="163"/>
      <c r="AN21" s="163"/>
      <c r="AO21" s="163"/>
      <c r="AP21" s="163"/>
      <c r="AQ21" s="163"/>
      <c r="AR21" s="163"/>
      <c r="AS21" s="163" t="s">
        <v>1527</v>
      </c>
      <c r="AT21" s="163" t="s">
        <v>1535</v>
      </c>
      <c r="AU21" s="163" t="s">
        <v>1543</v>
      </c>
      <c r="AV21" s="163" t="str">
        <f>IF($AT21="","",IFERROR(INDEX([2]InstructorMap!$C:$C, MATCH($AT21, [2]InstructorMap!$A:$A, 0)),""))</f>
        <v/>
      </c>
      <c r="AW21" s="163" t="s">
        <v>121</v>
      </c>
      <c r="AX21" s="100"/>
      <c r="AY21" s="100"/>
      <c r="AZ21" s="100"/>
      <c r="BA21" s="100"/>
      <c r="BB21" s="100"/>
      <c r="BC21" s="100"/>
      <c r="BD21" s="100"/>
      <c r="BE21" s="100"/>
      <c r="BF21" s="100"/>
      <c r="BG21" s="100"/>
      <c r="BH21" s="100"/>
      <c r="BI21" s="100"/>
      <c r="BJ21" s="100"/>
      <c r="BK21" s="100"/>
      <c r="BL21" s="163" t="s">
        <v>249</v>
      </c>
      <c r="BM21" s="100"/>
      <c r="BN21" s="100"/>
      <c r="BO21" s="100"/>
      <c r="BP21" s="100"/>
      <c r="BQ21" s="100"/>
      <c r="BR21" s="100"/>
      <c r="BS21" s="100"/>
      <c r="BT21" s="100"/>
      <c r="BU21" s="100"/>
      <c r="BV21" s="100"/>
      <c r="BW21" s="100"/>
      <c r="BX21" s="100"/>
      <c r="BY21" s="100"/>
      <c r="BZ21" s="100"/>
      <c r="CA21" s="100"/>
      <c r="CB21" s="100"/>
      <c r="CC21" s="100"/>
      <c r="CD21" s="100"/>
      <c r="CE21" s="100"/>
      <c r="CF21" s="100"/>
      <c r="CG21" s="100"/>
      <c r="CH21" s="100"/>
      <c r="CI21" s="100"/>
      <c r="CJ21" s="100"/>
      <c r="CK21" s="100"/>
      <c r="CL21" s="100"/>
      <c r="CM21" s="100"/>
      <c r="CN21" s="100"/>
      <c r="CO21" s="100"/>
      <c r="CP21" s="100"/>
      <c r="CQ21" s="100"/>
      <c r="CR21" s="100"/>
      <c r="CS21" s="100"/>
      <c r="CT21" s="100"/>
      <c r="CU21" s="100"/>
      <c r="CV21" s="100"/>
      <c r="CW21" s="168"/>
      <c r="CX21" s="168"/>
      <c r="CY21" s="168"/>
      <c r="CZ21" s="168"/>
      <c r="DA21" s="168"/>
      <c r="DB21" s="168"/>
      <c r="DC21" s="168"/>
      <c r="DD21" s="168"/>
      <c r="DE21" s="168"/>
      <c r="DF21" s="168"/>
      <c r="DG21" s="168"/>
      <c r="DH21" s="168"/>
      <c r="DI21" s="168"/>
      <c r="DJ21" s="168"/>
      <c r="DK21" s="168"/>
      <c r="DL21" s="168"/>
      <c r="DM21" s="168"/>
      <c r="DN21" s="168"/>
      <c r="DO21" s="168"/>
      <c r="DP21" s="168"/>
      <c r="DQ21" s="168"/>
      <c r="DR21" s="168"/>
      <c r="DS21" s="168"/>
      <c r="DT21" s="168"/>
      <c r="DU21" s="168"/>
      <c r="DV21" s="168"/>
      <c r="DW21" s="168"/>
      <c r="DX21" s="168"/>
      <c r="DY21" s="168"/>
      <c r="DZ21" s="168"/>
      <c r="EA21" s="168"/>
      <c r="EB21" s="168"/>
      <c r="EC21" s="168"/>
      <c r="ED21" s="168"/>
      <c r="EE21" s="168"/>
      <c r="EF21" s="168"/>
      <c r="EG21" s="168"/>
      <c r="EH21" s="163"/>
      <c r="EI21" s="163"/>
      <c r="EJ21" s="163"/>
      <c r="EK21" s="163"/>
      <c r="EL21" s="163"/>
      <c r="EM21" s="163"/>
      <c r="EN21" s="163"/>
      <c r="EO21" s="163"/>
      <c r="EP21" s="163"/>
      <c r="EQ21" s="163"/>
      <c r="ER21" s="163"/>
      <c r="ES21" s="163"/>
      <c r="ET21" s="163"/>
      <c r="EU21" s="163"/>
      <c r="EV21" s="163"/>
      <c r="EW21" s="163"/>
      <c r="EX21" s="163"/>
      <c r="EY21" s="163"/>
      <c r="EZ21" s="163"/>
      <c r="FA21" s="163"/>
      <c r="FB21" s="163"/>
      <c r="FC21" s="163"/>
      <c r="FD21" s="163"/>
      <c r="FE21" s="163"/>
      <c r="FF21" s="163"/>
      <c r="FG21" s="163"/>
      <c r="FH21" s="163"/>
      <c r="FI21" s="163"/>
      <c r="FJ21" s="163"/>
      <c r="FK21" s="163"/>
      <c r="FL21" s="163"/>
      <c r="FM21" s="163"/>
      <c r="FN21" s="163"/>
      <c r="FO21" s="163"/>
      <c r="FP21" s="170"/>
    </row>
    <row r="22" spans="1:172" x14ac:dyDescent="0.2">
      <c r="A22" s="173" t="b">
        <v>0</v>
      </c>
      <c r="B22" s="173" t="b">
        <v>0</v>
      </c>
      <c r="C22" s="173" t="b">
        <v>1</v>
      </c>
      <c r="D22" s="173" t="b">
        <v>0</v>
      </c>
      <c r="E22" s="173" t="b">
        <v>0</v>
      </c>
      <c r="F22" s="173" t="b">
        <v>0</v>
      </c>
      <c r="G22" s="163" t="s">
        <v>765</v>
      </c>
      <c r="H22" s="163"/>
      <c r="I22" s="163"/>
      <c r="J22" s="163" t="s">
        <v>519</v>
      </c>
      <c r="K22" s="163" t="s">
        <v>628</v>
      </c>
      <c r="L22" s="163" t="s">
        <v>1526</v>
      </c>
      <c r="M22" s="163"/>
      <c r="N22" s="163" t="s">
        <v>629</v>
      </c>
      <c r="O22" s="163"/>
      <c r="P22" s="163"/>
      <c r="Q22" s="163"/>
      <c r="R22" s="163" t="s">
        <v>635</v>
      </c>
      <c r="S22" s="163"/>
      <c r="T22" s="163"/>
      <c r="U22" s="163"/>
      <c r="V22" s="163"/>
      <c r="W22" s="163" t="s">
        <v>134</v>
      </c>
      <c r="X22" s="163" t="s">
        <v>631</v>
      </c>
      <c r="Y22" s="163" t="s">
        <v>148</v>
      </c>
      <c r="Z22" s="163" t="s">
        <v>142</v>
      </c>
      <c r="AA22" s="68" t="s">
        <v>115</v>
      </c>
      <c r="AB22" s="68"/>
      <c r="AC22" s="68"/>
      <c r="AD22" s="68" t="s">
        <v>115</v>
      </c>
      <c r="AE22" s="68" t="s">
        <v>116</v>
      </c>
      <c r="AF22" s="68"/>
      <c r="AG22" s="68"/>
      <c r="AH22" s="68" t="s">
        <v>116</v>
      </c>
      <c r="AI22" s="163"/>
      <c r="AJ22" s="163"/>
      <c r="AK22" s="163"/>
      <c r="AL22" s="163"/>
      <c r="AM22" s="163"/>
      <c r="AN22" s="163"/>
      <c r="AO22" s="163"/>
      <c r="AP22" s="163"/>
      <c r="AQ22" s="163"/>
      <c r="AR22" s="163"/>
      <c r="AS22" s="163" t="s">
        <v>1527</v>
      </c>
      <c r="AT22" s="163" t="s">
        <v>1535</v>
      </c>
      <c r="AU22" s="163" t="str">
        <f>IF($AT22="","",IFERROR(INDEX([2]InstructorMap!$B:$B, MATCH($AT22, [2]InstructorMap!$A:$A, 0)),""))</f>
        <v/>
      </c>
      <c r="AV22" s="163" t="str">
        <f>IF($AT22="","",IFERROR(INDEX([2]InstructorMap!$C:$C, MATCH($AT22, [2]InstructorMap!$A:$A, 0)),""))</f>
        <v/>
      </c>
      <c r="AW22" s="163" t="s">
        <v>121</v>
      </c>
      <c r="AX22" s="100"/>
      <c r="AY22" s="100"/>
      <c r="AZ22" s="100"/>
      <c r="BA22" s="100"/>
      <c r="BB22" s="100"/>
      <c r="BC22" s="100"/>
      <c r="BD22" s="100"/>
      <c r="BE22" s="100"/>
      <c r="BF22" s="100"/>
      <c r="BG22" s="100"/>
      <c r="BH22" s="100"/>
      <c r="BI22" s="100"/>
      <c r="BJ22" s="100"/>
      <c r="BK22" s="100"/>
      <c r="BL22" s="163" t="s">
        <v>249</v>
      </c>
      <c r="BM22" s="100"/>
      <c r="BN22" s="100"/>
      <c r="BO22" s="100"/>
      <c r="BP22" s="100"/>
      <c r="BQ22" s="100"/>
      <c r="BR22" s="100"/>
      <c r="BS22" s="100"/>
      <c r="BT22" s="100"/>
      <c r="BU22" s="100"/>
      <c r="BV22" s="100"/>
      <c r="BW22" s="100"/>
      <c r="BX22" s="100"/>
      <c r="BY22" s="100"/>
      <c r="BZ22" s="100"/>
      <c r="CA22" s="100"/>
      <c r="CB22" s="100"/>
      <c r="CC22" s="100"/>
      <c r="CD22" s="100"/>
      <c r="CE22" s="100"/>
      <c r="CF22" s="100"/>
      <c r="CG22" s="100"/>
      <c r="CH22" s="100"/>
      <c r="CI22" s="100"/>
      <c r="CJ22" s="100"/>
      <c r="CK22" s="100"/>
      <c r="CL22" s="100"/>
      <c r="CM22" s="100"/>
      <c r="CN22" s="100"/>
      <c r="CO22" s="100"/>
      <c r="CP22" s="100"/>
      <c r="CQ22" s="100"/>
      <c r="CR22" s="100"/>
      <c r="CS22" s="100"/>
      <c r="CT22" s="100"/>
      <c r="CU22" s="100"/>
      <c r="CV22" s="100"/>
      <c r="CW22" s="168"/>
      <c r="CX22" s="168"/>
      <c r="CY22" s="168"/>
      <c r="CZ22" s="168"/>
      <c r="DA22" s="168"/>
      <c r="DB22" s="168"/>
      <c r="DC22" s="168"/>
      <c r="DD22" s="168"/>
      <c r="DE22" s="168"/>
      <c r="DF22" s="168"/>
      <c r="DG22" s="168"/>
      <c r="DH22" s="168"/>
      <c r="DI22" s="168"/>
      <c r="DJ22" s="168"/>
      <c r="DK22" s="168"/>
      <c r="DL22" s="168"/>
      <c r="DM22" s="168"/>
      <c r="DN22" s="168"/>
      <c r="DO22" s="168"/>
      <c r="DP22" s="168"/>
      <c r="DQ22" s="168"/>
      <c r="DR22" s="168"/>
      <c r="DS22" s="168"/>
      <c r="DT22" s="168"/>
      <c r="DU22" s="168"/>
      <c r="DV22" s="168"/>
      <c r="DW22" s="168"/>
      <c r="DX22" s="168"/>
      <c r="DY22" s="168"/>
      <c r="DZ22" s="168"/>
      <c r="EA22" s="168"/>
      <c r="EB22" s="168"/>
      <c r="EC22" s="168"/>
      <c r="ED22" s="168"/>
      <c r="EE22" s="168"/>
      <c r="EF22" s="168"/>
      <c r="EG22" s="168"/>
      <c r="EH22" s="163"/>
      <c r="EI22" s="163"/>
      <c r="EJ22" s="163"/>
      <c r="EK22" s="163"/>
      <c r="EL22" s="163"/>
      <c r="EM22" s="163"/>
      <c r="EN22" s="163"/>
      <c r="EO22" s="163"/>
      <c r="EP22" s="163"/>
      <c r="EQ22" s="163"/>
      <c r="ER22" s="163"/>
      <c r="ES22" s="163"/>
      <c r="ET22" s="163"/>
      <c r="EU22" s="163"/>
      <c r="EV22" s="163"/>
      <c r="EW22" s="163"/>
      <c r="EX22" s="163"/>
      <c r="EY22" s="163"/>
      <c r="EZ22" s="163"/>
      <c r="FA22" s="163"/>
      <c r="FB22" s="163"/>
      <c r="FC22" s="163"/>
      <c r="FD22" s="163"/>
      <c r="FE22" s="163"/>
      <c r="FF22" s="163"/>
      <c r="FG22" s="163"/>
      <c r="FH22" s="163"/>
      <c r="FI22" s="163"/>
      <c r="FJ22" s="163"/>
      <c r="FK22" s="163"/>
      <c r="FL22" s="163"/>
      <c r="FM22" s="163"/>
      <c r="FN22" s="163"/>
      <c r="FO22" s="163"/>
      <c r="FP22" s="170"/>
    </row>
    <row r="23" spans="1:172" x14ac:dyDescent="0.2">
      <c r="A23" s="169" t="b">
        <v>0</v>
      </c>
      <c r="B23" s="169" t="b">
        <v>0</v>
      </c>
      <c r="C23" s="169" t="b">
        <v>1</v>
      </c>
      <c r="D23" s="169" t="b">
        <v>0</v>
      </c>
      <c r="E23" s="169" t="b">
        <v>0</v>
      </c>
      <c r="F23" s="169" t="b">
        <v>0</v>
      </c>
      <c r="G23" s="163" t="s">
        <v>765</v>
      </c>
      <c r="H23" s="100"/>
      <c r="I23" s="100"/>
      <c r="J23" s="100" t="s">
        <v>519</v>
      </c>
      <c r="K23" s="163" t="s">
        <v>628</v>
      </c>
      <c r="L23" s="163" t="s">
        <v>1533</v>
      </c>
      <c r="M23" s="163"/>
      <c r="N23" s="163" t="s">
        <v>629</v>
      </c>
      <c r="O23" s="163"/>
      <c r="P23" s="163"/>
      <c r="Q23" s="163"/>
      <c r="R23" s="163" t="s">
        <v>635</v>
      </c>
      <c r="S23" s="163" t="s">
        <v>129</v>
      </c>
      <c r="T23" s="163"/>
      <c r="U23" s="163"/>
      <c r="V23" s="163"/>
      <c r="W23" s="163" t="s">
        <v>134</v>
      </c>
      <c r="X23" s="163" t="s">
        <v>631</v>
      </c>
      <c r="Y23" s="163" t="s">
        <v>148</v>
      </c>
      <c r="Z23" s="163" t="s">
        <v>142</v>
      </c>
      <c r="AA23" s="68" t="s">
        <v>115</v>
      </c>
      <c r="AB23" s="68"/>
      <c r="AC23" s="68"/>
      <c r="AD23" s="68" t="s">
        <v>115</v>
      </c>
      <c r="AE23" s="68" t="s">
        <v>116</v>
      </c>
      <c r="AF23" s="68"/>
      <c r="AG23" s="68"/>
      <c r="AH23" s="68" t="s">
        <v>116</v>
      </c>
      <c r="AI23" s="163"/>
      <c r="AJ23" s="163"/>
      <c r="AK23" s="163"/>
      <c r="AL23" s="163"/>
      <c r="AM23" s="163"/>
      <c r="AN23" s="163"/>
      <c r="AO23" s="163"/>
      <c r="AP23" s="163"/>
      <c r="AQ23" s="163"/>
      <c r="AR23" s="163"/>
      <c r="AS23" s="163" t="s">
        <v>1534</v>
      </c>
      <c r="AT23" s="163" t="s">
        <v>1536</v>
      </c>
      <c r="AU23" s="96" t="s">
        <v>1537</v>
      </c>
      <c r="AV23" s="100" t="s">
        <v>1538</v>
      </c>
      <c r="AW23" s="163" t="s">
        <v>121</v>
      </c>
      <c r="AX23" s="100"/>
      <c r="AY23" s="100"/>
      <c r="AZ23" s="100"/>
      <c r="BA23" s="100"/>
      <c r="BB23" s="100"/>
      <c r="BC23" s="100"/>
      <c r="BD23" s="100"/>
      <c r="BE23" s="100"/>
      <c r="BF23" s="100"/>
      <c r="BG23" s="100"/>
      <c r="BH23" s="100"/>
      <c r="BI23" s="100"/>
      <c r="BJ23" s="100"/>
      <c r="BK23" s="100"/>
      <c r="BL23" s="163" t="s">
        <v>249</v>
      </c>
      <c r="BM23" s="100"/>
      <c r="BN23" s="100"/>
      <c r="BO23" s="100"/>
      <c r="BP23" s="100"/>
      <c r="BQ23" s="100"/>
      <c r="BR23" s="100"/>
      <c r="BS23" s="100"/>
      <c r="BT23" s="100"/>
      <c r="BU23" s="100"/>
      <c r="BV23" s="100"/>
      <c r="BW23" s="100"/>
      <c r="BX23" s="100"/>
      <c r="BY23" s="100"/>
      <c r="BZ23" s="100"/>
      <c r="CA23" s="100"/>
      <c r="CB23" s="100"/>
      <c r="CC23" s="100"/>
      <c r="CD23" s="100"/>
      <c r="CE23" s="100"/>
      <c r="CF23" s="100"/>
      <c r="CG23" s="100"/>
      <c r="CH23" s="100"/>
      <c r="CI23" s="100"/>
      <c r="CJ23" s="100"/>
      <c r="CK23" s="100"/>
      <c r="CL23" s="100"/>
      <c r="CM23" s="100"/>
      <c r="CN23" s="100"/>
      <c r="CO23" s="100"/>
      <c r="CP23" s="100"/>
      <c r="CQ23" s="100"/>
      <c r="CR23" s="100"/>
      <c r="CS23" s="100"/>
      <c r="CT23" s="100"/>
      <c r="CU23" s="100"/>
      <c r="CV23" s="100"/>
      <c r="CW23" s="168"/>
      <c r="CX23" s="168"/>
      <c r="CY23" s="168"/>
      <c r="CZ23" s="168"/>
      <c r="DA23" s="168"/>
      <c r="DB23" s="168"/>
      <c r="DC23" s="168"/>
      <c r="DD23" s="168"/>
      <c r="DE23" s="168"/>
      <c r="DF23" s="168"/>
      <c r="DG23" s="168"/>
      <c r="DH23" s="168"/>
      <c r="DI23" s="168"/>
      <c r="DJ23" s="168"/>
      <c r="DK23" s="168"/>
      <c r="DL23" s="168"/>
      <c r="DM23" s="168"/>
      <c r="DN23" s="168"/>
      <c r="DO23" s="168"/>
      <c r="DP23" s="168"/>
      <c r="DQ23" s="168"/>
      <c r="DR23" s="168"/>
      <c r="DS23" s="168"/>
      <c r="DT23" s="168"/>
      <c r="DU23" s="168"/>
      <c r="DV23" s="168"/>
      <c r="DW23" s="168"/>
      <c r="DX23" s="168"/>
      <c r="DY23" s="168"/>
      <c r="DZ23" s="168"/>
      <c r="EA23" s="168"/>
      <c r="EB23" s="168"/>
      <c r="EC23" s="168"/>
      <c r="ED23" s="168"/>
      <c r="EE23" s="168"/>
      <c r="EF23" s="168"/>
      <c r="EG23" s="168"/>
      <c r="EH23" s="163"/>
      <c r="EI23" s="163"/>
      <c r="EJ23" s="163"/>
      <c r="EK23" s="163"/>
      <c r="EL23" s="163"/>
      <c r="EM23" s="163"/>
      <c r="EN23" s="163"/>
      <c r="EO23" s="163"/>
      <c r="EP23" s="163"/>
      <c r="EQ23" s="163"/>
      <c r="ER23" s="163"/>
      <c r="ES23" s="163"/>
      <c r="ET23" s="163"/>
      <c r="EU23" s="163"/>
      <c r="EV23" s="163"/>
      <c r="EW23" s="163"/>
      <c r="EX23" s="163"/>
      <c r="EY23" s="163"/>
      <c r="EZ23" s="163"/>
      <c r="FA23" s="163"/>
      <c r="FB23" s="163"/>
      <c r="FC23" s="163"/>
      <c r="FD23" s="163"/>
      <c r="FE23" s="163"/>
      <c r="FF23" s="163"/>
      <c r="FG23" s="163"/>
      <c r="FH23" s="163"/>
      <c r="FI23" s="163"/>
      <c r="FJ23" s="163"/>
      <c r="FK23" s="163"/>
      <c r="FL23" s="163"/>
      <c r="FM23" s="163"/>
      <c r="FN23" s="163"/>
      <c r="FO23" s="163"/>
      <c r="FP23" s="170"/>
    </row>
    <row r="24" spans="1:172" x14ac:dyDescent="0.2">
      <c r="A24" s="169" t="b">
        <v>0</v>
      </c>
      <c r="B24" s="169" t="b">
        <v>0</v>
      </c>
      <c r="C24" s="169" t="b">
        <v>1</v>
      </c>
      <c r="D24" s="169" t="b">
        <v>0</v>
      </c>
      <c r="E24" s="169" t="b">
        <v>0</v>
      </c>
      <c r="F24" s="169" t="b">
        <v>0</v>
      </c>
      <c r="G24" s="163" t="s">
        <v>765</v>
      </c>
      <c r="H24" s="100"/>
      <c r="I24" s="100"/>
      <c r="J24" s="100" t="s">
        <v>519</v>
      </c>
      <c r="K24" s="163" t="s">
        <v>628</v>
      </c>
      <c r="L24" s="163" t="s">
        <v>1533</v>
      </c>
      <c r="M24" s="163"/>
      <c r="N24" s="163" t="s">
        <v>629</v>
      </c>
      <c r="O24" s="163"/>
      <c r="P24" s="163"/>
      <c r="Q24" s="163"/>
      <c r="R24" s="163" t="s">
        <v>635</v>
      </c>
      <c r="S24" s="163" t="s">
        <v>633</v>
      </c>
      <c r="T24" s="163"/>
      <c r="U24" s="163"/>
      <c r="V24" s="163"/>
      <c r="W24" s="163" t="s">
        <v>134</v>
      </c>
      <c r="X24" s="163" t="s">
        <v>631</v>
      </c>
      <c r="Y24" s="163" t="s">
        <v>148</v>
      </c>
      <c r="Z24" s="163" t="s">
        <v>142</v>
      </c>
      <c r="AA24" s="68" t="s">
        <v>115</v>
      </c>
      <c r="AB24" s="68"/>
      <c r="AC24" s="68"/>
      <c r="AD24" s="68" t="s">
        <v>115</v>
      </c>
      <c r="AE24" s="68" t="s">
        <v>116</v>
      </c>
      <c r="AF24" s="68"/>
      <c r="AG24" s="68"/>
      <c r="AH24" s="68" t="s">
        <v>116</v>
      </c>
      <c r="AI24" s="163"/>
      <c r="AJ24" s="163"/>
      <c r="AK24" s="163"/>
      <c r="AL24" s="163"/>
      <c r="AM24" s="163"/>
      <c r="AN24" s="163"/>
      <c r="AO24" s="163"/>
      <c r="AP24" s="163"/>
      <c r="AQ24" s="163"/>
      <c r="AR24" s="163"/>
      <c r="AS24" s="163" t="s">
        <v>1534</v>
      </c>
      <c r="AT24" s="163" t="s">
        <v>1536</v>
      </c>
      <c r="AU24" s="96" t="s">
        <v>1537</v>
      </c>
      <c r="AV24" s="100" t="s">
        <v>1538</v>
      </c>
      <c r="AW24" s="163" t="s">
        <v>121</v>
      </c>
      <c r="AX24" s="100"/>
      <c r="AY24" s="100"/>
      <c r="AZ24" s="100"/>
      <c r="BA24" s="100"/>
      <c r="BB24" s="100"/>
      <c r="BC24" s="100"/>
      <c r="BD24" s="100"/>
      <c r="BE24" s="100"/>
      <c r="BF24" s="100"/>
      <c r="BG24" s="100"/>
      <c r="BH24" s="100"/>
      <c r="BI24" s="100"/>
      <c r="BJ24" s="100"/>
      <c r="BK24" s="100"/>
      <c r="BL24" s="163" t="s">
        <v>249</v>
      </c>
      <c r="BM24" s="100"/>
      <c r="BN24" s="100"/>
      <c r="BO24" s="100"/>
      <c r="BP24" s="100"/>
      <c r="BQ24" s="100"/>
      <c r="BR24" s="100"/>
      <c r="BS24" s="100"/>
      <c r="BT24" s="100"/>
      <c r="BU24" s="100"/>
      <c r="BV24" s="100"/>
      <c r="BW24" s="100"/>
      <c r="BX24" s="100"/>
      <c r="BY24" s="100"/>
      <c r="BZ24" s="100"/>
      <c r="CA24" s="100"/>
      <c r="CB24" s="100"/>
      <c r="CC24" s="100"/>
      <c r="CD24" s="100"/>
      <c r="CE24" s="100"/>
      <c r="CF24" s="100"/>
      <c r="CG24" s="100"/>
      <c r="CH24" s="100"/>
      <c r="CI24" s="100"/>
      <c r="CJ24" s="100"/>
      <c r="CK24" s="100"/>
      <c r="CL24" s="100"/>
      <c r="CM24" s="100"/>
      <c r="CN24" s="100"/>
      <c r="CO24" s="100"/>
      <c r="CP24" s="100"/>
      <c r="CQ24" s="100"/>
      <c r="CR24" s="100"/>
      <c r="CS24" s="100"/>
      <c r="CT24" s="100"/>
      <c r="CU24" s="100"/>
      <c r="CV24" s="100"/>
      <c r="CW24" s="168"/>
      <c r="CX24" s="168"/>
      <c r="CY24" s="168"/>
      <c r="CZ24" s="168"/>
      <c r="DA24" s="168"/>
      <c r="DB24" s="168"/>
      <c r="DC24" s="168"/>
      <c r="DD24" s="168"/>
      <c r="DE24" s="168"/>
      <c r="DF24" s="168"/>
      <c r="DG24" s="168"/>
      <c r="DH24" s="168"/>
      <c r="DI24" s="168"/>
      <c r="DJ24" s="168"/>
      <c r="DK24" s="168"/>
      <c r="DL24" s="168"/>
      <c r="DM24" s="168"/>
      <c r="DN24" s="168"/>
      <c r="DO24" s="168"/>
      <c r="DP24" s="168"/>
      <c r="DQ24" s="168"/>
      <c r="DR24" s="168"/>
      <c r="DS24" s="168"/>
      <c r="DT24" s="168"/>
      <c r="DU24" s="168"/>
      <c r="DV24" s="168"/>
      <c r="DW24" s="168"/>
      <c r="DX24" s="168"/>
      <c r="DY24" s="168"/>
      <c r="DZ24" s="168"/>
      <c r="EA24" s="168"/>
      <c r="EB24" s="168"/>
      <c r="EC24" s="168"/>
      <c r="ED24" s="168"/>
      <c r="EE24" s="168"/>
      <c r="EF24" s="168"/>
      <c r="EG24" s="168"/>
      <c r="EH24" s="163"/>
      <c r="EI24" s="163"/>
      <c r="EJ24" s="163"/>
      <c r="EK24" s="163"/>
      <c r="EL24" s="163"/>
      <c r="EM24" s="163"/>
      <c r="EN24" s="163"/>
      <c r="EO24" s="163"/>
      <c r="EP24" s="163"/>
      <c r="EQ24" s="163"/>
      <c r="ER24" s="163"/>
      <c r="ES24" s="163"/>
      <c r="ET24" s="163"/>
      <c r="EU24" s="163"/>
      <c r="EV24" s="163"/>
      <c r="EW24" s="163"/>
      <c r="EX24" s="163"/>
      <c r="EY24" s="163"/>
      <c r="EZ24" s="163"/>
      <c r="FA24" s="163"/>
      <c r="FB24" s="163"/>
      <c r="FC24" s="163"/>
      <c r="FD24" s="163"/>
      <c r="FE24" s="163"/>
      <c r="FF24" s="163"/>
      <c r="FG24" s="163"/>
      <c r="FH24" s="163"/>
      <c r="FI24" s="163"/>
      <c r="FJ24" s="163"/>
      <c r="FK24" s="163"/>
      <c r="FL24" s="163"/>
      <c r="FM24" s="163"/>
      <c r="FN24" s="163"/>
      <c r="FO24" s="163"/>
      <c r="FP24" s="170"/>
    </row>
    <row r="25" spans="1:172" x14ac:dyDescent="0.2">
      <c r="A25" s="169" t="b">
        <v>0</v>
      </c>
      <c r="B25" s="169" t="b">
        <v>0</v>
      </c>
      <c r="C25" s="169" t="b">
        <v>1</v>
      </c>
      <c r="D25" s="169" t="b">
        <v>0</v>
      </c>
      <c r="E25" s="169" t="b">
        <v>0</v>
      </c>
      <c r="F25" s="169" t="b">
        <v>0</v>
      </c>
      <c r="G25" s="163" t="s">
        <v>765</v>
      </c>
      <c r="H25" s="100"/>
      <c r="I25" s="100"/>
      <c r="J25" s="100" t="s">
        <v>519</v>
      </c>
      <c r="K25" s="163" t="s">
        <v>628</v>
      </c>
      <c r="L25" s="163" t="s">
        <v>1533</v>
      </c>
      <c r="M25" s="163"/>
      <c r="N25" s="163" t="s">
        <v>629</v>
      </c>
      <c r="O25" s="163"/>
      <c r="P25" s="163"/>
      <c r="Q25" s="163"/>
      <c r="R25" s="163" t="s">
        <v>635</v>
      </c>
      <c r="S25" s="163" t="s">
        <v>635</v>
      </c>
      <c r="T25" s="163"/>
      <c r="U25" s="163"/>
      <c r="V25" s="163"/>
      <c r="W25" s="163" t="s">
        <v>134</v>
      </c>
      <c r="X25" s="163" t="s">
        <v>631</v>
      </c>
      <c r="Y25" s="163" t="s">
        <v>148</v>
      </c>
      <c r="Z25" s="163" t="s">
        <v>142</v>
      </c>
      <c r="AA25" s="68" t="s">
        <v>115</v>
      </c>
      <c r="AB25" s="68"/>
      <c r="AC25" s="68"/>
      <c r="AD25" s="68" t="s">
        <v>115</v>
      </c>
      <c r="AE25" s="68" t="s">
        <v>116</v>
      </c>
      <c r="AF25" s="68"/>
      <c r="AG25" s="68"/>
      <c r="AH25" s="68" t="s">
        <v>116</v>
      </c>
      <c r="AI25" s="163"/>
      <c r="AJ25" s="163"/>
      <c r="AK25" s="163"/>
      <c r="AL25" s="163"/>
      <c r="AM25" s="163"/>
      <c r="AN25" s="163"/>
      <c r="AO25" s="163"/>
      <c r="AP25" s="163"/>
      <c r="AQ25" s="163"/>
      <c r="AR25" s="163"/>
      <c r="AS25" s="163" t="s">
        <v>1534</v>
      </c>
      <c r="AT25" s="163" t="s">
        <v>1536</v>
      </c>
      <c r="AU25" s="96" t="s">
        <v>1537</v>
      </c>
      <c r="AV25" s="100" t="s">
        <v>1538</v>
      </c>
      <c r="AW25" s="163" t="s">
        <v>121</v>
      </c>
      <c r="AX25" s="100"/>
      <c r="AY25" s="100"/>
      <c r="AZ25" s="100"/>
      <c r="BA25" s="100"/>
      <c r="BB25" s="100"/>
      <c r="BC25" s="100"/>
      <c r="BD25" s="100"/>
      <c r="BE25" s="100"/>
      <c r="BF25" s="100"/>
      <c r="BG25" s="100"/>
      <c r="BH25" s="100"/>
      <c r="BI25" s="100"/>
      <c r="BJ25" s="100"/>
      <c r="BK25" s="100"/>
      <c r="BL25" s="163" t="s">
        <v>249</v>
      </c>
      <c r="BM25" s="100"/>
      <c r="BN25" s="100"/>
      <c r="BO25" s="100"/>
      <c r="BP25" s="100"/>
      <c r="BQ25" s="100"/>
      <c r="BR25" s="100"/>
      <c r="BS25" s="100"/>
      <c r="BT25" s="100"/>
      <c r="BU25" s="100"/>
      <c r="BV25" s="100"/>
      <c r="BW25" s="100"/>
      <c r="BX25" s="100"/>
      <c r="BY25" s="100"/>
      <c r="BZ25" s="100"/>
      <c r="CA25" s="100"/>
      <c r="CB25" s="100"/>
      <c r="CC25" s="100"/>
      <c r="CD25" s="100"/>
      <c r="CE25" s="100"/>
      <c r="CF25" s="100"/>
      <c r="CG25" s="100"/>
      <c r="CH25" s="100"/>
      <c r="CI25" s="100"/>
      <c r="CJ25" s="100"/>
      <c r="CK25" s="100"/>
      <c r="CL25" s="100"/>
      <c r="CM25" s="100"/>
      <c r="CN25" s="100"/>
      <c r="CO25" s="100"/>
      <c r="CP25" s="100"/>
      <c r="CQ25" s="100"/>
      <c r="CR25" s="100"/>
      <c r="CS25" s="100"/>
      <c r="CT25" s="100"/>
      <c r="CU25" s="100"/>
      <c r="CV25" s="100"/>
      <c r="CW25" s="168"/>
      <c r="CX25" s="168"/>
      <c r="CY25" s="168"/>
      <c r="CZ25" s="168"/>
      <c r="DA25" s="168"/>
      <c r="DB25" s="168"/>
      <c r="DC25" s="168"/>
      <c r="DD25" s="168"/>
      <c r="DE25" s="168"/>
      <c r="DF25" s="168"/>
      <c r="DG25" s="168"/>
      <c r="DH25" s="168"/>
      <c r="DI25" s="168"/>
      <c r="DJ25" s="168"/>
      <c r="DK25" s="168"/>
      <c r="DL25" s="168"/>
      <c r="DM25" s="168"/>
      <c r="DN25" s="168"/>
      <c r="DO25" s="168"/>
      <c r="DP25" s="168"/>
      <c r="DQ25" s="168"/>
      <c r="DR25" s="168"/>
      <c r="DS25" s="168"/>
      <c r="DT25" s="168"/>
      <c r="DU25" s="168"/>
      <c r="DV25" s="168"/>
      <c r="DW25" s="168"/>
      <c r="DX25" s="168"/>
      <c r="DY25" s="168"/>
      <c r="DZ25" s="168"/>
      <c r="EA25" s="168"/>
      <c r="EB25" s="168"/>
      <c r="EC25" s="168"/>
      <c r="ED25" s="168"/>
      <c r="EE25" s="168"/>
      <c r="EF25" s="168"/>
      <c r="EG25" s="168"/>
      <c r="EH25" s="163"/>
      <c r="EI25" s="163"/>
      <c r="EJ25" s="163"/>
      <c r="EK25" s="163"/>
      <c r="EL25" s="163"/>
      <c r="EM25" s="163"/>
      <c r="EN25" s="163"/>
      <c r="EO25" s="163"/>
      <c r="EP25" s="163"/>
      <c r="EQ25" s="163"/>
      <c r="ER25" s="163"/>
      <c r="ES25" s="163"/>
      <c r="ET25" s="163"/>
      <c r="EU25" s="163"/>
      <c r="EV25" s="163"/>
      <c r="EW25" s="163"/>
      <c r="EX25" s="163"/>
      <c r="EY25" s="163"/>
      <c r="EZ25" s="163"/>
      <c r="FA25" s="163"/>
      <c r="FB25" s="163"/>
      <c r="FC25" s="163"/>
      <c r="FD25" s="163"/>
      <c r="FE25" s="163"/>
      <c r="FF25" s="163"/>
      <c r="FG25" s="163"/>
      <c r="FH25" s="163"/>
      <c r="FI25" s="163"/>
      <c r="FJ25" s="163"/>
      <c r="FK25" s="163"/>
      <c r="FL25" s="163"/>
      <c r="FM25" s="163"/>
      <c r="FN25" s="163"/>
      <c r="FO25" s="163"/>
      <c r="FP25" s="170"/>
    </row>
    <row r="26" spans="1:172" x14ac:dyDescent="0.2">
      <c r="A26" s="169" t="b">
        <v>0</v>
      </c>
      <c r="B26" s="169" t="b">
        <v>0</v>
      </c>
      <c r="C26" s="169" t="b">
        <v>1</v>
      </c>
      <c r="D26" s="169" t="b">
        <v>0</v>
      </c>
      <c r="E26" s="169" t="b">
        <v>0</v>
      </c>
      <c r="F26" s="169" t="b">
        <v>0</v>
      </c>
      <c r="G26" s="163" t="s">
        <v>765</v>
      </c>
      <c r="H26" s="100"/>
      <c r="I26" s="100"/>
      <c r="J26" s="100" t="s">
        <v>519</v>
      </c>
      <c r="K26" s="163" t="s">
        <v>628</v>
      </c>
      <c r="L26" s="163" t="s">
        <v>1533</v>
      </c>
      <c r="M26" s="163"/>
      <c r="N26" s="163" t="s">
        <v>629</v>
      </c>
      <c r="O26" s="163"/>
      <c r="P26" s="163"/>
      <c r="Q26" s="163"/>
      <c r="R26" s="163" t="s">
        <v>635</v>
      </c>
      <c r="S26" s="163"/>
      <c r="T26" s="163"/>
      <c r="U26" s="163"/>
      <c r="V26" s="163"/>
      <c r="W26" s="163" t="s">
        <v>134</v>
      </c>
      <c r="X26" s="163" t="s">
        <v>631</v>
      </c>
      <c r="Y26" s="163" t="s">
        <v>148</v>
      </c>
      <c r="Z26" s="163" t="s">
        <v>142</v>
      </c>
      <c r="AA26" s="68" t="s">
        <v>115</v>
      </c>
      <c r="AB26" s="68"/>
      <c r="AC26" s="68"/>
      <c r="AD26" s="68" t="s">
        <v>115</v>
      </c>
      <c r="AE26" s="68" t="s">
        <v>116</v>
      </c>
      <c r="AF26" s="68"/>
      <c r="AG26" s="68"/>
      <c r="AH26" s="68" t="s">
        <v>116</v>
      </c>
      <c r="AI26" s="163"/>
      <c r="AJ26" s="163"/>
      <c r="AK26" s="163"/>
      <c r="AL26" s="163"/>
      <c r="AM26" s="163"/>
      <c r="AN26" s="163"/>
      <c r="AO26" s="163"/>
      <c r="AP26" s="163"/>
      <c r="AQ26" s="163"/>
      <c r="AR26" s="163"/>
      <c r="AS26" s="163" t="s">
        <v>1534</v>
      </c>
      <c r="AT26" s="163" t="s">
        <v>1536</v>
      </c>
      <c r="AU26" s="96" t="s">
        <v>1537</v>
      </c>
      <c r="AV26" s="100" t="s">
        <v>1538</v>
      </c>
      <c r="AW26" s="163" t="s">
        <v>121</v>
      </c>
      <c r="AX26" s="100"/>
      <c r="AY26" s="100"/>
      <c r="AZ26" s="100"/>
      <c r="BA26" s="100"/>
      <c r="BB26" s="100"/>
      <c r="BC26" s="100"/>
      <c r="BD26" s="100"/>
      <c r="BE26" s="100"/>
      <c r="BF26" s="100"/>
      <c r="BG26" s="100"/>
      <c r="BH26" s="100"/>
      <c r="BI26" s="100"/>
      <c r="BJ26" s="100"/>
      <c r="BK26" s="100"/>
      <c r="BL26" s="163" t="s">
        <v>249</v>
      </c>
      <c r="BM26" s="100"/>
      <c r="BN26" s="100"/>
      <c r="BO26" s="100"/>
      <c r="BP26" s="100"/>
      <c r="BQ26" s="100"/>
      <c r="BR26" s="100"/>
      <c r="BS26" s="100"/>
      <c r="BT26" s="100"/>
      <c r="BU26" s="100"/>
      <c r="BV26" s="100"/>
      <c r="BW26" s="100"/>
      <c r="BX26" s="100"/>
      <c r="BY26" s="100"/>
      <c r="BZ26" s="100"/>
      <c r="CA26" s="100"/>
      <c r="CB26" s="100"/>
      <c r="CC26" s="100"/>
      <c r="CD26" s="100"/>
      <c r="CE26" s="100"/>
      <c r="CF26" s="100"/>
      <c r="CG26" s="100"/>
      <c r="CH26" s="100"/>
      <c r="CI26" s="100"/>
      <c r="CJ26" s="100"/>
      <c r="CK26" s="100"/>
      <c r="CL26" s="100"/>
      <c r="CM26" s="100"/>
      <c r="CN26" s="100"/>
      <c r="CO26" s="100"/>
      <c r="CP26" s="100"/>
      <c r="CQ26" s="100"/>
      <c r="CR26" s="100"/>
      <c r="CS26" s="100"/>
      <c r="CT26" s="100"/>
      <c r="CU26" s="100"/>
      <c r="CV26" s="100"/>
      <c r="CW26" s="168"/>
      <c r="CX26" s="168"/>
      <c r="CY26" s="168"/>
      <c r="CZ26" s="168"/>
      <c r="DA26" s="168"/>
      <c r="DB26" s="168"/>
      <c r="DC26" s="168"/>
      <c r="DD26" s="168"/>
      <c r="DE26" s="168"/>
      <c r="DF26" s="168"/>
      <c r="DG26" s="168"/>
      <c r="DH26" s="168"/>
      <c r="DI26" s="168"/>
      <c r="DJ26" s="168"/>
      <c r="DK26" s="168"/>
      <c r="DL26" s="168"/>
      <c r="DM26" s="168"/>
      <c r="DN26" s="168"/>
      <c r="DO26" s="168"/>
      <c r="DP26" s="168"/>
      <c r="DQ26" s="168"/>
      <c r="DR26" s="168"/>
      <c r="DS26" s="168"/>
      <c r="DT26" s="168"/>
      <c r="DU26" s="168"/>
      <c r="DV26" s="168"/>
      <c r="DW26" s="168"/>
      <c r="DX26" s="168"/>
      <c r="DY26" s="168"/>
      <c r="DZ26" s="168"/>
      <c r="EA26" s="168"/>
      <c r="EB26" s="168"/>
      <c r="EC26" s="168"/>
      <c r="ED26" s="168"/>
      <c r="EE26" s="168"/>
      <c r="EF26" s="168"/>
      <c r="EG26" s="168"/>
      <c r="EH26" s="163"/>
      <c r="EI26" s="163"/>
      <c r="EJ26" s="163"/>
      <c r="EK26" s="163"/>
      <c r="EL26" s="163"/>
      <c r="EM26" s="163"/>
      <c r="EN26" s="163"/>
      <c r="EO26" s="163"/>
      <c r="EP26" s="163"/>
      <c r="EQ26" s="163"/>
      <c r="ER26" s="163"/>
      <c r="ES26" s="163"/>
      <c r="ET26" s="163"/>
      <c r="EU26" s="163"/>
      <c r="EV26" s="163"/>
      <c r="EW26" s="163"/>
      <c r="EX26" s="163"/>
      <c r="EY26" s="163"/>
      <c r="EZ26" s="163"/>
      <c r="FA26" s="163"/>
      <c r="FB26" s="163"/>
      <c r="FC26" s="163"/>
      <c r="FD26" s="163"/>
      <c r="FE26" s="163"/>
      <c r="FF26" s="163"/>
      <c r="FG26" s="163"/>
      <c r="FH26" s="163"/>
      <c r="FI26" s="163"/>
      <c r="FJ26" s="163"/>
      <c r="FK26" s="163"/>
      <c r="FL26" s="163"/>
      <c r="FM26" s="163"/>
      <c r="FN26" s="163"/>
      <c r="FO26" s="163"/>
      <c r="FP26" s="100"/>
    </row>
    <row r="27" spans="1:172" x14ac:dyDescent="0.2">
      <c r="A27" s="169" t="b">
        <v>0</v>
      </c>
      <c r="B27" s="169" t="b">
        <v>0</v>
      </c>
      <c r="C27" s="169" t="b">
        <v>1</v>
      </c>
      <c r="D27" s="169" t="b">
        <v>0</v>
      </c>
      <c r="E27" s="169" t="b">
        <v>0</v>
      </c>
      <c r="F27" s="169" t="b">
        <v>0</v>
      </c>
      <c r="G27" s="163" t="s">
        <v>765</v>
      </c>
      <c r="H27" s="100"/>
      <c r="I27" s="100"/>
      <c r="J27" s="100" t="s">
        <v>519</v>
      </c>
      <c r="K27" s="163" t="s">
        <v>628</v>
      </c>
      <c r="L27" s="163" t="s">
        <v>1529</v>
      </c>
      <c r="M27" s="163"/>
      <c r="N27" s="163" t="s">
        <v>629</v>
      </c>
      <c r="O27" s="163"/>
      <c r="P27" s="163"/>
      <c r="Q27" s="163"/>
      <c r="R27" s="163" t="s">
        <v>635</v>
      </c>
      <c r="S27" s="163" t="s">
        <v>129</v>
      </c>
      <c r="T27" s="163"/>
      <c r="U27" s="163"/>
      <c r="V27" s="163"/>
      <c r="W27" s="163" t="s">
        <v>134</v>
      </c>
      <c r="X27" s="163" t="s">
        <v>631</v>
      </c>
      <c r="Y27" s="163" t="s">
        <v>148</v>
      </c>
      <c r="Z27" s="163" t="s">
        <v>142</v>
      </c>
      <c r="AA27" s="68" t="s">
        <v>115</v>
      </c>
      <c r="AB27" s="68"/>
      <c r="AC27" s="68"/>
      <c r="AD27" s="68" t="s">
        <v>115</v>
      </c>
      <c r="AE27" s="68" t="s">
        <v>116</v>
      </c>
      <c r="AF27" s="68"/>
      <c r="AG27" s="68"/>
      <c r="AH27" s="68" t="s">
        <v>116</v>
      </c>
      <c r="AI27" s="163"/>
      <c r="AJ27" s="163"/>
      <c r="AK27" s="163"/>
      <c r="AL27" s="163"/>
      <c r="AM27" s="163"/>
      <c r="AN27" s="163"/>
      <c r="AO27" s="163"/>
      <c r="AP27" s="163"/>
      <c r="AQ27" s="163"/>
      <c r="AR27" s="163"/>
      <c r="AS27" s="163" t="s">
        <v>1530</v>
      </c>
      <c r="AT27" s="100" t="s">
        <v>1539</v>
      </c>
      <c r="AU27" s="96" t="s">
        <v>1540</v>
      </c>
      <c r="AV27" s="100" t="s">
        <v>1541</v>
      </c>
      <c r="AW27" s="163" t="s">
        <v>121</v>
      </c>
      <c r="AX27" s="100"/>
      <c r="AY27" s="100"/>
      <c r="AZ27" s="100"/>
      <c r="BA27" s="100"/>
      <c r="BB27" s="100"/>
      <c r="BC27" s="100"/>
      <c r="BD27" s="100"/>
      <c r="BE27" s="100"/>
      <c r="BF27" s="100"/>
      <c r="BG27" s="100"/>
      <c r="BH27" s="100"/>
      <c r="BI27" s="100"/>
      <c r="BJ27" s="100"/>
      <c r="BK27" s="100"/>
      <c r="BL27" s="163" t="s">
        <v>249</v>
      </c>
      <c r="BM27" s="100"/>
      <c r="BN27" s="100"/>
      <c r="BO27" s="100"/>
      <c r="BP27" s="100"/>
      <c r="BQ27" s="100"/>
      <c r="BR27" s="100"/>
      <c r="BS27" s="100"/>
      <c r="BT27" s="100"/>
      <c r="BU27" s="100"/>
      <c r="BV27" s="100"/>
      <c r="BW27" s="100"/>
      <c r="BX27" s="100"/>
      <c r="BY27" s="100"/>
      <c r="BZ27" s="100"/>
      <c r="CA27" s="100"/>
      <c r="CB27" s="100"/>
      <c r="CC27" s="100"/>
      <c r="CD27" s="100"/>
      <c r="CE27" s="100"/>
      <c r="CF27" s="100"/>
      <c r="CG27" s="100"/>
      <c r="CH27" s="100"/>
      <c r="CI27" s="100"/>
      <c r="CJ27" s="100"/>
      <c r="CK27" s="100"/>
      <c r="CL27" s="100"/>
      <c r="CM27" s="100"/>
      <c r="CN27" s="100"/>
      <c r="CO27" s="100"/>
      <c r="CP27" s="100"/>
      <c r="CQ27" s="100"/>
      <c r="CR27" s="100"/>
      <c r="CS27" s="100"/>
      <c r="CT27" s="100"/>
      <c r="CU27" s="100"/>
      <c r="CV27" s="100"/>
      <c r="CW27" s="168"/>
      <c r="CX27" s="168"/>
      <c r="CY27" s="168"/>
      <c r="CZ27" s="168"/>
      <c r="DA27" s="168"/>
      <c r="DB27" s="168"/>
      <c r="DC27" s="168"/>
      <c r="DD27" s="168"/>
      <c r="DE27" s="168"/>
      <c r="DF27" s="168"/>
      <c r="DG27" s="168"/>
      <c r="DH27" s="168"/>
      <c r="DI27" s="168"/>
      <c r="DJ27" s="168"/>
      <c r="DK27" s="168"/>
      <c r="DL27" s="168"/>
      <c r="DM27" s="168"/>
      <c r="DN27" s="168"/>
      <c r="DO27" s="168"/>
      <c r="DP27" s="168"/>
      <c r="DQ27" s="168"/>
      <c r="DR27" s="168"/>
      <c r="DS27" s="168"/>
      <c r="DT27" s="168"/>
      <c r="DU27" s="168"/>
      <c r="DV27" s="168"/>
      <c r="DW27" s="168"/>
      <c r="DX27" s="168"/>
      <c r="DY27" s="168"/>
      <c r="DZ27" s="168"/>
      <c r="EA27" s="168"/>
      <c r="EB27" s="168"/>
      <c r="EC27" s="168"/>
      <c r="ED27" s="168"/>
      <c r="EE27" s="168"/>
      <c r="EF27" s="168"/>
      <c r="EG27" s="168"/>
      <c r="EH27" s="163"/>
      <c r="EI27" s="163"/>
      <c r="EJ27" s="163"/>
      <c r="EK27" s="163"/>
      <c r="EL27" s="163"/>
      <c r="EM27" s="163"/>
      <c r="EN27" s="163"/>
      <c r="EO27" s="163"/>
      <c r="EP27" s="163"/>
      <c r="EQ27" s="163"/>
      <c r="ER27" s="163"/>
      <c r="ES27" s="163"/>
      <c r="ET27" s="163"/>
      <c r="EU27" s="163"/>
      <c r="EV27" s="163"/>
      <c r="EW27" s="163"/>
      <c r="EX27" s="163"/>
      <c r="EY27" s="163"/>
      <c r="EZ27" s="163"/>
      <c r="FA27" s="163"/>
      <c r="FB27" s="163"/>
      <c r="FC27" s="163"/>
      <c r="FD27" s="163"/>
      <c r="FE27" s="163"/>
      <c r="FF27" s="163"/>
      <c r="FG27" s="163"/>
      <c r="FH27" s="163"/>
      <c r="FI27" s="163"/>
      <c r="FJ27" s="163"/>
      <c r="FK27" s="163"/>
      <c r="FL27" s="163"/>
      <c r="FM27" s="163"/>
      <c r="FN27" s="163"/>
      <c r="FO27" s="163"/>
      <c r="FP27" s="170"/>
    </row>
    <row r="28" spans="1:172" x14ac:dyDescent="0.2">
      <c r="A28" s="169" t="b">
        <v>0</v>
      </c>
      <c r="B28" s="169" t="b">
        <v>0</v>
      </c>
      <c r="C28" s="169" t="b">
        <v>1</v>
      </c>
      <c r="D28" s="169" t="b">
        <v>0</v>
      </c>
      <c r="E28" s="169" t="b">
        <v>0</v>
      </c>
      <c r="F28" s="169" t="b">
        <v>0</v>
      </c>
      <c r="G28" s="163" t="s">
        <v>765</v>
      </c>
      <c r="H28" s="100"/>
      <c r="I28" s="100"/>
      <c r="J28" s="100" t="s">
        <v>519</v>
      </c>
      <c r="K28" s="163" t="s">
        <v>628</v>
      </c>
      <c r="L28" s="163" t="s">
        <v>1529</v>
      </c>
      <c r="M28" s="163"/>
      <c r="N28" s="163" t="s">
        <v>629</v>
      </c>
      <c r="O28" s="163"/>
      <c r="P28" s="163"/>
      <c r="Q28" s="163"/>
      <c r="R28" s="163" t="s">
        <v>635</v>
      </c>
      <c r="S28" s="163" t="s">
        <v>633</v>
      </c>
      <c r="T28" s="100"/>
      <c r="U28" s="100"/>
      <c r="V28" s="100"/>
      <c r="W28" s="100" t="s">
        <v>134</v>
      </c>
      <c r="X28" s="100" t="s">
        <v>631</v>
      </c>
      <c r="Y28" s="100" t="s">
        <v>148</v>
      </c>
      <c r="Z28" s="100" t="s">
        <v>142</v>
      </c>
      <c r="AA28" s="68" t="s">
        <v>115</v>
      </c>
      <c r="AB28" s="68"/>
      <c r="AC28" s="68"/>
      <c r="AD28" s="68" t="s">
        <v>115</v>
      </c>
      <c r="AE28" s="68" t="s">
        <v>116</v>
      </c>
      <c r="AF28" s="68"/>
      <c r="AG28" s="68"/>
      <c r="AH28" s="68" t="s">
        <v>116</v>
      </c>
      <c r="AI28" s="100"/>
      <c r="AJ28" s="100"/>
      <c r="AK28" s="100"/>
      <c r="AL28" s="100"/>
      <c r="AM28" s="100"/>
      <c r="AN28" s="100"/>
      <c r="AO28" s="100"/>
      <c r="AP28" s="100"/>
      <c r="AQ28" s="100"/>
      <c r="AR28" s="100"/>
      <c r="AS28" s="100" t="s">
        <v>1530</v>
      </c>
      <c r="AT28" s="100" t="s">
        <v>1539</v>
      </c>
      <c r="AU28" s="96" t="s">
        <v>1540</v>
      </c>
      <c r="AV28" s="100" t="s">
        <v>1541</v>
      </c>
      <c r="AW28" s="163" t="s">
        <v>121</v>
      </c>
      <c r="AX28" s="100"/>
      <c r="AY28" s="100"/>
      <c r="AZ28" s="100"/>
      <c r="BA28" s="100"/>
      <c r="BB28" s="100"/>
      <c r="BC28" s="100"/>
      <c r="BD28" s="100"/>
      <c r="BE28" s="100"/>
      <c r="BF28" s="100"/>
      <c r="BG28" s="100"/>
      <c r="BH28" s="100"/>
      <c r="BI28" s="100"/>
      <c r="BJ28" s="100"/>
      <c r="BK28" s="100"/>
      <c r="BL28" s="163" t="s">
        <v>249</v>
      </c>
      <c r="BM28" s="100"/>
      <c r="BN28" s="100"/>
      <c r="BO28" s="100"/>
      <c r="BP28" s="100"/>
      <c r="BQ28" s="100"/>
      <c r="BR28" s="100"/>
      <c r="BS28" s="100"/>
      <c r="BT28" s="100"/>
      <c r="BU28" s="100"/>
      <c r="BV28" s="100"/>
      <c r="BW28" s="100"/>
      <c r="BX28" s="100"/>
      <c r="BY28" s="100"/>
      <c r="BZ28" s="100"/>
      <c r="CA28" s="100"/>
      <c r="CB28" s="100"/>
      <c r="CC28" s="100"/>
      <c r="CD28" s="100"/>
      <c r="CE28" s="100"/>
      <c r="CF28" s="100"/>
      <c r="CG28" s="100"/>
      <c r="CH28" s="100"/>
      <c r="CI28" s="100"/>
      <c r="CJ28" s="100"/>
      <c r="CK28" s="100"/>
      <c r="CL28" s="100"/>
      <c r="CM28" s="100"/>
      <c r="CN28" s="100"/>
      <c r="CO28" s="100"/>
      <c r="CP28" s="100"/>
      <c r="CQ28" s="100"/>
      <c r="CR28" s="100"/>
      <c r="CS28" s="100"/>
      <c r="CT28" s="100"/>
      <c r="CU28" s="100"/>
      <c r="CV28" s="100"/>
      <c r="CW28" s="168"/>
      <c r="CX28" s="168"/>
      <c r="CY28" s="168"/>
      <c r="CZ28" s="168"/>
      <c r="DA28" s="168"/>
      <c r="DB28" s="168"/>
      <c r="DC28" s="168"/>
      <c r="DD28" s="168"/>
      <c r="DE28" s="168"/>
      <c r="DF28" s="168"/>
      <c r="DG28" s="168"/>
      <c r="DH28" s="168"/>
      <c r="DI28" s="168"/>
      <c r="DJ28" s="168"/>
      <c r="DK28" s="168"/>
      <c r="DL28" s="168"/>
      <c r="DM28" s="168"/>
      <c r="DN28" s="168"/>
      <c r="DO28" s="168"/>
      <c r="DP28" s="168"/>
      <c r="DQ28" s="168"/>
      <c r="DR28" s="168"/>
      <c r="DS28" s="168"/>
      <c r="DT28" s="168"/>
      <c r="DU28" s="168"/>
      <c r="DV28" s="168"/>
      <c r="DW28" s="168"/>
      <c r="DX28" s="168"/>
      <c r="DY28" s="168"/>
      <c r="DZ28" s="168"/>
      <c r="EA28" s="168"/>
      <c r="EB28" s="168"/>
      <c r="EC28" s="168"/>
      <c r="ED28" s="168"/>
      <c r="EE28" s="168"/>
      <c r="EF28" s="168"/>
      <c r="EG28" s="168"/>
      <c r="EH28" s="163"/>
      <c r="EI28" s="163"/>
      <c r="EJ28" s="163"/>
      <c r="EK28" s="163"/>
      <c r="EL28" s="163"/>
      <c r="EM28" s="163"/>
      <c r="EN28" s="163"/>
      <c r="EO28" s="163"/>
      <c r="EP28" s="163"/>
      <c r="EQ28" s="163"/>
      <c r="ER28" s="163"/>
      <c r="ES28" s="163"/>
      <c r="ET28" s="163"/>
      <c r="EU28" s="163"/>
      <c r="EV28" s="163"/>
      <c r="EW28" s="163"/>
      <c r="EX28" s="163"/>
      <c r="EY28" s="163"/>
      <c r="EZ28" s="163"/>
      <c r="FA28" s="163"/>
      <c r="FB28" s="163"/>
      <c r="FC28" s="163"/>
      <c r="FD28" s="163"/>
      <c r="FE28" s="163"/>
      <c r="FF28" s="163"/>
      <c r="FG28" s="163"/>
      <c r="FH28" s="163"/>
      <c r="FI28" s="163"/>
      <c r="FJ28" s="163"/>
      <c r="FK28" s="163"/>
      <c r="FL28" s="163"/>
      <c r="FM28" s="163"/>
      <c r="FN28" s="163"/>
      <c r="FO28" s="163"/>
      <c r="FP28" s="170"/>
    </row>
    <row r="29" spans="1:172" x14ac:dyDescent="0.2">
      <c r="A29" s="169" t="b">
        <v>0</v>
      </c>
      <c r="B29" s="169" t="b">
        <v>0</v>
      </c>
      <c r="C29" s="169" t="b">
        <v>1</v>
      </c>
      <c r="D29" s="169" t="b">
        <v>0</v>
      </c>
      <c r="E29" s="169" t="b">
        <v>0</v>
      </c>
      <c r="F29" s="169" t="b">
        <v>0</v>
      </c>
      <c r="G29" s="163" t="s">
        <v>765</v>
      </c>
      <c r="H29" s="100"/>
      <c r="I29" s="100"/>
      <c r="J29" s="100" t="s">
        <v>519</v>
      </c>
      <c r="K29" s="163" t="s">
        <v>628</v>
      </c>
      <c r="L29" s="163" t="s">
        <v>1529</v>
      </c>
      <c r="M29" s="163"/>
      <c r="N29" s="163" t="s">
        <v>629</v>
      </c>
      <c r="O29" s="163"/>
      <c r="P29" s="163"/>
      <c r="Q29" s="163"/>
      <c r="R29" s="163" t="s">
        <v>635</v>
      </c>
      <c r="S29" s="163" t="s">
        <v>635</v>
      </c>
      <c r="T29" s="100"/>
      <c r="U29" s="100"/>
      <c r="V29" s="100"/>
      <c r="W29" s="100" t="s">
        <v>134</v>
      </c>
      <c r="X29" s="100" t="s">
        <v>631</v>
      </c>
      <c r="Y29" s="100" t="s">
        <v>148</v>
      </c>
      <c r="Z29" s="100" t="s">
        <v>142</v>
      </c>
      <c r="AA29" s="68" t="s">
        <v>115</v>
      </c>
      <c r="AB29" s="68"/>
      <c r="AC29" s="68"/>
      <c r="AD29" s="68" t="s">
        <v>115</v>
      </c>
      <c r="AE29" s="68" t="s">
        <v>116</v>
      </c>
      <c r="AF29" s="68"/>
      <c r="AG29" s="68"/>
      <c r="AH29" s="68" t="s">
        <v>116</v>
      </c>
      <c r="AI29" s="100"/>
      <c r="AJ29" s="100"/>
      <c r="AK29" s="100"/>
      <c r="AL29" s="100"/>
      <c r="AM29" s="100"/>
      <c r="AN29" s="100"/>
      <c r="AO29" s="100"/>
      <c r="AP29" s="100"/>
      <c r="AQ29" s="100"/>
      <c r="AR29" s="100"/>
      <c r="AS29" s="100" t="s">
        <v>1530</v>
      </c>
      <c r="AT29" s="100" t="s">
        <v>1539</v>
      </c>
      <c r="AU29" s="96" t="s">
        <v>1540</v>
      </c>
      <c r="AV29" s="100" t="s">
        <v>1541</v>
      </c>
      <c r="AW29" s="163" t="s">
        <v>121</v>
      </c>
      <c r="AX29" s="100"/>
      <c r="AY29" s="100"/>
      <c r="AZ29" s="100"/>
      <c r="BA29" s="100"/>
      <c r="BB29" s="100"/>
      <c r="BC29" s="100"/>
      <c r="BD29" s="100"/>
      <c r="BE29" s="100"/>
      <c r="BF29" s="100"/>
      <c r="BG29" s="100"/>
      <c r="BH29" s="100"/>
      <c r="BI29" s="100"/>
      <c r="BJ29" s="100"/>
      <c r="BK29" s="100"/>
      <c r="BL29" s="163" t="s">
        <v>249</v>
      </c>
      <c r="BM29" s="100"/>
      <c r="BN29" s="100"/>
      <c r="BO29" s="100"/>
      <c r="BP29" s="100"/>
      <c r="BQ29" s="100"/>
      <c r="BR29" s="100"/>
      <c r="BS29" s="100"/>
      <c r="BT29" s="100"/>
      <c r="BU29" s="100"/>
      <c r="BV29" s="100"/>
      <c r="BW29" s="100"/>
      <c r="BX29" s="100"/>
      <c r="BY29" s="100"/>
      <c r="BZ29" s="100"/>
      <c r="CA29" s="100"/>
      <c r="CB29" s="100"/>
      <c r="CC29" s="100"/>
      <c r="CD29" s="100"/>
      <c r="CE29" s="100"/>
      <c r="CF29" s="100"/>
      <c r="CG29" s="100"/>
      <c r="CH29" s="100"/>
      <c r="CI29" s="100"/>
      <c r="CJ29" s="100"/>
      <c r="CK29" s="100"/>
      <c r="CL29" s="100"/>
      <c r="CM29" s="100"/>
      <c r="CN29" s="100"/>
      <c r="CO29" s="100"/>
      <c r="CP29" s="100"/>
      <c r="CQ29" s="100"/>
      <c r="CR29" s="100"/>
      <c r="CS29" s="100"/>
      <c r="CT29" s="100"/>
      <c r="CU29" s="100"/>
      <c r="CV29" s="100"/>
      <c r="CW29" s="168"/>
      <c r="CX29" s="168"/>
      <c r="CY29" s="168"/>
      <c r="CZ29" s="168"/>
      <c r="DA29" s="168"/>
      <c r="DB29" s="168"/>
      <c r="DC29" s="168"/>
      <c r="DD29" s="168"/>
      <c r="DE29" s="168"/>
      <c r="DF29" s="168"/>
      <c r="DG29" s="168"/>
      <c r="DH29" s="168"/>
      <c r="DI29" s="168"/>
      <c r="DJ29" s="168"/>
      <c r="DK29" s="168"/>
      <c r="DL29" s="168"/>
      <c r="DM29" s="168"/>
      <c r="DN29" s="168"/>
      <c r="DO29" s="168"/>
      <c r="DP29" s="168"/>
      <c r="DQ29" s="168"/>
      <c r="DR29" s="168"/>
      <c r="DS29" s="168"/>
      <c r="DT29" s="168"/>
      <c r="DU29" s="168"/>
      <c r="DV29" s="168"/>
      <c r="DW29" s="168"/>
      <c r="DX29" s="168"/>
      <c r="DY29" s="168"/>
      <c r="DZ29" s="168"/>
      <c r="EA29" s="168"/>
      <c r="EB29" s="168"/>
      <c r="EC29" s="168"/>
      <c r="ED29" s="168"/>
      <c r="EE29" s="168"/>
      <c r="EF29" s="168"/>
      <c r="EG29" s="168"/>
      <c r="EH29" s="163"/>
      <c r="EI29" s="163"/>
      <c r="EJ29" s="163"/>
      <c r="EK29" s="163"/>
      <c r="EL29" s="163"/>
      <c r="EM29" s="163"/>
      <c r="EN29" s="163"/>
      <c r="EO29" s="163"/>
      <c r="EP29" s="163"/>
      <c r="EQ29" s="163"/>
      <c r="ER29" s="163"/>
      <c r="ES29" s="163"/>
      <c r="ET29" s="163"/>
      <c r="EU29" s="163"/>
      <c r="EV29" s="163"/>
      <c r="EW29" s="163"/>
      <c r="EX29" s="163"/>
      <c r="EY29" s="163"/>
      <c r="EZ29" s="163"/>
      <c r="FA29" s="163"/>
      <c r="FB29" s="163"/>
      <c r="FC29" s="163"/>
      <c r="FD29" s="163"/>
      <c r="FE29" s="163"/>
      <c r="FF29" s="163"/>
      <c r="FG29" s="163"/>
      <c r="FH29" s="163"/>
      <c r="FI29" s="163"/>
      <c r="FJ29" s="163"/>
      <c r="FK29" s="163"/>
      <c r="FL29" s="163"/>
      <c r="FM29" s="163"/>
      <c r="FN29" s="163"/>
      <c r="FO29" s="163"/>
      <c r="FP29" s="170"/>
    </row>
    <row r="30" spans="1:172" x14ac:dyDescent="0.2">
      <c r="A30" s="169" t="b">
        <v>0</v>
      </c>
      <c r="B30" s="169" t="b">
        <v>0</v>
      </c>
      <c r="C30" s="169" t="b">
        <v>1</v>
      </c>
      <c r="D30" s="169" t="b">
        <v>0</v>
      </c>
      <c r="E30" s="169" t="b">
        <v>0</v>
      </c>
      <c r="F30" s="169" t="b">
        <v>0</v>
      </c>
      <c r="G30" s="163" t="s">
        <v>765</v>
      </c>
      <c r="H30" s="100"/>
      <c r="I30" s="100"/>
      <c r="J30" s="100" t="s">
        <v>519</v>
      </c>
      <c r="K30" s="163" t="s">
        <v>628</v>
      </c>
      <c r="L30" s="163" t="s">
        <v>1529</v>
      </c>
      <c r="M30" s="163"/>
      <c r="N30" s="163" t="s">
        <v>629</v>
      </c>
      <c r="O30" s="163"/>
      <c r="P30" s="163"/>
      <c r="Q30" s="163"/>
      <c r="R30" s="163" t="s">
        <v>635</v>
      </c>
      <c r="S30" s="163"/>
      <c r="T30" s="100"/>
      <c r="U30" s="100"/>
      <c r="V30" s="100"/>
      <c r="W30" s="100" t="s">
        <v>134</v>
      </c>
      <c r="X30" s="100" t="s">
        <v>631</v>
      </c>
      <c r="Y30" s="100" t="s">
        <v>148</v>
      </c>
      <c r="Z30" s="100" t="s">
        <v>142</v>
      </c>
      <c r="AA30" s="68" t="s">
        <v>115</v>
      </c>
      <c r="AB30" s="68"/>
      <c r="AC30" s="68"/>
      <c r="AD30" s="68" t="s">
        <v>115</v>
      </c>
      <c r="AE30" s="68" t="s">
        <v>116</v>
      </c>
      <c r="AF30" s="68"/>
      <c r="AG30" s="68"/>
      <c r="AH30" s="68" t="s">
        <v>116</v>
      </c>
      <c r="AI30" s="100"/>
      <c r="AJ30" s="100"/>
      <c r="AK30" s="100"/>
      <c r="AL30" s="100"/>
      <c r="AM30" s="100"/>
      <c r="AN30" s="100"/>
      <c r="AO30" s="100"/>
      <c r="AP30" s="100"/>
      <c r="AQ30" s="100"/>
      <c r="AR30" s="100"/>
      <c r="AS30" s="100" t="s">
        <v>1530</v>
      </c>
      <c r="AT30" s="100" t="s">
        <v>1539</v>
      </c>
      <c r="AU30" s="96" t="s">
        <v>1540</v>
      </c>
      <c r="AV30" s="100" t="s">
        <v>1541</v>
      </c>
      <c r="AW30" s="163" t="s">
        <v>121</v>
      </c>
      <c r="AX30" s="100"/>
      <c r="AY30" s="100"/>
      <c r="AZ30" s="100"/>
      <c r="BA30" s="100"/>
      <c r="BB30" s="100"/>
      <c r="BC30" s="100"/>
      <c r="BD30" s="100"/>
      <c r="BE30" s="100"/>
      <c r="BF30" s="100"/>
      <c r="BG30" s="100"/>
      <c r="BH30" s="100"/>
      <c r="BI30" s="100"/>
      <c r="BJ30" s="100"/>
      <c r="BK30" s="100"/>
      <c r="BL30" s="163" t="s">
        <v>249</v>
      </c>
      <c r="BM30" s="100"/>
      <c r="BN30" s="100"/>
      <c r="BO30" s="100"/>
      <c r="BP30" s="100"/>
      <c r="BQ30" s="100"/>
      <c r="BR30" s="100"/>
      <c r="BS30" s="100"/>
      <c r="BT30" s="100"/>
      <c r="BU30" s="100"/>
      <c r="BV30" s="100"/>
      <c r="BW30" s="100"/>
      <c r="BX30" s="100"/>
      <c r="BY30" s="100"/>
      <c r="BZ30" s="100"/>
      <c r="CA30" s="100"/>
      <c r="CB30" s="100"/>
      <c r="CC30" s="100"/>
      <c r="CD30" s="100"/>
      <c r="CE30" s="100"/>
      <c r="CF30" s="100"/>
      <c r="CG30" s="100"/>
      <c r="CH30" s="100"/>
      <c r="CI30" s="100"/>
      <c r="CJ30" s="100"/>
      <c r="CK30" s="100"/>
      <c r="CL30" s="100"/>
      <c r="CM30" s="100"/>
      <c r="CN30" s="100"/>
      <c r="CO30" s="100"/>
      <c r="CP30" s="100"/>
      <c r="CQ30" s="100"/>
      <c r="CR30" s="100"/>
      <c r="CS30" s="100"/>
      <c r="CT30" s="100"/>
      <c r="CU30" s="100"/>
      <c r="CV30" s="100"/>
      <c r="CW30" s="168"/>
      <c r="CX30" s="168"/>
      <c r="CY30" s="168"/>
      <c r="CZ30" s="168"/>
      <c r="DA30" s="168"/>
      <c r="DB30" s="168"/>
      <c r="DC30" s="168"/>
      <c r="DD30" s="168"/>
      <c r="DE30" s="168"/>
      <c r="DF30" s="168"/>
      <c r="DG30" s="168"/>
      <c r="DH30" s="168"/>
      <c r="DI30" s="168"/>
      <c r="DJ30" s="168"/>
      <c r="DK30" s="168"/>
      <c r="DL30" s="168"/>
      <c r="DM30" s="168"/>
      <c r="DN30" s="168"/>
      <c r="DO30" s="168"/>
      <c r="DP30" s="168"/>
      <c r="DQ30" s="168"/>
      <c r="DR30" s="168"/>
      <c r="DS30" s="168"/>
      <c r="DT30" s="168"/>
      <c r="DU30" s="168"/>
      <c r="DV30" s="168"/>
      <c r="DW30" s="168"/>
      <c r="DX30" s="168"/>
      <c r="DY30" s="168"/>
      <c r="DZ30" s="168"/>
      <c r="EA30" s="168"/>
      <c r="EB30" s="168"/>
      <c r="EC30" s="168"/>
      <c r="ED30" s="168"/>
      <c r="EE30" s="168"/>
      <c r="EF30" s="168"/>
      <c r="EG30" s="168"/>
      <c r="EH30" s="163"/>
      <c r="EI30" s="163"/>
      <c r="EJ30" s="163"/>
      <c r="EK30" s="163"/>
      <c r="EL30" s="163"/>
      <c r="EM30" s="163"/>
      <c r="EN30" s="163"/>
      <c r="EO30" s="163"/>
      <c r="EP30" s="163"/>
      <c r="EQ30" s="163"/>
      <c r="ER30" s="163"/>
      <c r="ES30" s="163"/>
      <c r="ET30" s="163"/>
      <c r="EU30" s="163"/>
      <c r="EV30" s="163"/>
      <c r="EW30" s="163"/>
      <c r="EX30" s="163"/>
      <c r="EY30" s="163"/>
      <c r="EZ30" s="163"/>
      <c r="FA30" s="163"/>
      <c r="FB30" s="163"/>
      <c r="FC30" s="163"/>
      <c r="FD30" s="163"/>
      <c r="FE30" s="163"/>
      <c r="FF30" s="163"/>
      <c r="FG30" s="163"/>
      <c r="FH30" s="163"/>
      <c r="FI30" s="163"/>
      <c r="FJ30" s="163"/>
      <c r="FK30" s="163"/>
      <c r="FL30" s="163"/>
      <c r="FM30" s="163"/>
      <c r="FN30" s="163"/>
      <c r="FO30" s="163"/>
      <c r="FP30" s="170"/>
    </row>
    <row r="31" spans="1:172" x14ac:dyDescent="0.2">
      <c r="A31" s="169" t="b">
        <v>0</v>
      </c>
      <c r="B31" s="169" t="b">
        <v>0</v>
      </c>
      <c r="C31" s="169" t="b">
        <v>1</v>
      </c>
      <c r="D31" s="169" t="b">
        <v>0</v>
      </c>
      <c r="E31" s="169" t="b">
        <v>0</v>
      </c>
      <c r="F31" s="169" t="b">
        <v>0</v>
      </c>
      <c r="G31" s="163" t="s">
        <v>765</v>
      </c>
      <c r="H31" s="100"/>
      <c r="I31" s="100"/>
      <c r="J31" s="100" t="s">
        <v>519</v>
      </c>
      <c r="K31" s="100" t="s">
        <v>628</v>
      </c>
      <c r="L31" s="100" t="s">
        <v>814</v>
      </c>
      <c r="M31" s="100"/>
      <c r="N31" s="100" t="s">
        <v>629</v>
      </c>
      <c r="O31" s="100"/>
      <c r="P31" s="100"/>
      <c r="Q31" s="100"/>
      <c r="R31" s="100" t="s">
        <v>635</v>
      </c>
      <c r="S31" s="100" t="s">
        <v>129</v>
      </c>
      <c r="T31" s="100"/>
      <c r="U31" s="100"/>
      <c r="V31" s="100"/>
      <c r="W31" s="100" t="s">
        <v>134</v>
      </c>
      <c r="X31" s="100" t="s">
        <v>631</v>
      </c>
      <c r="Y31" s="100" t="s">
        <v>148</v>
      </c>
      <c r="Z31" s="100" t="s">
        <v>142</v>
      </c>
      <c r="AA31" s="68" t="s">
        <v>115</v>
      </c>
      <c r="AB31" s="68"/>
      <c r="AC31" s="68"/>
      <c r="AD31" s="68" t="s">
        <v>115</v>
      </c>
      <c r="AE31" s="68" t="s">
        <v>116</v>
      </c>
      <c r="AF31" s="68"/>
      <c r="AG31" s="68"/>
      <c r="AH31" s="68" t="s">
        <v>116</v>
      </c>
      <c r="AI31" s="100"/>
      <c r="AJ31" s="100"/>
      <c r="AK31" s="100"/>
      <c r="AL31" s="100"/>
      <c r="AM31" s="100"/>
      <c r="AN31" s="100"/>
      <c r="AO31" s="100"/>
      <c r="AP31" s="100"/>
      <c r="AQ31" s="100"/>
      <c r="AR31" s="100"/>
      <c r="AS31" s="100" t="s">
        <v>1528</v>
      </c>
      <c r="AT31" s="100" t="s">
        <v>1542</v>
      </c>
      <c r="AU31" s="100" t="str">
        <f>IF($AT31="","",IFERROR(INDEX([2]InstructorMap!$B:$B, MATCH($AT31, [2]InstructorMap!$A:$A, 0)),""))</f>
        <v>agustina@andrews.edu</v>
      </c>
      <c r="AV31" s="100" t="str">
        <f>IF($AT31="","",IFERROR(INDEX([2]InstructorMap!$C:$C, MATCH($AT31, [2]InstructorMap!$A:$A, 0)),""))</f>
        <v>000240618</v>
      </c>
      <c r="AW31" s="163" t="s">
        <v>121</v>
      </c>
      <c r="AX31" s="100"/>
      <c r="AY31" s="100"/>
      <c r="AZ31" s="100"/>
      <c r="BA31" s="100"/>
      <c r="BB31" s="100"/>
      <c r="BC31" s="100"/>
      <c r="BD31" s="100"/>
      <c r="BE31" s="100"/>
      <c r="BF31" s="100"/>
      <c r="BG31" s="100"/>
      <c r="BH31" s="100"/>
      <c r="BI31" s="100"/>
      <c r="BJ31" s="100"/>
      <c r="BK31" s="100"/>
      <c r="BL31" s="163" t="s">
        <v>249</v>
      </c>
      <c r="BM31" s="100"/>
      <c r="BN31" s="100"/>
      <c r="BO31" s="100"/>
      <c r="BP31" s="100"/>
      <c r="BQ31" s="100"/>
      <c r="BR31" s="100"/>
      <c r="BS31" s="100"/>
      <c r="BT31" s="100"/>
      <c r="BU31" s="100"/>
      <c r="BV31" s="100"/>
      <c r="BW31" s="100"/>
      <c r="BX31" s="100"/>
      <c r="BY31" s="100"/>
      <c r="BZ31" s="100"/>
      <c r="CA31" s="100"/>
      <c r="CB31" s="100"/>
      <c r="CC31" s="100"/>
      <c r="CD31" s="100"/>
      <c r="CE31" s="100"/>
      <c r="CF31" s="100"/>
      <c r="CG31" s="100"/>
      <c r="CH31" s="100"/>
      <c r="CI31" s="100"/>
      <c r="CJ31" s="100"/>
      <c r="CK31" s="100"/>
      <c r="CL31" s="100"/>
      <c r="CM31" s="100"/>
      <c r="CN31" s="100"/>
      <c r="CO31" s="100"/>
      <c r="CP31" s="100"/>
      <c r="CQ31" s="100"/>
      <c r="CR31" s="100"/>
      <c r="CS31" s="100"/>
      <c r="CT31" s="100"/>
      <c r="CU31" s="100"/>
      <c r="CV31" s="100"/>
      <c r="CW31" s="168"/>
      <c r="CX31" s="168"/>
      <c r="CY31" s="168"/>
      <c r="CZ31" s="168"/>
      <c r="DA31" s="168"/>
      <c r="DB31" s="168"/>
      <c r="DC31" s="168"/>
      <c r="DD31" s="168"/>
      <c r="DE31" s="168"/>
      <c r="DF31" s="168"/>
      <c r="DG31" s="168"/>
      <c r="DH31" s="168"/>
      <c r="DI31" s="168"/>
      <c r="DJ31" s="168"/>
      <c r="DK31" s="168"/>
      <c r="DL31" s="168"/>
      <c r="DM31" s="168"/>
      <c r="DN31" s="168"/>
      <c r="DO31" s="168"/>
      <c r="DP31" s="168"/>
      <c r="DQ31" s="168"/>
      <c r="DR31" s="168"/>
      <c r="DS31" s="168"/>
      <c r="DT31" s="168"/>
      <c r="DU31" s="168"/>
      <c r="DV31" s="168"/>
      <c r="DW31" s="168"/>
      <c r="DX31" s="168"/>
      <c r="DY31" s="168"/>
      <c r="DZ31" s="168"/>
      <c r="EA31" s="168"/>
      <c r="EB31" s="168"/>
      <c r="EC31" s="168"/>
      <c r="ED31" s="168"/>
      <c r="EE31" s="168"/>
      <c r="EF31" s="168"/>
      <c r="EG31" s="168"/>
      <c r="EH31" s="163"/>
      <c r="EI31" s="163"/>
      <c r="EJ31" s="163"/>
      <c r="EK31" s="163"/>
      <c r="EL31" s="163"/>
      <c r="EM31" s="163"/>
      <c r="EN31" s="163"/>
      <c r="EO31" s="163"/>
      <c r="EP31" s="163"/>
      <c r="EQ31" s="163"/>
      <c r="ER31" s="163"/>
      <c r="ES31" s="163"/>
      <c r="ET31" s="163"/>
      <c r="EU31" s="163"/>
      <c r="EV31" s="163"/>
      <c r="EW31" s="163"/>
      <c r="EX31" s="163"/>
      <c r="EY31" s="163"/>
      <c r="EZ31" s="163"/>
      <c r="FA31" s="163"/>
      <c r="FB31" s="163"/>
      <c r="FC31" s="163"/>
      <c r="FD31" s="163"/>
      <c r="FE31" s="163"/>
      <c r="FF31" s="163"/>
      <c r="FG31" s="163"/>
      <c r="FH31" s="163"/>
      <c r="FI31" s="163"/>
      <c r="FJ31" s="163"/>
      <c r="FK31" s="163"/>
      <c r="FL31" s="163"/>
      <c r="FM31" s="163"/>
      <c r="FN31" s="163"/>
      <c r="FO31" s="163"/>
      <c r="FP31" s="170"/>
    </row>
    <row r="32" spans="1:172" x14ac:dyDescent="0.2">
      <c r="A32" s="169" t="b">
        <v>0</v>
      </c>
      <c r="B32" s="169" t="b">
        <v>0</v>
      </c>
      <c r="C32" s="169" t="b">
        <v>1</v>
      </c>
      <c r="D32" s="169" t="b">
        <v>0</v>
      </c>
      <c r="E32" s="169" t="b">
        <v>0</v>
      </c>
      <c r="F32" s="169" t="b">
        <v>0</v>
      </c>
      <c r="G32" s="163" t="s">
        <v>765</v>
      </c>
      <c r="H32" s="100"/>
      <c r="I32" s="100"/>
      <c r="J32" s="100" t="s">
        <v>519</v>
      </c>
      <c r="K32" s="100" t="s">
        <v>628</v>
      </c>
      <c r="L32" s="100" t="s">
        <v>814</v>
      </c>
      <c r="M32" s="100"/>
      <c r="N32" s="100" t="s">
        <v>629</v>
      </c>
      <c r="O32" s="100"/>
      <c r="P32" s="100"/>
      <c r="Q32" s="100"/>
      <c r="R32" s="100" t="s">
        <v>635</v>
      </c>
      <c r="S32" s="100" t="s">
        <v>633</v>
      </c>
      <c r="T32" s="100"/>
      <c r="U32" s="100"/>
      <c r="V32" s="100"/>
      <c r="W32" s="100" t="s">
        <v>134</v>
      </c>
      <c r="X32" s="100" t="s">
        <v>631</v>
      </c>
      <c r="Y32" s="100" t="s">
        <v>148</v>
      </c>
      <c r="Z32" s="100" t="s">
        <v>142</v>
      </c>
      <c r="AA32" s="68" t="s">
        <v>115</v>
      </c>
      <c r="AB32" s="68"/>
      <c r="AC32" s="68"/>
      <c r="AD32" s="68" t="s">
        <v>115</v>
      </c>
      <c r="AE32" s="68" t="s">
        <v>116</v>
      </c>
      <c r="AF32" s="68"/>
      <c r="AG32" s="68"/>
      <c r="AH32" s="68" t="s">
        <v>116</v>
      </c>
      <c r="AI32" s="100"/>
      <c r="AJ32" s="100"/>
      <c r="AK32" s="100"/>
      <c r="AL32" s="100"/>
      <c r="AM32" s="100"/>
      <c r="AN32" s="100"/>
      <c r="AO32" s="100"/>
      <c r="AP32" s="100"/>
      <c r="AQ32" s="100"/>
      <c r="AR32" s="100"/>
      <c r="AS32" s="100" t="s">
        <v>1528</v>
      </c>
      <c r="AT32" s="100" t="s">
        <v>1542</v>
      </c>
      <c r="AU32" s="100" t="str">
        <f>IF($AT32="","",IFERROR(INDEX([2]InstructorMap!$B:$B, MATCH($AT32, [2]InstructorMap!$A:$A, 0)),""))</f>
        <v>agustina@andrews.edu</v>
      </c>
      <c r="AV32" s="100" t="str">
        <f>IF($AT32="","",IFERROR(INDEX([2]InstructorMap!$C:$C, MATCH($AT32, [2]InstructorMap!$A:$A, 0)),""))</f>
        <v>000240618</v>
      </c>
      <c r="AW32" s="163" t="s">
        <v>121</v>
      </c>
      <c r="AX32" s="100"/>
      <c r="AY32" s="100"/>
      <c r="AZ32" s="100"/>
      <c r="BA32" s="100"/>
      <c r="BB32" s="100"/>
      <c r="BC32" s="100"/>
      <c r="BD32" s="100"/>
      <c r="BE32" s="100"/>
      <c r="BF32" s="100"/>
      <c r="BG32" s="100"/>
      <c r="BH32" s="100"/>
      <c r="BI32" s="100"/>
      <c r="BJ32" s="100"/>
      <c r="BK32" s="100"/>
      <c r="BL32" s="163" t="s">
        <v>249</v>
      </c>
      <c r="BM32" s="100"/>
      <c r="BN32" s="100"/>
      <c r="BO32" s="100"/>
      <c r="BP32" s="100"/>
      <c r="BQ32" s="100"/>
      <c r="BR32" s="100"/>
      <c r="BS32" s="100"/>
      <c r="BT32" s="100"/>
      <c r="BU32" s="100"/>
      <c r="BV32" s="100"/>
      <c r="BW32" s="100"/>
      <c r="BX32" s="100"/>
      <c r="BY32" s="100"/>
      <c r="BZ32" s="100"/>
      <c r="CA32" s="100"/>
      <c r="CB32" s="100"/>
      <c r="CC32" s="100"/>
      <c r="CD32" s="100"/>
      <c r="CE32" s="100"/>
      <c r="CF32" s="100"/>
      <c r="CG32" s="100"/>
      <c r="CH32" s="100"/>
      <c r="CI32" s="100"/>
      <c r="CJ32" s="100"/>
      <c r="CK32" s="100"/>
      <c r="CL32" s="100"/>
      <c r="CM32" s="100"/>
      <c r="CN32" s="100"/>
      <c r="CO32" s="100"/>
      <c r="CP32" s="100"/>
      <c r="CQ32" s="100"/>
      <c r="CR32" s="100"/>
      <c r="CS32" s="100"/>
      <c r="CT32" s="100"/>
      <c r="CU32" s="100"/>
      <c r="CV32" s="100"/>
      <c r="CW32" s="168"/>
      <c r="CX32" s="168"/>
      <c r="CY32" s="168"/>
      <c r="CZ32" s="168"/>
      <c r="DA32" s="168"/>
      <c r="DB32" s="168"/>
      <c r="DC32" s="168"/>
      <c r="DD32" s="168"/>
      <c r="DE32" s="168"/>
      <c r="DF32" s="168"/>
      <c r="DG32" s="168"/>
      <c r="DH32" s="168"/>
      <c r="DI32" s="168"/>
      <c r="DJ32" s="168"/>
      <c r="DK32" s="168"/>
      <c r="DL32" s="168"/>
      <c r="DM32" s="168"/>
      <c r="DN32" s="168"/>
      <c r="DO32" s="168"/>
      <c r="DP32" s="168"/>
      <c r="DQ32" s="168"/>
      <c r="DR32" s="168"/>
      <c r="DS32" s="168"/>
      <c r="DT32" s="168"/>
      <c r="DU32" s="168"/>
      <c r="DV32" s="168"/>
      <c r="DW32" s="168"/>
      <c r="DX32" s="168"/>
      <c r="DY32" s="168"/>
      <c r="DZ32" s="168"/>
      <c r="EA32" s="168"/>
      <c r="EB32" s="168"/>
      <c r="EC32" s="168"/>
      <c r="ED32" s="168"/>
      <c r="EE32" s="168"/>
      <c r="EF32" s="168"/>
      <c r="EG32" s="168"/>
      <c r="EH32" s="163"/>
      <c r="EI32" s="163"/>
      <c r="EJ32" s="163"/>
      <c r="EK32" s="163"/>
      <c r="EL32" s="163"/>
      <c r="EM32" s="163"/>
      <c r="EN32" s="163"/>
      <c r="EO32" s="163"/>
      <c r="EP32" s="163"/>
      <c r="EQ32" s="163"/>
      <c r="ER32" s="163"/>
      <c r="ES32" s="163"/>
      <c r="ET32" s="163"/>
      <c r="EU32" s="163"/>
      <c r="EV32" s="163"/>
      <c r="EW32" s="163"/>
      <c r="EX32" s="163"/>
      <c r="EY32" s="163"/>
      <c r="EZ32" s="163"/>
      <c r="FA32" s="163"/>
      <c r="FB32" s="163"/>
      <c r="FC32" s="163"/>
      <c r="FD32" s="163"/>
      <c r="FE32" s="163"/>
      <c r="FF32" s="163"/>
      <c r="FG32" s="163"/>
      <c r="FH32" s="163"/>
      <c r="FI32" s="163"/>
      <c r="FJ32" s="163"/>
      <c r="FK32" s="163"/>
      <c r="FL32" s="163"/>
      <c r="FM32" s="163"/>
      <c r="FN32" s="163"/>
      <c r="FO32" s="163"/>
      <c r="FP32" s="170"/>
    </row>
    <row r="33" spans="1:172" x14ac:dyDescent="0.2">
      <c r="A33" s="169" t="b">
        <v>0</v>
      </c>
      <c r="B33" s="169" t="b">
        <v>0</v>
      </c>
      <c r="C33" s="169" t="b">
        <v>1</v>
      </c>
      <c r="D33" s="169" t="b">
        <v>0</v>
      </c>
      <c r="E33" s="169" t="b">
        <v>0</v>
      </c>
      <c r="F33" s="169" t="b">
        <v>0</v>
      </c>
      <c r="G33" s="163" t="s">
        <v>765</v>
      </c>
      <c r="H33" s="100"/>
      <c r="I33" s="100"/>
      <c r="J33" s="100" t="s">
        <v>519</v>
      </c>
      <c r="K33" s="100" t="s">
        <v>628</v>
      </c>
      <c r="L33" s="100" t="s">
        <v>814</v>
      </c>
      <c r="M33" s="100"/>
      <c r="N33" s="100" t="s">
        <v>629</v>
      </c>
      <c r="O33" s="100"/>
      <c r="P33" s="100"/>
      <c r="Q33" s="100"/>
      <c r="R33" s="100" t="s">
        <v>635</v>
      </c>
      <c r="S33" s="100" t="s">
        <v>635</v>
      </c>
      <c r="T33" s="100"/>
      <c r="U33" s="100"/>
      <c r="V33" s="100"/>
      <c r="W33" s="100" t="s">
        <v>134</v>
      </c>
      <c r="X33" s="100" t="s">
        <v>631</v>
      </c>
      <c r="Y33" s="100" t="s">
        <v>148</v>
      </c>
      <c r="Z33" s="100" t="s">
        <v>142</v>
      </c>
      <c r="AA33" s="68" t="s">
        <v>115</v>
      </c>
      <c r="AB33" s="68"/>
      <c r="AC33" s="68"/>
      <c r="AD33" s="68" t="s">
        <v>115</v>
      </c>
      <c r="AE33" s="68" t="s">
        <v>116</v>
      </c>
      <c r="AF33" s="68"/>
      <c r="AG33" s="68"/>
      <c r="AH33" s="68" t="s">
        <v>116</v>
      </c>
      <c r="AI33" s="100"/>
      <c r="AJ33" s="100"/>
      <c r="AK33" s="100"/>
      <c r="AL33" s="100"/>
      <c r="AM33" s="100"/>
      <c r="AN33" s="100"/>
      <c r="AO33" s="100"/>
      <c r="AP33" s="100"/>
      <c r="AQ33" s="100"/>
      <c r="AR33" s="100"/>
      <c r="AS33" s="100" t="s">
        <v>1528</v>
      </c>
      <c r="AT33" s="100" t="s">
        <v>1542</v>
      </c>
      <c r="AU33" s="100" t="str">
        <f>IF($AT33="","",IFERROR(INDEX([2]InstructorMap!$B:$B, MATCH($AT33, [2]InstructorMap!$A:$A, 0)),""))</f>
        <v>agustina@andrews.edu</v>
      </c>
      <c r="AV33" s="100" t="str">
        <f>IF($AT33="","",IFERROR(INDEX([2]InstructorMap!$C:$C, MATCH($AT33, [2]InstructorMap!$A:$A, 0)),""))</f>
        <v>000240618</v>
      </c>
      <c r="AW33" s="163" t="s">
        <v>121</v>
      </c>
      <c r="AX33" s="100"/>
      <c r="AY33" s="100"/>
      <c r="AZ33" s="100"/>
      <c r="BA33" s="100"/>
      <c r="BB33" s="100"/>
      <c r="BC33" s="100"/>
      <c r="BD33" s="100"/>
      <c r="BE33" s="100"/>
      <c r="BF33" s="100"/>
      <c r="BG33" s="100"/>
      <c r="BH33" s="100"/>
      <c r="BI33" s="100"/>
      <c r="BJ33" s="100"/>
      <c r="BK33" s="100"/>
      <c r="BL33" s="163" t="s">
        <v>249</v>
      </c>
      <c r="BM33" s="100"/>
      <c r="BN33" s="100"/>
      <c r="BO33" s="100"/>
      <c r="BP33" s="100"/>
      <c r="BQ33" s="100"/>
      <c r="BR33" s="100"/>
      <c r="BS33" s="100"/>
      <c r="BT33" s="100"/>
      <c r="BU33" s="100"/>
      <c r="BV33" s="100"/>
      <c r="BW33" s="100"/>
      <c r="BX33" s="100"/>
      <c r="BY33" s="100"/>
      <c r="BZ33" s="100"/>
      <c r="CA33" s="100"/>
      <c r="CB33" s="100"/>
      <c r="CC33" s="100"/>
      <c r="CD33" s="100"/>
      <c r="CE33" s="100"/>
      <c r="CF33" s="100"/>
      <c r="CG33" s="100"/>
      <c r="CH33" s="100"/>
      <c r="CI33" s="100"/>
      <c r="CJ33" s="100"/>
      <c r="CK33" s="100"/>
      <c r="CL33" s="100"/>
      <c r="CM33" s="100"/>
      <c r="CN33" s="100"/>
      <c r="CO33" s="100"/>
      <c r="CP33" s="100"/>
      <c r="CQ33" s="100"/>
      <c r="CR33" s="100"/>
      <c r="CS33" s="100"/>
      <c r="CT33" s="100"/>
      <c r="CU33" s="100"/>
      <c r="CV33" s="100"/>
      <c r="CW33" s="168"/>
      <c r="CX33" s="168"/>
      <c r="CY33" s="168"/>
      <c r="CZ33" s="168"/>
      <c r="DA33" s="168"/>
      <c r="DB33" s="168"/>
      <c r="DC33" s="168"/>
      <c r="DD33" s="168"/>
      <c r="DE33" s="168"/>
      <c r="DF33" s="168"/>
      <c r="DG33" s="168"/>
      <c r="DH33" s="168"/>
      <c r="DI33" s="168"/>
      <c r="DJ33" s="168"/>
      <c r="DK33" s="168"/>
      <c r="DL33" s="168"/>
      <c r="DM33" s="168"/>
      <c r="DN33" s="168"/>
      <c r="DO33" s="168"/>
      <c r="DP33" s="168"/>
      <c r="DQ33" s="168"/>
      <c r="DR33" s="168"/>
      <c r="DS33" s="168"/>
      <c r="DT33" s="168"/>
      <c r="DU33" s="168"/>
      <c r="DV33" s="168"/>
      <c r="DW33" s="168"/>
      <c r="DX33" s="168"/>
      <c r="DY33" s="168"/>
      <c r="DZ33" s="168"/>
      <c r="EA33" s="168"/>
      <c r="EB33" s="168"/>
      <c r="EC33" s="168"/>
      <c r="ED33" s="168"/>
      <c r="EE33" s="168"/>
      <c r="EF33" s="168"/>
      <c r="EG33" s="168"/>
      <c r="EH33" s="163"/>
      <c r="EI33" s="163"/>
      <c r="EJ33" s="163"/>
      <c r="EK33" s="163"/>
      <c r="EL33" s="163"/>
      <c r="EM33" s="163"/>
      <c r="EN33" s="163"/>
      <c r="EO33" s="163"/>
      <c r="EP33" s="163"/>
      <c r="EQ33" s="163"/>
      <c r="ER33" s="163"/>
      <c r="ES33" s="163"/>
      <c r="ET33" s="163"/>
      <c r="EU33" s="163"/>
      <c r="EV33" s="163"/>
      <c r="EW33" s="163"/>
      <c r="EX33" s="163"/>
      <c r="EY33" s="163"/>
      <c r="EZ33" s="163"/>
      <c r="FA33" s="163"/>
      <c r="FB33" s="163"/>
      <c r="FC33" s="163"/>
      <c r="FD33" s="163"/>
      <c r="FE33" s="163"/>
      <c r="FF33" s="163"/>
      <c r="FG33" s="163"/>
      <c r="FH33" s="163"/>
      <c r="FI33" s="163"/>
      <c r="FJ33" s="163"/>
      <c r="FK33" s="163"/>
      <c r="FL33" s="163"/>
      <c r="FM33" s="163"/>
      <c r="FN33" s="163"/>
      <c r="FO33" s="163"/>
      <c r="FP33" s="170"/>
    </row>
    <row r="34" spans="1:172" x14ac:dyDescent="0.2">
      <c r="A34" s="169" t="b">
        <v>0</v>
      </c>
      <c r="B34" s="169" t="b">
        <v>0</v>
      </c>
      <c r="C34" s="169" t="b">
        <v>1</v>
      </c>
      <c r="D34" s="169" t="b">
        <v>0</v>
      </c>
      <c r="E34" s="169" t="b">
        <v>0</v>
      </c>
      <c r="F34" s="169" t="b">
        <v>0</v>
      </c>
      <c r="G34" s="163" t="s">
        <v>765</v>
      </c>
      <c r="H34" s="100"/>
      <c r="I34" s="100"/>
      <c r="J34" s="100" t="s">
        <v>519</v>
      </c>
      <c r="K34" s="100" t="s">
        <v>628</v>
      </c>
      <c r="L34" s="100" t="s">
        <v>814</v>
      </c>
      <c r="M34" s="100"/>
      <c r="N34" s="100" t="s">
        <v>629</v>
      </c>
      <c r="O34" s="100"/>
      <c r="P34" s="100"/>
      <c r="Q34" s="100"/>
      <c r="R34" s="100" t="s">
        <v>635</v>
      </c>
      <c r="S34" s="100"/>
      <c r="T34" s="100"/>
      <c r="U34" s="100"/>
      <c r="V34" s="100"/>
      <c r="W34" s="100" t="s">
        <v>134</v>
      </c>
      <c r="X34" s="100" t="s">
        <v>631</v>
      </c>
      <c r="Y34" s="100" t="s">
        <v>148</v>
      </c>
      <c r="Z34" s="100" t="s">
        <v>142</v>
      </c>
      <c r="AA34" s="68" t="s">
        <v>115</v>
      </c>
      <c r="AB34" s="68"/>
      <c r="AC34" s="68"/>
      <c r="AD34" s="68" t="s">
        <v>115</v>
      </c>
      <c r="AE34" s="68" t="s">
        <v>116</v>
      </c>
      <c r="AF34" s="68"/>
      <c r="AG34" s="68"/>
      <c r="AH34" s="68" t="s">
        <v>116</v>
      </c>
      <c r="AI34" s="100"/>
      <c r="AJ34" s="100"/>
      <c r="AK34" s="100"/>
      <c r="AL34" s="100"/>
      <c r="AM34" s="100"/>
      <c r="AN34" s="100"/>
      <c r="AO34" s="100"/>
      <c r="AP34" s="100"/>
      <c r="AQ34" s="100"/>
      <c r="AR34" s="100"/>
      <c r="AS34" s="100" t="s">
        <v>1528</v>
      </c>
      <c r="AT34" s="100" t="s">
        <v>1542</v>
      </c>
      <c r="AU34" s="100" t="str">
        <f>IF($AT34="","",IFERROR(INDEX([2]InstructorMap!$B:$B, MATCH($AT34, [2]InstructorMap!$A:$A, 0)),""))</f>
        <v>agustina@andrews.edu</v>
      </c>
      <c r="AV34" s="100" t="str">
        <f>IF($AT34="","",IFERROR(INDEX([2]InstructorMap!$C:$C, MATCH($AT34, [2]InstructorMap!$A:$A, 0)),""))</f>
        <v>000240618</v>
      </c>
      <c r="AW34" s="163" t="s">
        <v>121</v>
      </c>
      <c r="AX34" s="100"/>
      <c r="AY34" s="100"/>
      <c r="AZ34" s="100"/>
      <c r="BA34" s="100"/>
      <c r="BB34" s="100"/>
      <c r="BC34" s="100"/>
      <c r="BD34" s="100"/>
      <c r="BE34" s="100"/>
      <c r="BF34" s="100"/>
      <c r="BG34" s="100"/>
      <c r="BH34" s="100"/>
      <c r="BI34" s="100"/>
      <c r="BJ34" s="100"/>
      <c r="BK34" s="100"/>
      <c r="BL34" s="163" t="s">
        <v>249</v>
      </c>
      <c r="BM34" s="100"/>
      <c r="BN34" s="100"/>
      <c r="BO34" s="100"/>
      <c r="BP34" s="100"/>
      <c r="BQ34" s="100"/>
      <c r="BR34" s="100"/>
      <c r="BS34" s="100"/>
      <c r="BT34" s="100"/>
      <c r="BU34" s="100"/>
      <c r="BV34" s="100"/>
      <c r="BW34" s="100"/>
      <c r="BX34" s="100"/>
      <c r="BY34" s="100"/>
      <c r="BZ34" s="100"/>
      <c r="CA34" s="100"/>
      <c r="CB34" s="100"/>
      <c r="CC34" s="100"/>
      <c r="CD34" s="100"/>
      <c r="CE34" s="100"/>
      <c r="CF34" s="100"/>
      <c r="CG34" s="100"/>
      <c r="CH34" s="100"/>
      <c r="CI34" s="100"/>
      <c r="CJ34" s="100"/>
      <c r="CK34" s="100"/>
      <c r="CL34" s="100"/>
      <c r="CM34" s="100"/>
      <c r="CN34" s="100"/>
      <c r="CO34" s="100"/>
      <c r="CP34" s="100"/>
      <c r="CQ34" s="100"/>
      <c r="CR34" s="100"/>
      <c r="CS34" s="100"/>
      <c r="CT34" s="100"/>
      <c r="CU34" s="100"/>
      <c r="CV34" s="100"/>
      <c r="CW34" s="168"/>
      <c r="CX34" s="168"/>
      <c r="CY34" s="168"/>
      <c r="CZ34" s="168"/>
      <c r="DA34" s="168"/>
      <c r="DB34" s="168"/>
      <c r="DC34" s="168"/>
      <c r="DD34" s="168"/>
      <c r="DE34" s="168"/>
      <c r="DF34" s="168"/>
      <c r="DG34" s="168"/>
      <c r="DH34" s="168"/>
      <c r="DI34" s="168"/>
      <c r="DJ34" s="168"/>
      <c r="DK34" s="168"/>
      <c r="DL34" s="168"/>
      <c r="DM34" s="168"/>
      <c r="DN34" s="168"/>
      <c r="DO34" s="168"/>
      <c r="DP34" s="168"/>
      <c r="DQ34" s="168"/>
      <c r="DR34" s="168"/>
      <c r="DS34" s="168"/>
      <c r="DT34" s="168"/>
      <c r="DU34" s="168"/>
      <c r="DV34" s="168"/>
      <c r="DW34" s="168"/>
      <c r="DX34" s="168"/>
      <c r="DY34" s="168"/>
      <c r="DZ34" s="168"/>
      <c r="EA34" s="168"/>
      <c r="EB34" s="168"/>
      <c r="EC34" s="168"/>
      <c r="ED34" s="168"/>
      <c r="EE34" s="168"/>
      <c r="EF34" s="168"/>
      <c r="EG34" s="168"/>
      <c r="EH34" s="163"/>
      <c r="EI34" s="163"/>
      <c r="EJ34" s="163"/>
      <c r="EK34" s="163"/>
      <c r="EL34" s="163"/>
      <c r="EM34" s="163"/>
      <c r="EN34" s="163"/>
      <c r="EO34" s="163"/>
      <c r="EP34" s="163"/>
      <c r="EQ34" s="163"/>
      <c r="ER34" s="163"/>
      <c r="ES34" s="163"/>
      <c r="ET34" s="163"/>
      <c r="EU34" s="163"/>
      <c r="EV34" s="163"/>
      <c r="EW34" s="163"/>
      <c r="EX34" s="163"/>
      <c r="EY34" s="163"/>
      <c r="EZ34" s="163"/>
      <c r="FA34" s="163"/>
      <c r="FB34" s="163"/>
      <c r="FC34" s="163"/>
      <c r="FD34" s="163"/>
      <c r="FE34" s="163"/>
      <c r="FF34" s="163"/>
      <c r="FG34" s="163"/>
      <c r="FH34" s="163"/>
      <c r="FI34" s="163"/>
      <c r="FJ34" s="163"/>
      <c r="FK34" s="163"/>
      <c r="FL34" s="163"/>
      <c r="FM34" s="163"/>
      <c r="FN34" s="163"/>
      <c r="FO34" s="163"/>
      <c r="FP34" s="170"/>
    </row>
    <row r="35" spans="1:172" x14ac:dyDescent="0.2">
      <c r="A35" s="173" t="b">
        <v>0</v>
      </c>
      <c r="B35" s="173" t="b">
        <v>0</v>
      </c>
      <c r="C35" s="173" t="b">
        <v>1</v>
      </c>
      <c r="D35" s="173" t="b">
        <v>0</v>
      </c>
      <c r="E35" s="173" t="b">
        <v>0</v>
      </c>
      <c r="F35" s="173" t="b">
        <v>0</v>
      </c>
      <c r="G35" s="163" t="s">
        <v>765</v>
      </c>
      <c r="H35" s="163"/>
      <c r="I35" s="163"/>
      <c r="J35" s="178" t="s">
        <v>766</v>
      </c>
      <c r="K35" s="164" t="s">
        <v>1147</v>
      </c>
      <c r="L35" s="163" t="s">
        <v>1529</v>
      </c>
      <c r="M35" s="163"/>
      <c r="N35" s="163" t="s">
        <v>1544</v>
      </c>
      <c r="O35" s="163"/>
      <c r="P35" s="163"/>
      <c r="Q35" s="163"/>
      <c r="R35" s="163" t="s">
        <v>635</v>
      </c>
      <c r="S35" s="163"/>
      <c r="T35" s="163"/>
      <c r="U35" s="163" t="s">
        <v>523</v>
      </c>
      <c r="V35" s="163"/>
      <c r="W35" s="163" t="s">
        <v>112</v>
      </c>
      <c r="X35" s="163" t="s">
        <v>150</v>
      </c>
      <c r="Y35" s="164">
        <v>999</v>
      </c>
      <c r="Z35" s="163" t="s">
        <v>142</v>
      </c>
      <c r="AA35" s="68" t="s">
        <v>1545</v>
      </c>
      <c r="AB35" s="68"/>
      <c r="AC35" s="172"/>
      <c r="AD35" s="68" t="s">
        <v>1545</v>
      </c>
      <c r="AE35" s="68" t="s">
        <v>1546</v>
      </c>
      <c r="AF35" s="68" t="s">
        <v>1547</v>
      </c>
      <c r="AG35" s="172">
        <f>AF35+160</f>
        <v>46465</v>
      </c>
      <c r="AH35" s="176">
        <f t="shared" ref="AH35:AH44" si="0">AG35</f>
        <v>46465</v>
      </c>
      <c r="AI35" s="163"/>
      <c r="AJ35" s="163"/>
      <c r="AK35" s="163"/>
      <c r="AL35" s="163"/>
      <c r="AM35" s="163"/>
      <c r="AN35" s="163"/>
      <c r="AO35" s="163"/>
      <c r="AP35" s="163"/>
      <c r="AQ35" s="163"/>
      <c r="AR35" s="163"/>
      <c r="AS35" s="163" t="s">
        <v>1548</v>
      </c>
      <c r="AT35" s="163" t="s">
        <v>612</v>
      </c>
      <c r="AU35" s="163" t="str">
        <f>IF($AT35="","",IFERROR(INDEX([2]InstructorMap!$B:$B, MATCH($AT35, [2]InstructorMap!$A:$A, 0)),""))</f>
        <v>cvine@andrews.edu</v>
      </c>
      <c r="AV35" s="163" t="str">
        <f>IF($AT35="","",IFERROR(INDEX([2]InstructorMap!$C:$C, MATCH($AT35, [2]InstructorMap!$A:$A, 0)),""))</f>
        <v>000093509</v>
      </c>
      <c r="AW35" s="163" t="s">
        <v>121</v>
      </c>
      <c r="AX35" s="163" t="s">
        <v>160</v>
      </c>
      <c r="AY35" s="163" t="s">
        <v>180</v>
      </c>
      <c r="AZ35" s="163">
        <v>2100</v>
      </c>
      <c r="BA35" s="163"/>
      <c r="BB35" s="163"/>
      <c r="BC35" s="163"/>
      <c r="BD35" s="163"/>
      <c r="BE35" s="163"/>
      <c r="BF35" s="163"/>
      <c r="BG35" s="163"/>
      <c r="BH35" s="178" t="s">
        <v>766</v>
      </c>
      <c r="BI35" s="163"/>
      <c r="BJ35" s="163"/>
      <c r="BK35" s="163"/>
      <c r="BL35" s="163" t="s">
        <v>1549</v>
      </c>
      <c r="BM35" s="163"/>
      <c r="BN35" s="163"/>
      <c r="BO35" s="163" t="s">
        <v>127</v>
      </c>
      <c r="BP35" s="163"/>
      <c r="BQ35" s="163"/>
      <c r="BR35" s="163"/>
      <c r="BS35" s="163"/>
      <c r="BT35" s="163"/>
      <c r="BU35" s="163"/>
      <c r="BV35" s="163"/>
      <c r="BW35" s="163"/>
      <c r="BX35" s="163"/>
      <c r="BY35" s="163"/>
      <c r="BZ35" s="68" t="s">
        <v>1545</v>
      </c>
      <c r="CA35" s="167"/>
      <c r="CB35" s="167"/>
      <c r="CC35" s="163" t="s">
        <v>1550</v>
      </c>
      <c r="CD35" s="163" t="s">
        <v>528</v>
      </c>
      <c r="CE35" s="163"/>
      <c r="CF35" s="163" t="s">
        <v>130</v>
      </c>
      <c r="CG35" s="163"/>
      <c r="CH35" s="163"/>
      <c r="CI35" s="163"/>
      <c r="CJ35" s="163"/>
      <c r="CK35" s="163"/>
      <c r="CL35" s="163"/>
      <c r="CM35" s="164"/>
      <c r="CN35" s="163"/>
      <c r="CO35" s="163"/>
      <c r="CP35" s="163"/>
      <c r="CQ35" s="163"/>
      <c r="CR35" s="163"/>
      <c r="CS35" s="163"/>
      <c r="CT35" s="163"/>
      <c r="CU35" s="163"/>
      <c r="CV35" s="163"/>
      <c r="CW35" s="168"/>
      <c r="CX35" s="168"/>
      <c r="CY35" s="168"/>
      <c r="CZ35" s="168"/>
      <c r="DA35" s="168"/>
      <c r="DB35" s="168"/>
      <c r="DC35" s="168"/>
      <c r="DD35" s="168"/>
      <c r="DE35" s="168"/>
      <c r="DF35" s="168"/>
      <c r="DG35" s="168"/>
      <c r="DH35" s="168"/>
      <c r="DI35" s="168"/>
      <c r="DJ35" s="168"/>
      <c r="DK35" s="168"/>
      <c r="DL35" s="168"/>
      <c r="DM35" s="168"/>
      <c r="DN35" s="168"/>
      <c r="DO35" s="168"/>
      <c r="DP35" s="168"/>
      <c r="DQ35" s="168"/>
      <c r="DR35" s="168"/>
      <c r="DS35" s="168"/>
      <c r="DT35" s="168"/>
      <c r="DU35" s="168"/>
      <c r="DV35" s="168"/>
      <c r="DW35" s="168"/>
      <c r="DX35" s="168"/>
      <c r="DY35" s="168"/>
      <c r="DZ35" s="168"/>
      <c r="EA35" s="168"/>
      <c r="EB35" s="168"/>
      <c r="EC35" s="168"/>
      <c r="ED35" s="168"/>
      <c r="EE35" s="168"/>
      <c r="EF35" s="168"/>
      <c r="EG35" s="168"/>
      <c r="EH35" s="163"/>
      <c r="EI35" s="163"/>
      <c r="EJ35" s="163"/>
      <c r="EK35" s="163"/>
      <c r="EL35" s="163"/>
      <c r="EM35" s="163"/>
      <c r="EN35" s="163"/>
      <c r="EO35" s="163"/>
      <c r="EP35" s="163"/>
      <c r="EQ35" s="163"/>
      <c r="ER35" s="163"/>
      <c r="ES35" s="163"/>
      <c r="ET35" s="163"/>
      <c r="EU35" s="163"/>
      <c r="EV35" s="163"/>
      <c r="EW35" s="163"/>
      <c r="EX35" s="163"/>
      <c r="EY35" s="163"/>
      <c r="EZ35" s="163"/>
      <c r="FA35" s="163"/>
      <c r="FB35" s="163"/>
      <c r="FC35" s="163"/>
      <c r="FD35" s="163"/>
      <c r="FE35" s="163"/>
      <c r="FF35" s="163"/>
      <c r="FG35" s="163"/>
      <c r="FH35" s="163"/>
      <c r="FI35" s="163"/>
      <c r="FJ35" s="163"/>
      <c r="FK35" s="163"/>
      <c r="FL35" s="163"/>
      <c r="FM35" s="163"/>
      <c r="FN35" s="163"/>
      <c r="FO35" s="163"/>
      <c r="FP35" s="170"/>
    </row>
    <row r="36" spans="1:172" x14ac:dyDescent="0.2">
      <c r="A36" s="173" t="b">
        <v>0</v>
      </c>
      <c r="B36" s="173" t="b">
        <v>0</v>
      </c>
      <c r="C36" s="173" t="b">
        <v>1</v>
      </c>
      <c r="D36" s="173" t="b">
        <v>0</v>
      </c>
      <c r="E36" s="173" t="b">
        <v>0</v>
      </c>
      <c r="F36" s="173" t="b">
        <v>0</v>
      </c>
      <c r="G36" s="163" t="s">
        <v>765</v>
      </c>
      <c r="H36" s="163"/>
      <c r="I36" s="163"/>
      <c r="J36" s="178" t="s">
        <v>766</v>
      </c>
      <c r="K36" s="186"/>
      <c r="L36" s="163" t="s">
        <v>1529</v>
      </c>
      <c r="M36" s="163"/>
      <c r="N36" s="187"/>
      <c r="O36" s="187"/>
      <c r="P36" s="187"/>
      <c r="Q36" s="187"/>
      <c r="R36" s="163" t="s">
        <v>635</v>
      </c>
      <c r="S36" s="163"/>
      <c r="T36" s="163"/>
      <c r="U36" s="163" t="s">
        <v>523</v>
      </c>
      <c r="V36" s="163"/>
      <c r="W36" s="163" t="s">
        <v>112</v>
      </c>
      <c r="X36" s="163" t="s">
        <v>150</v>
      </c>
      <c r="Y36" s="164">
        <v>999</v>
      </c>
      <c r="Z36" s="163" t="s">
        <v>142</v>
      </c>
      <c r="AA36" s="68" t="s">
        <v>1551</v>
      </c>
      <c r="AB36" s="166"/>
      <c r="AC36" s="166"/>
      <c r="AD36" s="68" t="s">
        <v>1551</v>
      </c>
      <c r="AE36" s="68" t="s">
        <v>1552</v>
      </c>
      <c r="AF36" s="68" t="s">
        <v>1553</v>
      </c>
      <c r="AG36" s="166">
        <f>AF36+160</f>
        <v>46472</v>
      </c>
      <c r="AH36" s="176">
        <f t="shared" si="0"/>
        <v>46472</v>
      </c>
      <c r="AI36" s="163"/>
      <c r="AJ36" s="163"/>
      <c r="AK36" s="163"/>
      <c r="AL36" s="163"/>
      <c r="AM36" s="163"/>
      <c r="AN36" s="163"/>
      <c r="AO36" s="163"/>
      <c r="AP36" s="163"/>
      <c r="AQ36" s="163"/>
      <c r="AR36" s="163"/>
      <c r="AS36" s="163" t="s">
        <v>1548</v>
      </c>
      <c r="AT36" s="163" t="s">
        <v>612</v>
      </c>
      <c r="AU36" s="163" t="str">
        <f>IF($AT36="","",IFERROR(INDEX([2]InstructorMap!$B:$B, MATCH($AT36, [2]InstructorMap!$A:$A, 0)),""))</f>
        <v>cvine@andrews.edu</v>
      </c>
      <c r="AV36" s="163" t="str">
        <f>IF($AT36="","",IFERROR(INDEX([2]InstructorMap!$C:$C, MATCH($AT36, [2]InstructorMap!$A:$A, 0)),""))</f>
        <v>000093509</v>
      </c>
      <c r="AW36" s="163" t="s">
        <v>121</v>
      </c>
      <c r="AX36" s="163" t="s">
        <v>160</v>
      </c>
      <c r="AY36" s="163" t="s">
        <v>180</v>
      </c>
      <c r="AZ36" s="163">
        <v>2100</v>
      </c>
      <c r="BA36" s="163"/>
      <c r="BB36" s="163"/>
      <c r="BC36" s="163"/>
      <c r="BD36" s="163"/>
      <c r="BE36" s="163"/>
      <c r="BF36" s="163"/>
      <c r="BG36" s="163"/>
      <c r="BH36" s="178" t="s">
        <v>766</v>
      </c>
      <c r="BI36" s="163"/>
      <c r="BJ36" s="163"/>
      <c r="BK36" s="163"/>
      <c r="BL36" s="163" t="s">
        <v>1549</v>
      </c>
      <c r="BM36" s="163"/>
      <c r="BN36" s="163"/>
      <c r="BO36" s="163" t="s">
        <v>127</v>
      </c>
      <c r="BP36" s="163"/>
      <c r="BQ36" s="163"/>
      <c r="BR36" s="163"/>
      <c r="BS36" s="163"/>
      <c r="BT36" s="163"/>
      <c r="BU36" s="163"/>
      <c r="BV36" s="163"/>
      <c r="BW36" s="163"/>
      <c r="BX36" s="163"/>
      <c r="BY36" s="163"/>
      <c r="BZ36" s="68" t="s">
        <v>1551</v>
      </c>
      <c r="CA36" s="167"/>
      <c r="CB36" s="165"/>
      <c r="CC36" s="163" t="s">
        <v>1550</v>
      </c>
      <c r="CD36" s="163" t="s">
        <v>528</v>
      </c>
      <c r="CE36" s="163"/>
      <c r="CF36" s="163" t="s">
        <v>130</v>
      </c>
      <c r="CG36" s="163"/>
      <c r="CH36" s="163"/>
      <c r="CI36" s="163"/>
      <c r="CJ36" s="163"/>
      <c r="CK36" s="163"/>
      <c r="CL36" s="163"/>
      <c r="CM36" s="164"/>
      <c r="CN36" s="163"/>
      <c r="CO36" s="163"/>
      <c r="CP36" s="163"/>
      <c r="CQ36" s="163"/>
      <c r="CR36" s="163"/>
      <c r="CS36" s="163"/>
      <c r="CT36" s="163"/>
      <c r="CU36" s="163"/>
      <c r="CV36" s="163"/>
      <c r="CW36" s="168"/>
      <c r="CX36" s="168"/>
      <c r="CY36" s="168"/>
      <c r="CZ36" s="168"/>
      <c r="DA36" s="168"/>
      <c r="DB36" s="168"/>
      <c r="DC36" s="168"/>
      <c r="DD36" s="168"/>
      <c r="DE36" s="168"/>
      <c r="DF36" s="168"/>
      <c r="DG36" s="168"/>
      <c r="DH36" s="168"/>
      <c r="DI36" s="168"/>
      <c r="DJ36" s="168"/>
      <c r="DK36" s="168"/>
      <c r="DL36" s="168"/>
      <c r="DM36" s="168"/>
      <c r="DN36" s="168"/>
      <c r="DO36" s="168"/>
      <c r="DP36" s="168"/>
      <c r="DQ36" s="168"/>
      <c r="DR36" s="168"/>
      <c r="DS36" s="168"/>
      <c r="DT36" s="168"/>
      <c r="DU36" s="168"/>
      <c r="DV36" s="168"/>
      <c r="DW36" s="168"/>
      <c r="DX36" s="168"/>
      <c r="DY36" s="168"/>
      <c r="DZ36" s="168"/>
      <c r="EA36" s="168"/>
      <c r="EB36" s="168"/>
      <c r="EC36" s="168"/>
      <c r="ED36" s="168"/>
      <c r="EE36" s="168"/>
      <c r="EF36" s="168"/>
      <c r="EG36" s="168"/>
      <c r="EH36" s="163"/>
      <c r="EI36" s="163"/>
      <c r="EJ36" s="163"/>
      <c r="EK36" s="163"/>
      <c r="EL36" s="163"/>
      <c r="EM36" s="163"/>
      <c r="EN36" s="163"/>
      <c r="EO36" s="163"/>
      <c r="EP36" s="163"/>
      <c r="EQ36" s="163"/>
      <c r="ER36" s="163"/>
      <c r="ES36" s="163"/>
      <c r="ET36" s="163"/>
      <c r="EU36" s="163"/>
      <c r="EV36" s="163"/>
      <c r="EW36" s="163"/>
      <c r="EX36" s="163"/>
      <c r="EY36" s="163"/>
      <c r="EZ36" s="163"/>
      <c r="FA36" s="163"/>
      <c r="FB36" s="163"/>
      <c r="FC36" s="163"/>
      <c r="FD36" s="163"/>
      <c r="FE36" s="163"/>
      <c r="FF36" s="163"/>
      <c r="FG36" s="163"/>
      <c r="FH36" s="163"/>
      <c r="FI36" s="163"/>
      <c r="FJ36" s="163"/>
      <c r="FK36" s="163"/>
      <c r="FL36" s="163"/>
      <c r="FM36" s="163"/>
      <c r="FN36" s="163"/>
      <c r="FO36" s="163"/>
      <c r="FP36" s="170"/>
    </row>
    <row r="37" spans="1:172" x14ac:dyDescent="0.2">
      <c r="A37" s="173" t="b">
        <v>0</v>
      </c>
      <c r="B37" s="173" t="b">
        <v>0</v>
      </c>
      <c r="C37" s="173" t="b">
        <v>1</v>
      </c>
      <c r="D37" s="173" t="b">
        <v>0</v>
      </c>
      <c r="E37" s="173" t="b">
        <v>0</v>
      </c>
      <c r="F37" s="173" t="b">
        <v>0</v>
      </c>
      <c r="G37" s="163" t="s">
        <v>765</v>
      </c>
      <c r="H37" s="163"/>
      <c r="I37" s="163"/>
      <c r="J37" s="163" t="s">
        <v>766</v>
      </c>
      <c r="K37" s="164">
        <v>536</v>
      </c>
      <c r="L37" s="163" t="s">
        <v>1533</v>
      </c>
      <c r="M37" s="163"/>
      <c r="N37" s="163" t="s">
        <v>1554</v>
      </c>
      <c r="O37" s="163"/>
      <c r="P37" s="163"/>
      <c r="Q37" s="163"/>
      <c r="R37" s="163" t="s">
        <v>635</v>
      </c>
      <c r="S37" s="163"/>
      <c r="T37" s="163"/>
      <c r="U37" s="163" t="s">
        <v>523</v>
      </c>
      <c r="V37" s="163"/>
      <c r="W37" s="163" t="s">
        <v>112</v>
      </c>
      <c r="X37" s="163" t="s">
        <v>150</v>
      </c>
      <c r="Y37" s="164">
        <v>999</v>
      </c>
      <c r="Z37" s="163" t="s">
        <v>142</v>
      </c>
      <c r="AA37" s="165">
        <v>46264</v>
      </c>
      <c r="AB37" s="176"/>
      <c r="AC37" s="172"/>
      <c r="AD37" s="165">
        <v>46264</v>
      </c>
      <c r="AE37" s="165">
        <v>46268</v>
      </c>
      <c r="AF37" s="165">
        <v>46269</v>
      </c>
      <c r="AG37" s="172">
        <f>AF37+160</f>
        <v>46429</v>
      </c>
      <c r="AH37" s="176">
        <f t="shared" si="0"/>
        <v>46429</v>
      </c>
      <c r="AI37" s="163"/>
      <c r="AJ37" s="163"/>
      <c r="AK37" s="163"/>
      <c r="AL37" s="163"/>
      <c r="AM37" s="163"/>
      <c r="AN37" s="163"/>
      <c r="AO37" s="163"/>
      <c r="AP37" s="163"/>
      <c r="AQ37" s="163"/>
      <c r="AR37" s="163"/>
      <c r="AS37" s="163" t="s">
        <v>1555</v>
      </c>
      <c r="AT37" s="163" t="s">
        <v>612</v>
      </c>
      <c r="AU37" s="163" t="str">
        <f>IF($AT37="","",IFERROR(INDEX([2]InstructorMap!$B:$B, MATCH($AT37, [2]InstructorMap!$A:$A, 0)),""))</f>
        <v>cvine@andrews.edu</v>
      </c>
      <c r="AV37" s="163" t="str">
        <f>IF($AT37="","",IFERROR(INDEX([2]InstructorMap!$C:$C, MATCH($AT37, [2]InstructorMap!$A:$A, 0)),""))</f>
        <v>000093509</v>
      </c>
      <c r="AW37" s="163" t="s">
        <v>121</v>
      </c>
      <c r="AX37" s="163" t="s">
        <v>160</v>
      </c>
      <c r="AY37" s="163" t="s">
        <v>180</v>
      </c>
      <c r="AZ37" s="163">
        <v>2100</v>
      </c>
      <c r="BA37" s="163"/>
      <c r="BB37" s="163"/>
      <c r="BC37" s="163"/>
      <c r="BD37" s="163"/>
      <c r="BE37" s="163"/>
      <c r="BF37" s="163"/>
      <c r="BG37" s="163"/>
      <c r="BH37" s="178" t="s">
        <v>766</v>
      </c>
      <c r="BI37" s="163"/>
      <c r="BJ37" s="163"/>
      <c r="BK37" s="163"/>
      <c r="BL37" s="163" t="s">
        <v>1549</v>
      </c>
      <c r="BM37" s="163"/>
      <c r="BN37" s="163"/>
      <c r="BO37" s="163" t="s">
        <v>127</v>
      </c>
      <c r="BP37" s="163"/>
      <c r="BQ37" s="163"/>
      <c r="BR37" s="163"/>
      <c r="BS37" s="163"/>
      <c r="BT37" s="163"/>
      <c r="BU37" s="163"/>
      <c r="BV37" s="163"/>
      <c r="BW37" s="163"/>
      <c r="BX37" s="163"/>
      <c r="BY37" s="163"/>
      <c r="BZ37" s="165">
        <v>46264</v>
      </c>
      <c r="CA37" s="181"/>
      <c r="CB37" s="181"/>
      <c r="CC37" s="163" t="s">
        <v>1550</v>
      </c>
      <c r="CD37" s="163" t="s">
        <v>528</v>
      </c>
      <c r="CE37" s="163"/>
      <c r="CF37" s="163" t="s">
        <v>130</v>
      </c>
      <c r="CG37" s="163"/>
      <c r="CH37" s="163"/>
      <c r="CI37" s="163"/>
      <c r="CJ37" s="163"/>
      <c r="CK37" s="163"/>
      <c r="CL37" s="163"/>
      <c r="CM37" s="164"/>
      <c r="CN37" s="163"/>
      <c r="CO37" s="163"/>
      <c r="CP37" s="178"/>
      <c r="CQ37" s="163"/>
      <c r="CR37" s="163"/>
      <c r="CS37" s="163"/>
      <c r="CT37" s="163"/>
      <c r="CU37" s="163"/>
      <c r="CV37" s="163"/>
      <c r="CW37" s="168"/>
      <c r="CX37" s="168"/>
      <c r="CY37" s="168"/>
      <c r="CZ37" s="168"/>
      <c r="DA37" s="168"/>
      <c r="DB37" s="168"/>
      <c r="DC37" s="168"/>
      <c r="DD37" s="168"/>
      <c r="DE37" s="168"/>
      <c r="DF37" s="168"/>
      <c r="DG37" s="168"/>
      <c r="DH37" s="168"/>
      <c r="DI37" s="168"/>
      <c r="DJ37" s="168"/>
      <c r="DK37" s="168"/>
      <c r="DL37" s="168"/>
      <c r="DM37" s="168"/>
      <c r="DN37" s="168"/>
      <c r="DO37" s="168"/>
      <c r="DP37" s="168"/>
      <c r="DQ37" s="168"/>
      <c r="DR37" s="168"/>
      <c r="DS37" s="168"/>
      <c r="DT37" s="168"/>
      <c r="DU37" s="168"/>
      <c r="DV37" s="168"/>
      <c r="DW37" s="168"/>
      <c r="DX37" s="168"/>
      <c r="DY37" s="168"/>
      <c r="DZ37" s="168"/>
      <c r="EA37" s="168"/>
      <c r="EB37" s="168"/>
      <c r="EC37" s="168"/>
      <c r="ED37" s="168"/>
      <c r="EE37" s="168"/>
      <c r="EF37" s="168"/>
      <c r="EG37" s="168"/>
      <c r="EH37" s="163"/>
      <c r="EI37" s="163"/>
      <c r="EJ37" s="163"/>
      <c r="EK37" s="163"/>
      <c r="EL37" s="163"/>
      <c r="EM37" s="163"/>
      <c r="EN37" s="163"/>
      <c r="EO37" s="163"/>
      <c r="EP37" s="163"/>
      <c r="EQ37" s="163"/>
      <c r="ER37" s="163"/>
      <c r="ES37" s="163"/>
      <c r="ET37" s="163"/>
      <c r="EU37" s="163"/>
      <c r="EV37" s="163"/>
      <c r="EW37" s="163"/>
      <c r="EX37" s="163"/>
      <c r="EY37" s="163"/>
      <c r="EZ37" s="163"/>
      <c r="FA37" s="163"/>
      <c r="FB37" s="163"/>
      <c r="FC37" s="163"/>
      <c r="FD37" s="163"/>
      <c r="FE37" s="163"/>
      <c r="FF37" s="163"/>
      <c r="FG37" s="163"/>
      <c r="FH37" s="163"/>
      <c r="FI37" s="163"/>
      <c r="FJ37" s="163"/>
      <c r="FK37" s="163"/>
      <c r="FL37" s="163"/>
      <c r="FM37" s="163"/>
      <c r="FN37" s="163"/>
      <c r="FO37" s="163"/>
      <c r="FP37" s="170"/>
    </row>
    <row r="38" spans="1:172" x14ac:dyDescent="0.2">
      <c r="A38" s="173" t="b">
        <v>0</v>
      </c>
      <c r="B38" s="173" t="b">
        <v>0</v>
      </c>
      <c r="C38" s="173" t="b">
        <v>1</v>
      </c>
      <c r="D38" s="173" t="b">
        <v>0</v>
      </c>
      <c r="E38" s="173" t="b">
        <v>0</v>
      </c>
      <c r="F38" s="173" t="b">
        <v>0</v>
      </c>
      <c r="G38" s="163" t="s">
        <v>765</v>
      </c>
      <c r="H38" s="163"/>
      <c r="I38" s="163"/>
      <c r="J38" s="163" t="s">
        <v>766</v>
      </c>
      <c r="K38" s="164">
        <v>539</v>
      </c>
      <c r="L38" s="163" t="s">
        <v>1533</v>
      </c>
      <c r="M38" s="163"/>
      <c r="N38" s="163" t="s">
        <v>1556</v>
      </c>
      <c r="O38" s="163"/>
      <c r="P38" s="163"/>
      <c r="Q38" s="163"/>
      <c r="R38" s="163" t="s">
        <v>635</v>
      </c>
      <c r="S38" s="163"/>
      <c r="T38" s="163"/>
      <c r="U38" s="163" t="s">
        <v>523</v>
      </c>
      <c r="V38" s="163"/>
      <c r="W38" s="163" t="s">
        <v>112</v>
      </c>
      <c r="X38" s="163" t="s">
        <v>150</v>
      </c>
      <c r="Y38" s="164">
        <v>999</v>
      </c>
      <c r="Z38" s="163" t="s">
        <v>142</v>
      </c>
      <c r="AA38" s="165">
        <v>46271</v>
      </c>
      <c r="AB38" s="176"/>
      <c r="AC38" s="172"/>
      <c r="AD38" s="165">
        <v>46271</v>
      </c>
      <c r="AE38" s="165">
        <v>46275</v>
      </c>
      <c r="AF38" s="165">
        <v>46276</v>
      </c>
      <c r="AG38" s="172">
        <f>AF38+160</f>
        <v>46436</v>
      </c>
      <c r="AH38" s="176">
        <f t="shared" si="0"/>
        <v>46436</v>
      </c>
      <c r="AI38" s="163"/>
      <c r="AJ38" s="163"/>
      <c r="AK38" s="163"/>
      <c r="AL38" s="163"/>
      <c r="AM38" s="163"/>
      <c r="AN38" s="163"/>
      <c r="AO38" s="163"/>
      <c r="AP38" s="163"/>
      <c r="AQ38" s="163"/>
      <c r="AR38" s="163"/>
      <c r="AS38" s="163" t="s">
        <v>1555</v>
      </c>
      <c r="AT38" s="178" t="s">
        <v>769</v>
      </c>
      <c r="AU38" s="163" t="s">
        <v>1557</v>
      </c>
      <c r="AV38" s="163" t="s">
        <v>1558</v>
      </c>
      <c r="AW38" s="163" t="s">
        <v>121</v>
      </c>
      <c r="AX38" s="163" t="s">
        <v>160</v>
      </c>
      <c r="AY38" s="163" t="s">
        <v>180</v>
      </c>
      <c r="AZ38" s="163">
        <v>2100</v>
      </c>
      <c r="BA38" s="163"/>
      <c r="BB38" s="163"/>
      <c r="BC38" s="163"/>
      <c r="BD38" s="163"/>
      <c r="BE38" s="163"/>
      <c r="BF38" s="163"/>
      <c r="BG38" s="163"/>
      <c r="BH38" s="178" t="s">
        <v>766</v>
      </c>
      <c r="BI38" s="163"/>
      <c r="BJ38" s="163"/>
      <c r="BK38" s="163"/>
      <c r="BL38" s="163" t="s">
        <v>1549</v>
      </c>
      <c r="BM38" s="163"/>
      <c r="BN38" s="163"/>
      <c r="BO38" s="163" t="s">
        <v>127</v>
      </c>
      <c r="BP38" s="163"/>
      <c r="BQ38" s="163"/>
      <c r="BR38" s="163"/>
      <c r="BS38" s="163"/>
      <c r="BT38" s="163"/>
      <c r="BU38" s="163"/>
      <c r="BV38" s="163"/>
      <c r="BW38" s="163"/>
      <c r="BX38" s="163"/>
      <c r="BY38" s="163"/>
      <c r="BZ38" s="165">
        <v>46271</v>
      </c>
      <c r="CA38" s="181"/>
      <c r="CB38" s="181"/>
      <c r="CC38" s="163" t="s">
        <v>1550</v>
      </c>
      <c r="CD38" s="163" t="s">
        <v>528</v>
      </c>
      <c r="CE38" s="163"/>
      <c r="CF38" s="163" t="s">
        <v>130</v>
      </c>
      <c r="CG38" s="163"/>
      <c r="CH38" s="163"/>
      <c r="CI38" s="163"/>
      <c r="CJ38" s="163"/>
      <c r="CK38" s="163"/>
      <c r="CL38" s="163"/>
      <c r="CM38" s="164"/>
      <c r="CN38" s="163"/>
      <c r="CO38" s="163"/>
      <c r="CP38" s="178"/>
      <c r="CQ38" s="163"/>
      <c r="CR38" s="163"/>
      <c r="CS38" s="163"/>
      <c r="CT38" s="163"/>
      <c r="CU38" s="163"/>
      <c r="CV38" s="163"/>
      <c r="CW38" s="168"/>
      <c r="CX38" s="168"/>
      <c r="CY38" s="168"/>
      <c r="CZ38" s="168"/>
      <c r="DA38" s="168"/>
      <c r="DB38" s="168"/>
      <c r="DC38" s="168"/>
      <c r="DD38" s="168"/>
      <c r="DE38" s="168"/>
      <c r="DF38" s="168"/>
      <c r="DG38" s="168"/>
      <c r="DH38" s="168"/>
      <c r="DI38" s="168"/>
      <c r="DJ38" s="168"/>
      <c r="DK38" s="168"/>
      <c r="DL38" s="168"/>
      <c r="DM38" s="168"/>
      <c r="DN38" s="168"/>
      <c r="DO38" s="168"/>
      <c r="DP38" s="168"/>
      <c r="DQ38" s="168"/>
      <c r="DR38" s="168"/>
      <c r="DS38" s="168"/>
      <c r="DT38" s="168"/>
      <c r="DU38" s="168"/>
      <c r="DV38" s="168"/>
      <c r="DW38" s="168"/>
      <c r="DX38" s="168"/>
      <c r="DY38" s="168"/>
      <c r="DZ38" s="168"/>
      <c r="EA38" s="168"/>
      <c r="EB38" s="168"/>
      <c r="EC38" s="168"/>
      <c r="ED38" s="168"/>
      <c r="EE38" s="168"/>
      <c r="EF38" s="168"/>
      <c r="EG38" s="168"/>
      <c r="EH38" s="163"/>
      <c r="EI38" s="163"/>
      <c r="EJ38" s="163"/>
      <c r="EK38" s="163"/>
      <c r="EL38" s="163"/>
      <c r="EM38" s="163"/>
      <c r="EN38" s="163"/>
      <c r="EO38" s="163"/>
      <c r="EP38" s="163"/>
      <c r="EQ38" s="163"/>
      <c r="ER38" s="163"/>
      <c r="ES38" s="163"/>
      <c r="ET38" s="163"/>
      <c r="EU38" s="163"/>
      <c r="EV38" s="163"/>
      <c r="EW38" s="163"/>
      <c r="EX38" s="163"/>
      <c r="EY38" s="163"/>
      <c r="EZ38" s="163"/>
      <c r="FA38" s="163"/>
      <c r="FB38" s="163"/>
      <c r="FC38" s="163"/>
      <c r="FD38" s="163"/>
      <c r="FE38" s="163"/>
      <c r="FF38" s="163"/>
      <c r="FG38" s="163"/>
      <c r="FH38" s="163"/>
      <c r="FI38" s="163"/>
      <c r="FJ38" s="163"/>
      <c r="FK38" s="163"/>
      <c r="FL38" s="163"/>
      <c r="FM38" s="163"/>
      <c r="FN38" s="163"/>
      <c r="FO38" s="163"/>
      <c r="FP38" s="170"/>
    </row>
    <row r="39" spans="1:172" x14ac:dyDescent="0.2">
      <c r="A39" s="173" t="b">
        <v>0</v>
      </c>
      <c r="B39" s="173" t="b">
        <v>0</v>
      </c>
      <c r="C39" s="173" t="b">
        <v>1</v>
      </c>
      <c r="D39" s="173" t="b">
        <v>0</v>
      </c>
      <c r="E39" s="173" t="b">
        <v>0</v>
      </c>
      <c r="F39" s="173" t="b">
        <v>0</v>
      </c>
      <c r="G39" s="163" t="s">
        <v>765</v>
      </c>
      <c r="H39" s="163"/>
      <c r="I39" s="163"/>
      <c r="J39" s="163" t="s">
        <v>766</v>
      </c>
      <c r="K39" s="164" t="s">
        <v>1147</v>
      </c>
      <c r="L39" s="163" t="s">
        <v>1531</v>
      </c>
      <c r="M39" s="163"/>
      <c r="N39" s="163" t="s">
        <v>1544</v>
      </c>
      <c r="O39" s="163"/>
      <c r="P39" s="163"/>
      <c r="Q39" s="163"/>
      <c r="R39" s="163" t="s">
        <v>635</v>
      </c>
      <c r="S39" s="163"/>
      <c r="T39" s="163"/>
      <c r="U39" s="163" t="s">
        <v>523</v>
      </c>
      <c r="V39" s="163"/>
      <c r="W39" s="163" t="s">
        <v>112</v>
      </c>
      <c r="X39" s="163" t="s">
        <v>150</v>
      </c>
      <c r="Y39" s="164">
        <v>999</v>
      </c>
      <c r="Z39" s="163" t="s">
        <v>142</v>
      </c>
      <c r="AA39" s="59"/>
      <c r="AB39" s="68"/>
      <c r="AC39" s="172"/>
      <c r="AD39" s="59"/>
      <c r="AE39" s="59"/>
      <c r="AF39" s="59"/>
      <c r="AG39" s="189"/>
      <c r="AH39" s="190">
        <f t="shared" si="0"/>
        <v>0</v>
      </c>
      <c r="AI39" s="163"/>
      <c r="AJ39" s="163"/>
      <c r="AK39" s="163"/>
      <c r="AL39" s="163"/>
      <c r="AM39" s="163"/>
      <c r="AN39" s="163"/>
      <c r="AO39" s="163"/>
      <c r="AP39" s="163"/>
      <c r="AQ39" s="163"/>
      <c r="AR39" s="163"/>
      <c r="AS39" s="163" t="s">
        <v>1559</v>
      </c>
      <c r="AT39" s="163" t="s">
        <v>612</v>
      </c>
      <c r="AU39" s="163" t="str">
        <f>IF($AT39="","",IFERROR(INDEX([2]InstructorMap!$B:$B, MATCH($AT39, [2]InstructorMap!$A:$A, 0)),""))</f>
        <v>cvine@andrews.edu</v>
      </c>
      <c r="AV39" s="163" t="str">
        <f>IF($AT39="","",IFERROR(INDEX([2]InstructorMap!$C:$C, MATCH($AT39, [2]InstructorMap!$A:$A, 0)),""))</f>
        <v>000093509</v>
      </c>
      <c r="AW39" s="163" t="s">
        <v>121</v>
      </c>
      <c r="AX39" s="163" t="s">
        <v>160</v>
      </c>
      <c r="AY39" s="163" t="s">
        <v>180</v>
      </c>
      <c r="AZ39" s="163">
        <v>2100</v>
      </c>
      <c r="BA39" s="163"/>
      <c r="BB39" s="163"/>
      <c r="BC39" s="163"/>
      <c r="BD39" s="163"/>
      <c r="BE39" s="163"/>
      <c r="BF39" s="163"/>
      <c r="BG39" s="163"/>
      <c r="BH39" s="178" t="s">
        <v>766</v>
      </c>
      <c r="BI39" s="163"/>
      <c r="BJ39" s="163"/>
      <c r="BK39" s="163"/>
      <c r="BL39" s="163" t="s">
        <v>1549</v>
      </c>
      <c r="BM39" s="163"/>
      <c r="BN39" s="163"/>
      <c r="BO39" s="163" t="s">
        <v>127</v>
      </c>
      <c r="BP39" s="163"/>
      <c r="BQ39" s="163"/>
      <c r="BR39" s="163"/>
      <c r="BS39" s="163"/>
      <c r="BT39" s="163"/>
      <c r="BU39" s="163"/>
      <c r="BV39" s="163"/>
      <c r="BW39" s="163"/>
      <c r="BX39" s="163"/>
      <c r="BY39" s="163"/>
      <c r="BZ39" s="59"/>
      <c r="CA39" s="167"/>
      <c r="CB39" s="167"/>
      <c r="CC39" s="163" t="s">
        <v>1550</v>
      </c>
      <c r="CD39" s="163" t="s">
        <v>528</v>
      </c>
      <c r="CE39" s="163"/>
      <c r="CF39" s="163" t="s">
        <v>130</v>
      </c>
      <c r="CG39" s="163"/>
      <c r="CH39" s="163"/>
      <c r="CI39" s="163"/>
      <c r="CJ39" s="163"/>
      <c r="CK39" s="163"/>
      <c r="CL39" s="163"/>
      <c r="CM39" s="164"/>
      <c r="CN39" s="163"/>
      <c r="CO39" s="163"/>
      <c r="CP39" s="178"/>
      <c r="CQ39" s="163"/>
      <c r="CR39" s="163"/>
      <c r="CS39" s="163"/>
      <c r="CT39" s="163"/>
      <c r="CU39" s="163"/>
      <c r="CV39" s="163"/>
      <c r="CW39" s="168"/>
      <c r="CX39" s="168"/>
      <c r="CY39" s="168"/>
      <c r="CZ39" s="168"/>
      <c r="DA39" s="168"/>
      <c r="DB39" s="168"/>
      <c r="DC39" s="168"/>
      <c r="DD39" s="168"/>
      <c r="DE39" s="168"/>
      <c r="DF39" s="168"/>
      <c r="DG39" s="168"/>
      <c r="DH39" s="168"/>
      <c r="DI39" s="168"/>
      <c r="DJ39" s="168"/>
      <c r="DK39" s="168"/>
      <c r="DL39" s="168"/>
      <c r="DM39" s="168"/>
      <c r="DN39" s="168"/>
      <c r="DO39" s="168"/>
      <c r="DP39" s="168"/>
      <c r="DQ39" s="168"/>
      <c r="DR39" s="168"/>
      <c r="DS39" s="168"/>
      <c r="DT39" s="168"/>
      <c r="DU39" s="168"/>
      <c r="DV39" s="168"/>
      <c r="DW39" s="168"/>
      <c r="DX39" s="168"/>
      <c r="DY39" s="168"/>
      <c r="DZ39" s="168"/>
      <c r="EA39" s="168"/>
      <c r="EB39" s="168"/>
      <c r="EC39" s="168"/>
      <c r="ED39" s="168"/>
      <c r="EE39" s="168"/>
      <c r="EF39" s="168"/>
      <c r="EG39" s="168"/>
      <c r="EH39" s="163"/>
      <c r="EI39" s="163"/>
      <c r="EJ39" s="163"/>
      <c r="EK39" s="163"/>
      <c r="EL39" s="163"/>
      <c r="EM39" s="163"/>
      <c r="EN39" s="163"/>
      <c r="EO39" s="163"/>
      <c r="EP39" s="163"/>
      <c r="EQ39" s="163"/>
      <c r="ER39" s="163"/>
      <c r="ES39" s="163"/>
      <c r="ET39" s="163"/>
      <c r="EU39" s="163"/>
      <c r="EV39" s="163"/>
      <c r="EW39" s="163"/>
      <c r="EX39" s="163"/>
      <c r="EY39" s="163"/>
      <c r="EZ39" s="163"/>
      <c r="FA39" s="163"/>
      <c r="FB39" s="163"/>
      <c r="FC39" s="163"/>
      <c r="FD39" s="163"/>
      <c r="FE39" s="163"/>
      <c r="FF39" s="163"/>
      <c r="FG39" s="163"/>
      <c r="FH39" s="163"/>
      <c r="FI39" s="163"/>
      <c r="FJ39" s="163"/>
      <c r="FK39" s="163"/>
      <c r="FL39" s="163"/>
      <c r="FM39" s="163"/>
      <c r="FN39" s="163"/>
      <c r="FO39" s="163"/>
      <c r="FP39" s="170"/>
    </row>
    <row r="40" spans="1:172" x14ac:dyDescent="0.2">
      <c r="A40" s="173" t="b">
        <v>0</v>
      </c>
      <c r="B40" s="173" t="b">
        <v>0</v>
      </c>
      <c r="C40" s="173" t="b">
        <v>1</v>
      </c>
      <c r="D40" s="173" t="b">
        <v>0</v>
      </c>
      <c r="E40" s="173" t="b">
        <v>0</v>
      </c>
      <c r="F40" s="173" t="b">
        <v>0</v>
      </c>
      <c r="G40" s="163" t="s">
        <v>765</v>
      </c>
      <c r="H40" s="163"/>
      <c r="I40" s="163"/>
      <c r="J40" s="163" t="s">
        <v>766</v>
      </c>
      <c r="K40" s="164">
        <v>536</v>
      </c>
      <c r="L40" s="163" t="s">
        <v>1531</v>
      </c>
      <c r="M40" s="163"/>
      <c r="N40" s="163" t="s">
        <v>1554</v>
      </c>
      <c r="O40" s="163"/>
      <c r="P40" s="163"/>
      <c r="Q40" s="163"/>
      <c r="R40" s="163" t="s">
        <v>635</v>
      </c>
      <c r="S40" s="163"/>
      <c r="T40" s="163"/>
      <c r="U40" s="163" t="s">
        <v>523</v>
      </c>
      <c r="V40" s="163"/>
      <c r="W40" s="163" t="s">
        <v>112</v>
      </c>
      <c r="X40" s="163" t="s">
        <v>150</v>
      </c>
      <c r="Y40" s="164">
        <v>999</v>
      </c>
      <c r="Z40" s="163" t="s">
        <v>142</v>
      </c>
      <c r="AA40" s="188"/>
      <c r="AB40" s="176"/>
      <c r="AC40" s="172"/>
      <c r="AD40" s="188"/>
      <c r="AE40" s="188"/>
      <c r="AF40" s="188"/>
      <c r="AG40" s="189"/>
      <c r="AH40" s="190">
        <f t="shared" si="0"/>
        <v>0</v>
      </c>
      <c r="AI40" s="163"/>
      <c r="AJ40" s="163"/>
      <c r="AK40" s="163"/>
      <c r="AL40" s="163"/>
      <c r="AM40" s="163"/>
      <c r="AN40" s="163"/>
      <c r="AO40" s="163"/>
      <c r="AP40" s="163"/>
      <c r="AQ40" s="163"/>
      <c r="AR40" s="163"/>
      <c r="AS40" s="163" t="s">
        <v>1559</v>
      </c>
      <c r="AT40" s="163" t="s">
        <v>612</v>
      </c>
      <c r="AU40" s="163" t="str">
        <f>IF($AT40="","",IFERROR(INDEX([2]InstructorMap!$B:$B, MATCH($AT40, [2]InstructorMap!$A:$A, 0)),""))</f>
        <v>cvine@andrews.edu</v>
      </c>
      <c r="AV40" s="163" t="str">
        <f>IF($AT40="","",IFERROR(INDEX([2]InstructorMap!$C:$C, MATCH($AT40, [2]InstructorMap!$A:$A, 0)),""))</f>
        <v>000093509</v>
      </c>
      <c r="AW40" s="163" t="s">
        <v>121</v>
      </c>
      <c r="AX40" s="163" t="s">
        <v>160</v>
      </c>
      <c r="AY40" s="163" t="s">
        <v>180</v>
      </c>
      <c r="AZ40" s="163">
        <v>2100</v>
      </c>
      <c r="BA40" s="163"/>
      <c r="BB40" s="163"/>
      <c r="BC40" s="163"/>
      <c r="BD40" s="163"/>
      <c r="BE40" s="163"/>
      <c r="BF40" s="163"/>
      <c r="BG40" s="163"/>
      <c r="BH40" s="178" t="s">
        <v>766</v>
      </c>
      <c r="BI40" s="163"/>
      <c r="BJ40" s="163"/>
      <c r="BK40" s="163"/>
      <c r="BL40" s="163" t="s">
        <v>1549</v>
      </c>
      <c r="BM40" s="163"/>
      <c r="BN40" s="163"/>
      <c r="BO40" s="163" t="s">
        <v>127</v>
      </c>
      <c r="BP40" s="163"/>
      <c r="BQ40" s="163"/>
      <c r="BR40" s="163"/>
      <c r="BS40" s="163"/>
      <c r="BT40" s="163"/>
      <c r="BU40" s="163"/>
      <c r="BV40" s="163"/>
      <c r="BW40" s="163"/>
      <c r="BX40" s="163"/>
      <c r="BY40" s="163"/>
      <c r="BZ40" s="188"/>
      <c r="CA40" s="181"/>
      <c r="CB40" s="181"/>
      <c r="CC40" s="163" t="s">
        <v>1550</v>
      </c>
      <c r="CD40" s="163" t="s">
        <v>528</v>
      </c>
      <c r="CE40" s="163"/>
      <c r="CF40" s="163" t="s">
        <v>130</v>
      </c>
      <c r="CG40" s="163"/>
      <c r="CH40" s="163"/>
      <c r="CI40" s="163"/>
      <c r="CJ40" s="163"/>
      <c r="CK40" s="163"/>
      <c r="CL40" s="163"/>
      <c r="CM40" s="164"/>
      <c r="CN40" s="163"/>
      <c r="CO40" s="163"/>
      <c r="CP40" s="178"/>
      <c r="CQ40" s="163"/>
      <c r="CR40" s="163"/>
      <c r="CS40" s="163"/>
      <c r="CT40" s="163"/>
      <c r="CU40" s="163"/>
      <c r="CV40" s="163"/>
      <c r="CW40" s="168"/>
      <c r="CX40" s="168"/>
      <c r="CY40" s="168"/>
      <c r="CZ40" s="168"/>
      <c r="DA40" s="168"/>
      <c r="DB40" s="168"/>
      <c r="DC40" s="168"/>
      <c r="DD40" s="168"/>
      <c r="DE40" s="168"/>
      <c r="DF40" s="168"/>
      <c r="DG40" s="168"/>
      <c r="DH40" s="168"/>
      <c r="DI40" s="168"/>
      <c r="DJ40" s="168"/>
      <c r="DK40" s="168"/>
      <c r="DL40" s="168"/>
      <c r="DM40" s="168"/>
      <c r="DN40" s="168"/>
      <c r="DO40" s="168"/>
      <c r="DP40" s="168"/>
      <c r="DQ40" s="168"/>
      <c r="DR40" s="168"/>
      <c r="DS40" s="168"/>
      <c r="DT40" s="168"/>
      <c r="DU40" s="168"/>
      <c r="DV40" s="168"/>
      <c r="DW40" s="168"/>
      <c r="DX40" s="168"/>
      <c r="DY40" s="168"/>
      <c r="DZ40" s="168"/>
      <c r="EA40" s="168"/>
      <c r="EB40" s="168"/>
      <c r="EC40" s="168"/>
      <c r="ED40" s="168"/>
      <c r="EE40" s="168"/>
      <c r="EF40" s="168"/>
      <c r="EG40" s="168"/>
      <c r="EH40" s="163"/>
      <c r="EI40" s="163"/>
      <c r="EJ40" s="163"/>
      <c r="EK40" s="163"/>
      <c r="EL40" s="163"/>
      <c r="EM40" s="163"/>
      <c r="EN40" s="163"/>
      <c r="EO40" s="163"/>
      <c r="EP40" s="163"/>
      <c r="EQ40" s="163"/>
      <c r="ER40" s="163"/>
      <c r="ES40" s="163"/>
      <c r="ET40" s="163"/>
      <c r="EU40" s="163"/>
      <c r="EV40" s="163"/>
      <c r="EW40" s="163"/>
      <c r="EX40" s="163"/>
      <c r="EY40" s="163"/>
      <c r="EZ40" s="163"/>
      <c r="FA40" s="163"/>
      <c r="FB40" s="163"/>
      <c r="FC40" s="163"/>
      <c r="FD40" s="163"/>
      <c r="FE40" s="163"/>
      <c r="FF40" s="163"/>
      <c r="FG40" s="163"/>
      <c r="FH40" s="163"/>
      <c r="FI40" s="163"/>
      <c r="FJ40" s="163"/>
      <c r="FK40" s="163"/>
      <c r="FL40" s="163"/>
      <c r="FM40" s="163"/>
      <c r="FN40" s="163"/>
      <c r="FO40" s="163"/>
      <c r="FP40" s="170"/>
    </row>
    <row r="41" spans="1:172" ht="16" x14ac:dyDescent="0.2">
      <c r="A41" s="173" t="b">
        <v>0</v>
      </c>
      <c r="B41" s="173" t="b">
        <v>0</v>
      </c>
      <c r="C41" s="173" t="b">
        <v>1</v>
      </c>
      <c r="D41" s="173" t="b">
        <v>0</v>
      </c>
      <c r="E41" s="173" t="b">
        <v>0</v>
      </c>
      <c r="F41" s="173" t="b">
        <v>0</v>
      </c>
      <c r="G41" s="163" t="s">
        <v>765</v>
      </c>
      <c r="H41" s="163"/>
      <c r="I41" s="163"/>
      <c r="J41" s="163" t="s">
        <v>898</v>
      </c>
      <c r="K41" s="163">
        <v>566</v>
      </c>
      <c r="L41" s="163" t="s">
        <v>1522</v>
      </c>
      <c r="M41" s="163"/>
      <c r="N41" s="182" t="s">
        <v>1560</v>
      </c>
      <c r="O41" s="163"/>
      <c r="P41" s="163"/>
      <c r="Q41" s="163"/>
      <c r="R41" s="163" t="s">
        <v>635</v>
      </c>
      <c r="S41" s="163"/>
      <c r="T41" s="163"/>
      <c r="U41" s="163" t="s">
        <v>523</v>
      </c>
      <c r="V41" s="163"/>
      <c r="W41" s="163" t="s">
        <v>112</v>
      </c>
      <c r="X41" s="163" t="s">
        <v>150</v>
      </c>
      <c r="Y41" s="163" t="s">
        <v>148</v>
      </c>
      <c r="Z41" s="163" t="s">
        <v>142</v>
      </c>
      <c r="AA41" s="176">
        <v>46286</v>
      </c>
      <c r="AB41" s="176"/>
      <c r="AC41" s="166"/>
      <c r="AD41" s="176">
        <v>46286</v>
      </c>
      <c r="AE41" s="176">
        <v>46290</v>
      </c>
      <c r="AF41" s="176">
        <v>46291</v>
      </c>
      <c r="AG41" s="172">
        <f>AF41+160</f>
        <v>46451</v>
      </c>
      <c r="AH41" s="176">
        <f t="shared" si="0"/>
        <v>46451</v>
      </c>
      <c r="AI41" s="163"/>
      <c r="AJ41" s="163"/>
      <c r="AK41" s="163"/>
      <c r="AL41" s="163"/>
      <c r="AM41" s="163"/>
      <c r="AN41" s="163"/>
      <c r="AO41" s="163"/>
      <c r="AP41" s="163"/>
      <c r="AQ41" s="163"/>
      <c r="AR41" s="163"/>
      <c r="AS41" s="163" t="s">
        <v>1523</v>
      </c>
      <c r="AT41" s="163" t="s">
        <v>1561</v>
      </c>
      <c r="AU41" s="185" t="s">
        <v>1562</v>
      </c>
      <c r="AV41" s="163" t="s">
        <v>1563</v>
      </c>
      <c r="AW41" s="163" t="s">
        <v>121</v>
      </c>
      <c r="AX41" s="163" t="s">
        <v>160</v>
      </c>
      <c r="AY41" s="163" t="s">
        <v>180</v>
      </c>
      <c r="AZ41" s="163">
        <v>2100</v>
      </c>
      <c r="BA41" s="163"/>
      <c r="BB41" s="163"/>
      <c r="BC41" s="163"/>
      <c r="BD41" s="163"/>
      <c r="BE41" s="163"/>
      <c r="BF41" s="163"/>
      <c r="BG41" s="163"/>
      <c r="BH41" s="163" t="s">
        <v>898</v>
      </c>
      <c r="BI41" s="163"/>
      <c r="BJ41" s="163"/>
      <c r="BK41" s="163"/>
      <c r="BL41" s="163" t="s">
        <v>1549</v>
      </c>
      <c r="BM41" s="163"/>
      <c r="BN41" s="163"/>
      <c r="BO41" s="163" t="s">
        <v>127</v>
      </c>
      <c r="BP41" s="163"/>
      <c r="BQ41" s="163"/>
      <c r="BR41" s="163"/>
      <c r="BS41" s="163"/>
      <c r="BT41" s="163"/>
      <c r="BU41" s="163"/>
      <c r="BV41" s="163"/>
      <c r="BW41" s="163"/>
      <c r="BX41" s="163"/>
      <c r="BY41" s="163"/>
      <c r="BZ41" s="176">
        <v>46286</v>
      </c>
      <c r="CA41" s="165"/>
      <c r="CB41" s="167"/>
      <c r="CC41" s="163" t="s">
        <v>1550</v>
      </c>
      <c r="CD41" s="163" t="s">
        <v>528</v>
      </c>
      <c r="CE41" s="163"/>
      <c r="CF41" s="163" t="s">
        <v>130</v>
      </c>
      <c r="CG41" s="163"/>
      <c r="CH41" s="163"/>
      <c r="CI41" s="163"/>
      <c r="CJ41" s="163"/>
      <c r="CK41" s="163"/>
      <c r="CL41" s="163"/>
      <c r="CM41" s="164"/>
      <c r="CN41" s="164"/>
      <c r="CO41" s="164"/>
      <c r="CP41" s="164"/>
      <c r="CQ41" s="163"/>
      <c r="CR41" s="163"/>
      <c r="CS41" s="163"/>
      <c r="CT41" s="163"/>
      <c r="CU41" s="163"/>
      <c r="CV41" s="163"/>
      <c r="CW41" s="168"/>
      <c r="CX41" s="168"/>
      <c r="CY41" s="168"/>
      <c r="CZ41" s="168"/>
      <c r="DA41" s="168"/>
      <c r="DB41" s="168"/>
      <c r="DC41" s="168"/>
      <c r="DD41" s="168"/>
      <c r="DE41" s="168"/>
      <c r="DF41" s="168"/>
      <c r="DG41" s="168"/>
      <c r="DH41" s="168"/>
      <c r="DI41" s="168"/>
      <c r="DJ41" s="168"/>
      <c r="DK41" s="168"/>
      <c r="DL41" s="168"/>
      <c r="DM41" s="168"/>
      <c r="DN41" s="168"/>
      <c r="DO41" s="168"/>
      <c r="DP41" s="168"/>
      <c r="DQ41" s="168"/>
      <c r="DR41" s="168"/>
      <c r="DS41" s="168"/>
      <c r="DT41" s="168"/>
      <c r="DU41" s="168"/>
      <c r="DV41" s="168"/>
      <c r="DW41" s="168"/>
      <c r="DX41" s="168"/>
      <c r="DY41" s="168"/>
      <c r="DZ41" s="168"/>
      <c r="EA41" s="168"/>
      <c r="EB41" s="168"/>
      <c r="EC41" s="168"/>
      <c r="ED41" s="168"/>
      <c r="EE41" s="168"/>
      <c r="EF41" s="168"/>
      <c r="EG41" s="168"/>
      <c r="EH41" s="163"/>
      <c r="EI41" s="163"/>
      <c r="EJ41" s="163"/>
      <c r="EK41" s="163"/>
      <c r="EL41" s="163"/>
      <c r="EM41" s="163"/>
      <c r="EN41" s="163"/>
      <c r="EO41" s="163"/>
      <c r="EP41" s="163"/>
      <c r="EQ41" s="163"/>
      <c r="ER41" s="163"/>
      <c r="ES41" s="163"/>
      <c r="ET41" s="163"/>
      <c r="EU41" s="163"/>
      <c r="EV41" s="163"/>
      <c r="EW41" s="163"/>
      <c r="EX41" s="163"/>
      <c r="EY41" s="163"/>
      <c r="EZ41" s="163"/>
      <c r="FA41" s="163"/>
      <c r="FB41" s="163"/>
      <c r="FC41" s="163"/>
      <c r="FD41" s="163"/>
      <c r="FE41" s="163"/>
      <c r="FF41" s="163"/>
      <c r="FG41" s="163"/>
      <c r="FH41" s="163"/>
      <c r="FI41" s="163"/>
      <c r="FJ41" s="163"/>
      <c r="FK41" s="163"/>
      <c r="FL41" s="163"/>
      <c r="FM41" s="163"/>
      <c r="FN41" s="163"/>
      <c r="FO41" s="163"/>
      <c r="FP41" s="100"/>
    </row>
    <row r="42" spans="1:172" ht="16" x14ac:dyDescent="0.2">
      <c r="A42" s="173" t="b">
        <v>0</v>
      </c>
      <c r="B42" s="173" t="b">
        <v>0</v>
      </c>
      <c r="C42" s="173" t="b">
        <v>1</v>
      </c>
      <c r="D42" s="173" t="b">
        <v>0</v>
      </c>
      <c r="E42" s="173" t="b">
        <v>0</v>
      </c>
      <c r="F42" s="173" t="b">
        <v>0</v>
      </c>
      <c r="G42" s="163" t="s">
        <v>765</v>
      </c>
      <c r="H42" s="163"/>
      <c r="I42" s="163"/>
      <c r="J42" s="163" t="s">
        <v>898</v>
      </c>
      <c r="K42" s="163" t="s">
        <v>704</v>
      </c>
      <c r="L42" s="163" t="s">
        <v>1522</v>
      </c>
      <c r="M42" s="163"/>
      <c r="N42" s="183" t="s">
        <v>1564</v>
      </c>
      <c r="O42" s="163"/>
      <c r="P42" s="163"/>
      <c r="Q42" s="163"/>
      <c r="R42" s="163" t="s">
        <v>635</v>
      </c>
      <c r="S42" s="163"/>
      <c r="T42" s="163"/>
      <c r="U42" s="163" t="s">
        <v>523</v>
      </c>
      <c r="V42" s="163"/>
      <c r="W42" s="163" t="s">
        <v>112</v>
      </c>
      <c r="X42" s="163" t="s">
        <v>150</v>
      </c>
      <c r="Y42" s="163" t="s">
        <v>148</v>
      </c>
      <c r="Z42" s="163" t="s">
        <v>142</v>
      </c>
      <c r="AA42" s="176">
        <v>46292</v>
      </c>
      <c r="AB42" s="184"/>
      <c r="AC42" s="166"/>
      <c r="AD42" s="176">
        <v>46292</v>
      </c>
      <c r="AE42" s="176">
        <v>46296</v>
      </c>
      <c r="AF42" s="176">
        <v>46297</v>
      </c>
      <c r="AG42" s="172">
        <f>AF42+160</f>
        <v>46457</v>
      </c>
      <c r="AH42" s="176">
        <f t="shared" si="0"/>
        <v>46457</v>
      </c>
      <c r="AI42" s="163"/>
      <c r="AJ42" s="163"/>
      <c r="AK42" s="163"/>
      <c r="AL42" s="163"/>
      <c r="AM42" s="163"/>
      <c r="AN42" s="163"/>
      <c r="AO42" s="163"/>
      <c r="AP42" s="163"/>
      <c r="AQ42" s="163"/>
      <c r="AR42" s="163"/>
      <c r="AS42" s="163" t="s">
        <v>1523</v>
      </c>
      <c r="AT42" s="163" t="s">
        <v>1561</v>
      </c>
      <c r="AU42" s="163" t="s">
        <v>1565</v>
      </c>
      <c r="AV42" s="163" t="str">
        <f>IF($AT42="","",IFERROR(INDEX([2]InstructorMap!$C:$C, MATCH($AT42, [2]InstructorMap!$A:$A, 0)),""))</f>
        <v>000036790</v>
      </c>
      <c r="AW42" s="163" t="s">
        <v>121</v>
      </c>
      <c r="AX42" s="163" t="s">
        <v>160</v>
      </c>
      <c r="AY42" s="163" t="s">
        <v>180</v>
      </c>
      <c r="AZ42" s="163">
        <v>2100</v>
      </c>
      <c r="BA42" s="163"/>
      <c r="BB42" s="163"/>
      <c r="BC42" s="163"/>
      <c r="BD42" s="163"/>
      <c r="BE42" s="163"/>
      <c r="BF42" s="163"/>
      <c r="BG42" s="163"/>
      <c r="BH42" s="163" t="s">
        <v>898</v>
      </c>
      <c r="BI42" s="163"/>
      <c r="BJ42" s="163"/>
      <c r="BK42" s="163"/>
      <c r="BL42" s="163" t="s">
        <v>1549</v>
      </c>
      <c r="BM42" s="163"/>
      <c r="BN42" s="163"/>
      <c r="BO42" s="163" t="s">
        <v>127</v>
      </c>
      <c r="BP42" s="163"/>
      <c r="BQ42" s="163"/>
      <c r="BR42" s="163"/>
      <c r="BS42" s="163"/>
      <c r="BT42" s="163"/>
      <c r="BU42" s="163"/>
      <c r="BV42" s="163"/>
      <c r="BW42" s="163"/>
      <c r="BX42" s="163"/>
      <c r="BY42" s="163"/>
      <c r="BZ42" s="176">
        <v>46292</v>
      </c>
      <c r="CA42" s="165"/>
      <c r="CB42" s="167"/>
      <c r="CC42" s="163" t="s">
        <v>1550</v>
      </c>
      <c r="CD42" s="163" t="s">
        <v>528</v>
      </c>
      <c r="CE42" s="163"/>
      <c r="CF42" s="163" t="s">
        <v>130</v>
      </c>
      <c r="CG42" s="163"/>
      <c r="CH42" s="163"/>
      <c r="CI42" s="163"/>
      <c r="CJ42" s="163"/>
      <c r="CK42" s="163"/>
      <c r="CL42" s="163"/>
      <c r="CM42" s="164"/>
      <c r="CN42" s="164"/>
      <c r="CO42" s="164"/>
      <c r="CP42" s="164"/>
      <c r="CQ42" s="163"/>
      <c r="CR42" s="163"/>
      <c r="CS42" s="163"/>
      <c r="CT42" s="163"/>
      <c r="CU42" s="163"/>
      <c r="CV42" s="163"/>
      <c r="CW42" s="168"/>
      <c r="CX42" s="168"/>
      <c r="CY42" s="168"/>
      <c r="CZ42" s="168"/>
      <c r="DA42" s="168"/>
      <c r="DB42" s="168"/>
      <c r="DC42" s="168"/>
      <c r="DD42" s="168"/>
      <c r="DE42" s="168"/>
      <c r="DF42" s="168"/>
      <c r="DG42" s="168"/>
      <c r="DH42" s="168"/>
      <c r="DI42" s="168"/>
      <c r="DJ42" s="168"/>
      <c r="DK42" s="168"/>
      <c r="DL42" s="168"/>
      <c r="DM42" s="168"/>
      <c r="DN42" s="168"/>
      <c r="DO42" s="168"/>
      <c r="DP42" s="168"/>
      <c r="DQ42" s="168"/>
      <c r="DR42" s="168"/>
      <c r="DS42" s="168"/>
      <c r="DT42" s="168"/>
      <c r="DU42" s="168"/>
      <c r="DV42" s="168"/>
      <c r="DW42" s="168"/>
      <c r="DX42" s="168"/>
      <c r="DY42" s="168"/>
      <c r="DZ42" s="168"/>
      <c r="EA42" s="168"/>
      <c r="EB42" s="168"/>
      <c r="EC42" s="168"/>
      <c r="ED42" s="168"/>
      <c r="EE42" s="168"/>
      <c r="EF42" s="168"/>
      <c r="EG42" s="168"/>
      <c r="EH42" s="163"/>
      <c r="EI42" s="163"/>
      <c r="EJ42" s="163"/>
      <c r="EK42" s="163"/>
      <c r="EL42" s="163"/>
      <c r="EM42" s="163"/>
      <c r="EN42" s="163"/>
      <c r="EO42" s="163"/>
      <c r="EP42" s="163"/>
      <c r="EQ42" s="163"/>
      <c r="ER42" s="163"/>
      <c r="ES42" s="163"/>
      <c r="ET42" s="163"/>
      <c r="EU42" s="163"/>
      <c r="EV42" s="163"/>
      <c r="EW42" s="163"/>
      <c r="EX42" s="163"/>
      <c r="EY42" s="163"/>
      <c r="EZ42" s="163"/>
      <c r="FA42" s="163"/>
      <c r="FB42" s="163"/>
      <c r="FC42" s="163"/>
      <c r="FD42" s="163"/>
      <c r="FE42" s="163"/>
      <c r="FF42" s="163"/>
      <c r="FG42" s="163"/>
      <c r="FH42" s="163"/>
      <c r="FI42" s="163"/>
      <c r="FJ42" s="163"/>
      <c r="FK42" s="163"/>
      <c r="FL42" s="163"/>
      <c r="FM42" s="163"/>
      <c r="FN42" s="163"/>
      <c r="FO42" s="163"/>
      <c r="FP42" s="100"/>
    </row>
    <row r="43" spans="1:172" ht="16" x14ac:dyDescent="0.2">
      <c r="A43" s="173" t="b">
        <v>0</v>
      </c>
      <c r="B43" s="173" t="b">
        <v>0</v>
      </c>
      <c r="C43" s="173" t="b">
        <v>1</v>
      </c>
      <c r="D43" s="173" t="b">
        <v>0</v>
      </c>
      <c r="E43" s="173" t="b">
        <v>0</v>
      </c>
      <c r="F43" s="173" t="b">
        <v>0</v>
      </c>
      <c r="G43" s="163" t="s">
        <v>765</v>
      </c>
      <c r="H43" s="163"/>
      <c r="I43" s="163"/>
      <c r="J43" s="187"/>
      <c r="K43" s="187"/>
      <c r="L43" s="163" t="s">
        <v>814</v>
      </c>
      <c r="M43" s="163"/>
      <c r="N43" s="191"/>
      <c r="O43" s="187"/>
      <c r="P43" s="187"/>
      <c r="Q43" s="187"/>
      <c r="R43" s="163" t="s">
        <v>635</v>
      </c>
      <c r="S43" s="163"/>
      <c r="T43" s="163"/>
      <c r="U43" s="163" t="s">
        <v>523</v>
      </c>
      <c r="V43" s="163"/>
      <c r="W43" s="163" t="s">
        <v>112</v>
      </c>
      <c r="X43" s="163" t="s">
        <v>150</v>
      </c>
      <c r="Y43" s="163" t="s">
        <v>148</v>
      </c>
      <c r="Z43" s="163" t="s">
        <v>142</v>
      </c>
      <c r="AA43" s="190"/>
      <c r="AB43" s="176"/>
      <c r="AC43" s="166"/>
      <c r="AD43" s="190"/>
      <c r="AE43" s="190"/>
      <c r="AF43" s="190"/>
      <c r="AG43" s="189"/>
      <c r="AH43" s="190">
        <f t="shared" si="0"/>
        <v>0</v>
      </c>
      <c r="AI43" s="163"/>
      <c r="AJ43" s="163"/>
      <c r="AK43" s="163"/>
      <c r="AL43" s="163"/>
      <c r="AM43" s="163"/>
      <c r="AN43" s="163"/>
      <c r="AO43" s="163"/>
      <c r="AP43" s="163"/>
      <c r="AQ43" s="163"/>
      <c r="AR43" s="163"/>
      <c r="AS43" s="163" t="s">
        <v>1566</v>
      </c>
      <c r="AT43" s="187"/>
      <c r="AU43" s="193"/>
      <c r="AV43" s="187"/>
      <c r="AW43" s="163" t="s">
        <v>121</v>
      </c>
      <c r="AX43" s="163"/>
      <c r="AY43" s="163"/>
      <c r="AZ43" s="163"/>
      <c r="BA43" s="163"/>
      <c r="BB43" s="163"/>
      <c r="BC43" s="163"/>
      <c r="BD43" s="163"/>
      <c r="BE43" s="163"/>
      <c r="BF43" s="163"/>
      <c r="BG43" s="163"/>
      <c r="BH43" s="187"/>
      <c r="BI43" s="163"/>
      <c r="BJ43" s="163"/>
      <c r="BK43" s="163"/>
      <c r="BL43" s="163" t="s">
        <v>1549</v>
      </c>
      <c r="BM43" s="163"/>
      <c r="BN43" s="163"/>
      <c r="BO43" s="163" t="s">
        <v>127</v>
      </c>
      <c r="BP43" s="163"/>
      <c r="BQ43" s="163"/>
      <c r="BR43" s="163"/>
      <c r="BS43" s="163"/>
      <c r="BT43" s="163"/>
      <c r="BU43" s="163"/>
      <c r="BV43" s="163"/>
      <c r="BW43" s="163"/>
      <c r="BX43" s="163"/>
      <c r="BY43" s="163"/>
      <c r="BZ43" s="190"/>
      <c r="CA43" s="165"/>
      <c r="CB43" s="167"/>
      <c r="CC43" s="163" t="s">
        <v>1550</v>
      </c>
      <c r="CD43" s="163" t="s">
        <v>528</v>
      </c>
      <c r="CE43" s="163"/>
      <c r="CF43" s="163" t="s">
        <v>130</v>
      </c>
      <c r="CG43" s="163"/>
      <c r="CH43" s="163"/>
      <c r="CI43" s="163"/>
      <c r="CJ43" s="163"/>
      <c r="CK43" s="163"/>
      <c r="CL43" s="163"/>
      <c r="CM43" s="164"/>
      <c r="CN43" s="164"/>
      <c r="CO43" s="164"/>
      <c r="CP43" s="164"/>
      <c r="CQ43" s="163"/>
      <c r="CR43" s="163"/>
      <c r="CS43" s="163"/>
      <c r="CT43" s="163"/>
      <c r="CU43" s="163"/>
      <c r="CV43" s="163"/>
      <c r="CW43" s="168"/>
      <c r="CX43" s="168"/>
      <c r="CY43" s="168"/>
      <c r="CZ43" s="168"/>
      <c r="DA43" s="168"/>
      <c r="DB43" s="168"/>
      <c r="DC43" s="168"/>
      <c r="DD43" s="168"/>
      <c r="DE43" s="168"/>
      <c r="DF43" s="168"/>
      <c r="DG43" s="168"/>
      <c r="DH43" s="168"/>
      <c r="DI43" s="168"/>
      <c r="DJ43" s="168"/>
      <c r="DK43" s="168"/>
      <c r="DL43" s="168"/>
      <c r="DM43" s="168"/>
      <c r="DN43" s="168"/>
      <c r="DO43" s="168"/>
      <c r="DP43" s="168"/>
      <c r="DQ43" s="168"/>
      <c r="DR43" s="168"/>
      <c r="DS43" s="168"/>
      <c r="DT43" s="168"/>
      <c r="DU43" s="168"/>
      <c r="DV43" s="168"/>
      <c r="DW43" s="168"/>
      <c r="DX43" s="168"/>
      <c r="DY43" s="168"/>
      <c r="DZ43" s="168"/>
      <c r="EA43" s="168"/>
      <c r="EB43" s="168"/>
      <c r="EC43" s="168"/>
      <c r="ED43" s="168"/>
      <c r="EE43" s="168"/>
      <c r="EF43" s="168"/>
      <c r="EG43" s="168"/>
      <c r="EH43" s="163"/>
      <c r="EI43" s="163"/>
      <c r="EJ43" s="163"/>
      <c r="EK43" s="163"/>
      <c r="EL43" s="163"/>
      <c r="EM43" s="163"/>
      <c r="EN43" s="163"/>
      <c r="EO43" s="163"/>
      <c r="EP43" s="163"/>
      <c r="EQ43" s="163"/>
      <c r="ER43" s="163"/>
      <c r="ES43" s="163"/>
      <c r="ET43" s="163"/>
      <c r="EU43" s="163"/>
      <c r="EV43" s="163"/>
      <c r="EW43" s="163"/>
      <c r="EX43" s="163"/>
      <c r="EY43" s="163"/>
      <c r="EZ43" s="163"/>
      <c r="FA43" s="163"/>
      <c r="FB43" s="163"/>
      <c r="FC43" s="163"/>
      <c r="FD43" s="163"/>
      <c r="FE43" s="163"/>
      <c r="FF43" s="163"/>
      <c r="FG43" s="163"/>
      <c r="FH43" s="163"/>
      <c r="FI43" s="163"/>
      <c r="FJ43" s="163"/>
      <c r="FK43" s="163"/>
      <c r="FL43" s="163"/>
      <c r="FM43" s="163"/>
      <c r="FN43" s="163"/>
      <c r="FO43" s="163"/>
      <c r="FP43" s="100"/>
    </row>
    <row r="44" spans="1:172" ht="16" x14ac:dyDescent="0.2">
      <c r="A44" s="173" t="b">
        <v>0</v>
      </c>
      <c r="B44" s="173" t="b">
        <v>0</v>
      </c>
      <c r="C44" s="173" t="b">
        <v>1</v>
      </c>
      <c r="D44" s="173" t="b">
        <v>0</v>
      </c>
      <c r="E44" s="173" t="b">
        <v>0</v>
      </c>
      <c r="F44" s="173" t="b">
        <v>0</v>
      </c>
      <c r="G44" s="163" t="s">
        <v>765</v>
      </c>
      <c r="H44" s="163"/>
      <c r="I44" s="163"/>
      <c r="J44" s="187"/>
      <c r="K44" s="187"/>
      <c r="L44" s="163" t="s">
        <v>814</v>
      </c>
      <c r="M44" s="163"/>
      <c r="N44" s="192"/>
      <c r="O44" s="187"/>
      <c r="P44" s="187"/>
      <c r="Q44" s="187"/>
      <c r="R44" s="163" t="s">
        <v>635</v>
      </c>
      <c r="S44" s="163"/>
      <c r="T44" s="163"/>
      <c r="U44" s="163" t="s">
        <v>523</v>
      </c>
      <c r="V44" s="163"/>
      <c r="W44" s="163" t="s">
        <v>112</v>
      </c>
      <c r="X44" s="163" t="s">
        <v>150</v>
      </c>
      <c r="Y44" s="163" t="s">
        <v>148</v>
      </c>
      <c r="Z44" s="163" t="s">
        <v>142</v>
      </c>
      <c r="AA44" s="190"/>
      <c r="AB44" s="184"/>
      <c r="AC44" s="166"/>
      <c r="AD44" s="190"/>
      <c r="AE44" s="190"/>
      <c r="AF44" s="190"/>
      <c r="AG44" s="189"/>
      <c r="AH44" s="190">
        <f t="shared" si="0"/>
        <v>0</v>
      </c>
      <c r="AI44" s="163"/>
      <c r="AJ44" s="163"/>
      <c r="AK44" s="163"/>
      <c r="AL44" s="163"/>
      <c r="AM44" s="163"/>
      <c r="AN44" s="163"/>
      <c r="AO44" s="163"/>
      <c r="AP44" s="163"/>
      <c r="AQ44" s="163"/>
      <c r="AR44" s="163"/>
      <c r="AS44" s="163" t="s">
        <v>1566</v>
      </c>
      <c r="AT44" s="187"/>
      <c r="AU44" s="187"/>
      <c r="AV44" s="187" t="str">
        <f>IF($AT44="","",IFERROR(INDEX([2]InstructorMap!$C:$C, MATCH($AT44, [2]InstructorMap!$A:$A, 0)),""))</f>
        <v/>
      </c>
      <c r="AW44" s="163" t="s">
        <v>121</v>
      </c>
      <c r="AX44" s="163"/>
      <c r="AY44" s="163"/>
      <c r="AZ44" s="163"/>
      <c r="BA44" s="163"/>
      <c r="BB44" s="163"/>
      <c r="BC44" s="163"/>
      <c r="BD44" s="163"/>
      <c r="BE44" s="163"/>
      <c r="BF44" s="163"/>
      <c r="BG44" s="163"/>
      <c r="BH44" s="187"/>
      <c r="BI44" s="163"/>
      <c r="BJ44" s="163"/>
      <c r="BK44" s="163"/>
      <c r="BL44" s="163" t="s">
        <v>1549</v>
      </c>
      <c r="BM44" s="163"/>
      <c r="BN44" s="163"/>
      <c r="BO44" s="163" t="s">
        <v>127</v>
      </c>
      <c r="BP44" s="163"/>
      <c r="BQ44" s="163"/>
      <c r="BR44" s="163"/>
      <c r="BS44" s="163"/>
      <c r="BT44" s="163"/>
      <c r="BU44" s="163"/>
      <c r="BV44" s="163"/>
      <c r="BW44" s="163"/>
      <c r="BX44" s="163"/>
      <c r="BY44" s="163"/>
      <c r="BZ44" s="190"/>
      <c r="CA44" s="165"/>
      <c r="CB44" s="167"/>
      <c r="CC44" s="163" t="s">
        <v>1550</v>
      </c>
      <c r="CD44" s="163" t="s">
        <v>528</v>
      </c>
      <c r="CE44" s="163"/>
      <c r="CF44" s="163" t="s">
        <v>130</v>
      </c>
      <c r="CG44" s="163"/>
      <c r="CH44" s="163"/>
      <c r="CI44" s="163"/>
      <c r="CJ44" s="163"/>
      <c r="CK44" s="163"/>
      <c r="CL44" s="163"/>
      <c r="CM44" s="164"/>
      <c r="CN44" s="164"/>
      <c r="CO44" s="164"/>
      <c r="CP44" s="164"/>
      <c r="CQ44" s="163"/>
      <c r="CR44" s="163"/>
      <c r="CS44" s="163"/>
      <c r="CT44" s="163"/>
      <c r="CU44" s="163"/>
      <c r="CV44" s="163"/>
      <c r="CW44" s="168"/>
      <c r="CX44" s="168"/>
      <c r="CY44" s="168"/>
      <c r="CZ44" s="168"/>
      <c r="DA44" s="168"/>
      <c r="DB44" s="168"/>
      <c r="DC44" s="168"/>
      <c r="DD44" s="168"/>
      <c r="DE44" s="168"/>
      <c r="DF44" s="168"/>
      <c r="DG44" s="168"/>
      <c r="DH44" s="168"/>
      <c r="DI44" s="168"/>
      <c r="DJ44" s="168"/>
      <c r="DK44" s="168"/>
      <c r="DL44" s="168"/>
      <c r="DM44" s="168"/>
      <c r="DN44" s="168"/>
      <c r="DO44" s="168"/>
      <c r="DP44" s="168"/>
      <c r="DQ44" s="168"/>
      <c r="DR44" s="168"/>
      <c r="DS44" s="168"/>
      <c r="DT44" s="168"/>
      <c r="DU44" s="168"/>
      <c r="DV44" s="168"/>
      <c r="DW44" s="168"/>
      <c r="DX44" s="168"/>
      <c r="DY44" s="168"/>
      <c r="DZ44" s="168"/>
      <c r="EA44" s="168"/>
      <c r="EB44" s="168"/>
      <c r="EC44" s="168"/>
      <c r="ED44" s="168"/>
      <c r="EE44" s="168"/>
      <c r="EF44" s="168"/>
      <c r="EG44" s="168"/>
      <c r="EH44" s="163"/>
      <c r="EI44" s="163"/>
      <c r="EJ44" s="163"/>
      <c r="EK44" s="163"/>
      <c r="EL44" s="163"/>
      <c r="EM44" s="163"/>
      <c r="EN44" s="163"/>
      <c r="EO44" s="163"/>
      <c r="EP44" s="163"/>
      <c r="EQ44" s="163"/>
      <c r="ER44" s="163"/>
      <c r="ES44" s="163"/>
      <c r="ET44" s="163"/>
      <c r="EU44" s="163"/>
      <c r="EV44" s="163"/>
      <c r="EW44" s="163"/>
      <c r="EX44" s="163"/>
      <c r="EY44" s="163"/>
      <c r="EZ44" s="163"/>
      <c r="FA44" s="163"/>
      <c r="FB44" s="163"/>
      <c r="FC44" s="163"/>
      <c r="FD44" s="163"/>
      <c r="FE44" s="163"/>
      <c r="FF44" s="163"/>
      <c r="FG44" s="163"/>
      <c r="FH44" s="163"/>
      <c r="FI44" s="163"/>
      <c r="FJ44" s="163"/>
      <c r="FK44" s="163"/>
      <c r="FL44" s="163"/>
      <c r="FM44" s="163"/>
      <c r="FN44" s="163"/>
      <c r="FO44" s="163"/>
      <c r="FP44" s="100"/>
    </row>
  </sheetData>
  <autoFilter ref="A1:CV1" xr:uid="{00000000-0009-0000-0000-000009000000}"/>
  <hyperlinks>
    <hyperlink ref="AU38" r:id="rId1" display="mailto:iho@andrews.edu" xr:uid="{6B2A6783-697E-473C-8E95-C1B68B6C1A96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62">
        <x14:dataValidation type="list" allowBlank="1" xr:uid="{00000000-0002-0000-0900-000000000000}">
          <x14:formula1>
            <xm:f>DropDownMenu!$A$2:$A$3</xm:f>
          </x14:formula1>
          <xm:sqref>A45:A5002</xm:sqref>
        </x14:dataValidation>
        <x14:dataValidation type="list" allowBlank="1" xr:uid="{00000000-0002-0000-0900-000001000000}">
          <x14:formula1>
            <xm:f>DropDownMenu!$B$2:$B$3</xm:f>
          </x14:formula1>
          <xm:sqref>B45:B5002</xm:sqref>
        </x14:dataValidation>
        <x14:dataValidation type="list" allowBlank="1" xr:uid="{00000000-0002-0000-0900-000002000000}">
          <x14:formula1>
            <xm:f>DropDownMenu!$C$2:$C$3</xm:f>
          </x14:formula1>
          <xm:sqref>D45:D5002</xm:sqref>
        </x14:dataValidation>
        <x14:dataValidation type="list" allowBlank="1" xr:uid="{00000000-0002-0000-0900-000003000000}">
          <x14:formula1>
            <xm:f>DropDownMenu!$D$2:$D$3</xm:f>
          </x14:formula1>
          <xm:sqref>E45:E5002</xm:sqref>
        </x14:dataValidation>
        <x14:dataValidation type="list" allowBlank="1" xr:uid="{00000000-0002-0000-0900-000004000000}">
          <x14:formula1>
            <xm:f>DropDownMenu!$E$2:$E$3</xm:f>
          </x14:formula1>
          <xm:sqref>F45:F5002</xm:sqref>
        </x14:dataValidation>
        <x14:dataValidation type="list" allowBlank="1" xr:uid="{00000000-0002-0000-0900-000005000000}">
          <x14:formula1>
            <xm:f>DropDownMenu!$G$2:$G$19</xm:f>
          </x14:formula1>
          <xm:sqref>G45:G5002</xm:sqref>
        </x14:dataValidation>
        <x14:dataValidation type="list" allowBlank="1" xr:uid="{00000000-0002-0000-0900-00001A000000}">
          <x14:formula1>
            <xm:f>DropDownMenu!$AB$2:$AB$7</xm:f>
          </x14:formula1>
          <xm:sqref>AB35 AD35:AF36 AE37:AF37 AD37:AD38 AB39 AD39:AF44 BZ35:BZ44 AA2:AA5002</xm:sqref>
        </x14:dataValidation>
        <x14:dataValidation type="list" allowBlank="1" xr:uid="{00000000-0002-0000-0900-00001B000000}">
          <x14:formula1>
            <xm:f>DropDownMenu!$AC$2:$AC$49</xm:f>
          </x14:formula1>
          <xm:sqref>AD2:AD34 AE38:AF38 AD45:AD5002</xm:sqref>
        </x14:dataValidation>
        <x14:dataValidation type="list" allowBlank="1" xr:uid="{00000000-0002-0000-0900-00001C000000}">
          <x14:formula1>
            <xm:f>DropDownMenu!$AD$2:$AD$52</xm:f>
          </x14:formula1>
          <xm:sqref>AE2:AE34 AF41:AF44 AE41:AE5002</xm:sqref>
        </x14:dataValidation>
        <x14:dataValidation type="list" allowBlank="1" xr:uid="{00000000-0002-0000-0900-00003E000000}">
          <x14:formula1>
            <xm:f>DropDownMenu!$BL$2:$BL$8</xm:f>
          </x14:formula1>
          <xm:sqref>BZ2:BZ34 BZ45:BZ5002</xm:sqref>
        </x14:dataValidation>
        <x14:dataValidation type="list" allowBlank="1" showInputMessage="1" showErrorMessage="1" xr:uid="{00000000-0002-0000-0900-000051000000}">
          <x14:formula1>
            <xm:f>DropDownMenu!$A$2:$A$3</xm:f>
          </x14:formula1>
          <xm:sqref>A45:A5002</xm:sqref>
        </x14:dataValidation>
        <x14:dataValidation type="list" allowBlank="1" showInputMessage="1" showErrorMessage="1" xr:uid="{00000000-0002-0000-0900-000052000000}">
          <x14:formula1>
            <xm:f>DropDownMenu!$B$2:$B$3</xm:f>
          </x14:formula1>
          <xm:sqref>B45:B5002</xm:sqref>
        </x14:dataValidation>
        <x14:dataValidation type="list" allowBlank="1" showInputMessage="1" showErrorMessage="1" xr:uid="{00000000-0002-0000-0900-000053000000}">
          <x14:formula1>
            <xm:f>DropDownMenu!$C$2:$C$3</xm:f>
          </x14:formula1>
          <xm:sqref>D45:D5002</xm:sqref>
        </x14:dataValidation>
        <x14:dataValidation type="list" allowBlank="1" showInputMessage="1" showErrorMessage="1" xr:uid="{00000000-0002-0000-0900-000054000000}">
          <x14:formula1>
            <xm:f>DropDownMenu!$D$2:$D$3</xm:f>
          </x14:formula1>
          <xm:sqref>E45:E5002</xm:sqref>
        </x14:dataValidation>
        <x14:dataValidation type="list" allowBlank="1" showInputMessage="1" showErrorMessage="1" xr:uid="{00000000-0002-0000-0900-000055000000}">
          <x14:formula1>
            <xm:f>DropDownMenu!$E$2:$E$3</xm:f>
          </x14:formula1>
          <xm:sqref>F45:F5002</xm:sqref>
        </x14:dataValidation>
        <x14:dataValidation type="list" allowBlank="1" showInputMessage="1" showErrorMessage="1" xr:uid="{00000000-0002-0000-0900-000056000000}">
          <x14:formula1>
            <xm:f>DropDownMenu!$G$2:$G$19</xm:f>
          </x14:formula1>
          <xm:sqref>G45:G5002</xm:sqref>
        </x14:dataValidation>
        <x14:dataValidation type="list" allowBlank="1" showInputMessage="1" showErrorMessage="1" xr:uid="{00000000-0002-0000-0900-00006B000000}">
          <x14:formula1>
            <xm:f>DropDownMenu!$AB$2:$AB$7</xm:f>
          </x14:formula1>
          <xm:sqref>AB35 AD35:AF36 AE37:AF37 AD37:AD38 AB39 AD39:AF44 BZ35:BZ44 AA2:AA5002</xm:sqref>
        </x14:dataValidation>
        <x14:dataValidation type="list" allowBlank="1" showInputMessage="1" showErrorMessage="1" xr:uid="{00000000-0002-0000-0900-00006C000000}">
          <x14:formula1>
            <xm:f>DropDownMenu!$AC$2:$AC$49</xm:f>
          </x14:formula1>
          <xm:sqref>AD2:AD34 AE38:AF38 AD45:AD5002</xm:sqref>
        </x14:dataValidation>
        <x14:dataValidation type="list" allowBlank="1" showInputMessage="1" showErrorMessage="1" xr:uid="{00000000-0002-0000-0900-00006D000000}">
          <x14:formula1>
            <xm:f>DropDownMenu!$AD$2:$AD$52</xm:f>
          </x14:formula1>
          <xm:sqref>AE2:AE34 AF41:AF44 AE41:AE5002</xm:sqref>
        </x14:dataValidation>
        <x14:dataValidation type="list" allowBlank="1" showInputMessage="1" showErrorMessage="1" xr:uid="{00000000-0002-0000-0900-00008F000000}">
          <x14:formula1>
            <xm:f>DropDownMenu!$BL$2:$BL$8</xm:f>
          </x14:formula1>
          <xm:sqref>BZ2:BZ34 BZ45:BZ5002</xm:sqref>
        </x14:dataValidation>
        <x14:dataValidation type="list" allowBlank="1" xr:uid="{00000000-0002-0000-0900-000006000000}">
          <x14:formula1>
            <xm:f>DropDownMenu!$H$2:$H$564</xm:f>
          </x14:formula1>
          <xm:sqref>H2:H5002</xm:sqref>
        </x14:dataValidation>
        <x14:dataValidation type="list" allowBlank="1" xr:uid="{00000000-0002-0000-0900-000007000000}">
          <x14:formula1>
            <xm:f>DropDownMenu!$I$2:$I$352</xm:f>
          </x14:formula1>
          <xm:sqref>I2:I5002</xm:sqref>
        </x14:dataValidation>
        <x14:dataValidation type="list" allowBlank="1" xr:uid="{00000000-0002-0000-0900-000008000000}">
          <x14:formula1>
            <xm:f>DropDownMenu!$J$2:$J$10</xm:f>
          </x14:formula1>
          <xm:sqref>J2:J5002</xm:sqref>
        </x14:dataValidation>
        <x14:dataValidation type="list" allowBlank="1" xr:uid="{00000000-0002-0000-0900-000009000000}">
          <x14:formula1>
            <xm:f>DropDownMenu!$K$2:$K$101</xm:f>
          </x14:formula1>
          <xm:sqref>K2:K5002</xm:sqref>
        </x14:dataValidation>
        <x14:dataValidation type="list" allowBlank="1" xr:uid="{00000000-0002-0000-0900-00000A000000}">
          <x14:formula1>
            <xm:f>DropDownMenu!$L$2:$L$42</xm:f>
          </x14:formula1>
          <xm:sqref>L2:L5002</xm:sqref>
        </x14:dataValidation>
        <x14:dataValidation type="list" allowBlank="1" xr:uid="{00000000-0002-0000-0900-00000B000000}">
          <x14:formula1>
            <xm:f>DropDownMenu!$M$2:$M$16</xm:f>
          </x14:formula1>
          <xm:sqref>M2:M5002</xm:sqref>
        </x14:dataValidation>
        <x14:dataValidation type="list" allowBlank="1" xr:uid="{00000000-0002-0000-0900-00000C000000}">
          <x14:formula1>
            <xm:f>DropDownMenu!$N$2:$N$140</xm:f>
          </x14:formula1>
          <xm:sqref>N2:N5002</xm:sqref>
        </x14:dataValidation>
        <x14:dataValidation type="list" allowBlank="1" xr:uid="{00000000-0002-0000-0900-00000D000000}">
          <x14:formula1>
            <xm:f>DropDownMenu!$O$2:$O$65</xm:f>
          </x14:formula1>
          <xm:sqref>O2:O5002</xm:sqref>
        </x14:dataValidation>
        <x14:dataValidation type="list" allowBlank="1" xr:uid="{00000000-0002-0000-0900-00000E000000}">
          <x14:formula1>
            <xm:f>DropDownMenu!$P$2:$P$45</xm:f>
          </x14:formula1>
          <xm:sqref>Q2:Q5002</xm:sqref>
        </x14:dataValidation>
        <x14:dataValidation type="list" allowBlank="1" xr:uid="{00000000-0002-0000-0900-00000F000000}">
          <x14:formula1>
            <xm:f>DropDownMenu!$Q$2:$Q$5</xm:f>
          </x14:formula1>
          <xm:sqref>R2:R5002</xm:sqref>
        </x14:dataValidation>
        <x14:dataValidation type="list" allowBlank="1" xr:uid="{00000000-0002-0000-0900-000010000000}">
          <x14:formula1>
            <xm:f>DropDownMenu!$R$2:$R$7</xm:f>
          </x14:formula1>
          <xm:sqref>S2:S5002</xm:sqref>
        </x14:dataValidation>
        <x14:dataValidation type="list" allowBlank="1" xr:uid="{00000000-0002-0000-0900-000011000000}">
          <x14:formula1>
            <xm:f>DropDownMenu!$S$2:$S$11</xm:f>
          </x14:formula1>
          <xm:sqref>T2:T5002</xm:sqref>
        </x14:dataValidation>
        <x14:dataValidation type="list" allowBlank="1" xr:uid="{00000000-0002-0000-0900-000012000000}">
          <x14:formula1>
            <xm:f>DropDownMenu!$T$2:$T$13</xm:f>
          </x14:formula1>
          <xm:sqref>U2:U5002</xm:sqref>
        </x14:dataValidation>
        <x14:dataValidation type="list" allowBlank="1" xr:uid="{00000000-0002-0000-0900-000013000000}">
          <x14:formula1>
            <xm:f>DropDownMenu!$U$2:$U$5</xm:f>
          </x14:formula1>
          <xm:sqref>CR2:CR5002</xm:sqref>
        </x14:dataValidation>
        <x14:dataValidation type="list" allowBlank="1" xr:uid="{00000000-0002-0000-0900-000014000000}">
          <x14:formula1>
            <xm:f>DropDownMenu!$V$2:$V$4</xm:f>
          </x14:formula1>
          <xm:sqref>V2:V5002</xm:sqref>
        </x14:dataValidation>
        <x14:dataValidation type="list" allowBlank="1" xr:uid="{00000000-0002-0000-0900-000015000000}">
          <x14:formula1>
            <xm:f>DropDownMenu!$W$2:$W$6</xm:f>
          </x14:formula1>
          <xm:sqref>CU2:CU5002</xm:sqref>
        </x14:dataValidation>
        <x14:dataValidation type="list" allowBlank="1" xr:uid="{00000000-0002-0000-0900-000016000000}">
          <x14:formula1>
            <xm:f>DropDownMenu!$X$2:$X$26</xm:f>
          </x14:formula1>
          <xm:sqref>W2:W5002</xm:sqref>
        </x14:dataValidation>
        <x14:dataValidation type="list" allowBlank="1" xr:uid="{00000000-0002-0000-0900-000017000000}">
          <x14:formula1>
            <xm:f>DropDownMenu!$Y$2:$Y$7</xm:f>
          </x14:formula1>
          <xm:sqref>X2:X5002</xm:sqref>
        </x14:dataValidation>
        <x14:dataValidation type="list" allowBlank="1" xr:uid="{00000000-0002-0000-0900-000018000000}">
          <x14:formula1>
            <xm:f>DropDownMenu!$Z$2:$Z$15</xm:f>
          </x14:formula1>
          <xm:sqref>Y2:Y5002</xm:sqref>
        </x14:dataValidation>
        <x14:dataValidation type="list" allowBlank="1" xr:uid="{00000000-0002-0000-0900-000019000000}">
          <x14:formula1>
            <xm:f>DropDownMenu!$AA$2:$AA$6</xm:f>
          </x14:formula1>
          <xm:sqref>Z2:Z5002</xm:sqref>
        </x14:dataValidation>
        <x14:dataValidation type="list" allowBlank="1" xr:uid="{00000000-0002-0000-0900-00001D000000}">
          <x14:formula1>
            <xm:f>DropDownMenu!$AE$2:$AE$9</xm:f>
          </x14:formula1>
          <xm:sqref>AH2:AH5002</xm:sqref>
        </x14:dataValidation>
        <x14:dataValidation type="list" allowBlank="1" xr:uid="{00000000-0002-0000-0900-00001E000000}">
          <x14:formula1>
            <xm:f>DropDownMenu!$AF$2:$AF$6</xm:f>
          </x14:formula1>
          <xm:sqref>AI2:AI5002</xm:sqref>
        </x14:dataValidation>
        <x14:dataValidation type="list" allowBlank="1" xr:uid="{00000000-0002-0000-0900-00001F000000}">
          <x14:formula1>
            <xm:f>DropDownMenu!$AG$2:$AG$11</xm:f>
          </x14:formula1>
          <xm:sqref>AJ2:AJ5002</xm:sqref>
        </x14:dataValidation>
        <x14:dataValidation type="list" allowBlank="1" xr:uid="{00000000-0002-0000-0900-000020000000}">
          <x14:formula1>
            <xm:f>DropDownMenu!$AH$2:$AH$2</xm:f>
          </x14:formula1>
          <xm:sqref>AK2:AK5002</xm:sqref>
        </x14:dataValidation>
        <x14:dataValidation type="list" allowBlank="1" xr:uid="{00000000-0002-0000-0900-000021000000}">
          <x14:formula1>
            <xm:f>DropDownMenu!$AI$2:$AI$2</xm:f>
          </x14:formula1>
          <xm:sqref>AL2:AL5002</xm:sqref>
        </x14:dataValidation>
        <x14:dataValidation type="list" allowBlank="1" xr:uid="{00000000-0002-0000-0900-000022000000}">
          <x14:formula1>
            <xm:f>DropDownMenu!$AJ$2:$AJ$2</xm:f>
          </x14:formula1>
          <xm:sqref>AM2:AM5002</xm:sqref>
        </x14:dataValidation>
        <x14:dataValidation type="list" allowBlank="1" xr:uid="{00000000-0002-0000-0900-000023000000}">
          <x14:formula1>
            <xm:f>DropDownMenu!$AK$2:$AK$2</xm:f>
          </x14:formula1>
          <xm:sqref>AN2:AN5002</xm:sqref>
        </x14:dataValidation>
        <x14:dataValidation type="list" allowBlank="1" xr:uid="{00000000-0002-0000-0900-000024000000}">
          <x14:formula1>
            <xm:f>DropDownMenu!$AL$2:$AL$2</xm:f>
          </x14:formula1>
          <xm:sqref>AO2:AO5002</xm:sqref>
        </x14:dataValidation>
        <x14:dataValidation type="list" allowBlank="1" xr:uid="{00000000-0002-0000-0900-000025000000}">
          <x14:formula1>
            <xm:f>DropDownMenu!$AM$2:$AM$5</xm:f>
          </x14:formula1>
          <xm:sqref>CS2:CS5002</xm:sqref>
        </x14:dataValidation>
        <x14:dataValidation type="list" allowBlank="1" xr:uid="{00000000-0002-0000-0900-000026000000}">
          <x14:formula1>
            <xm:f>DropDownMenu!$AN$2:$AN$13</xm:f>
          </x14:formula1>
          <xm:sqref>AR2:AR5002</xm:sqref>
        </x14:dataValidation>
        <x14:dataValidation type="list" allowBlank="1" xr:uid="{00000000-0002-0000-0900-000027000000}">
          <x14:formula1>
            <xm:f>DropDownMenu!$AO$2:$AO$40</xm:f>
          </x14:formula1>
          <xm:sqref>AS2:AS5002</xm:sqref>
        </x14:dataValidation>
        <x14:dataValidation type="list" allowBlank="1" xr:uid="{00000000-0002-0000-0900-000028000000}">
          <x14:formula1>
            <xm:f>DropDownMenu!$AP$2:$AP$274</xm:f>
          </x14:formula1>
          <xm:sqref>AT2:AT5002</xm:sqref>
        </x14:dataValidation>
        <x14:dataValidation type="list" allowBlank="1" xr:uid="{00000000-0002-0000-0900-000029000000}">
          <x14:formula1>
            <xm:f>DropDownMenu!$AQ$2:$AQ$9</xm:f>
          </x14:formula1>
          <xm:sqref>BB2:BB5002</xm:sqref>
        </x14:dataValidation>
        <x14:dataValidation type="list" allowBlank="1" xr:uid="{00000000-0002-0000-0900-00002A000000}">
          <x14:formula1>
            <xm:f>DropDownMenu!$AR$2:$AR$11</xm:f>
          </x14:formula1>
          <xm:sqref>BC2:BC5002</xm:sqref>
        </x14:dataValidation>
        <x14:dataValidation type="list" allowBlank="1" xr:uid="{00000000-0002-0000-0900-00002B000000}">
          <x14:formula1>
            <xm:f>DropDownMenu!$AS$2:$AS$3</xm:f>
          </x14:formula1>
          <xm:sqref>BD2:BD5002</xm:sqref>
        </x14:dataValidation>
        <x14:dataValidation type="list" allowBlank="1" xr:uid="{00000000-0002-0000-0900-00002C000000}">
          <x14:formula1>
            <xm:f>DropDownMenu!$AT$2:$AT$4</xm:f>
          </x14:formula1>
          <xm:sqref>BE2:BE5002</xm:sqref>
        </x14:dataValidation>
        <x14:dataValidation type="list" allowBlank="1" xr:uid="{00000000-0002-0000-0900-00002D000000}">
          <x14:formula1>
            <xm:f>DropDownMenu!$AU$2:$AU$2</xm:f>
          </x14:formula1>
          <xm:sqref>BG2:BG5002</xm:sqref>
        </x14:dataValidation>
        <x14:dataValidation type="list" allowBlank="1" xr:uid="{00000000-0002-0000-0900-00002E000000}">
          <x14:formula1>
            <xm:f>DropDownMenu!$AV$2:$AV$9</xm:f>
          </x14:formula1>
          <xm:sqref>BH2:BH5002</xm:sqref>
        </x14:dataValidation>
        <x14:dataValidation type="list" allowBlank="1" xr:uid="{00000000-0002-0000-0900-00002F000000}">
          <x14:formula1>
            <xm:f>DropDownMenu!$AW$2:$AW$81</xm:f>
          </x14:formula1>
          <xm:sqref>BI2:BI5002</xm:sqref>
        </x14:dataValidation>
        <x14:dataValidation type="list" allowBlank="1" xr:uid="{00000000-0002-0000-0900-000030000000}">
          <x14:formula1>
            <xm:f>DropDownMenu!$AX$2:$AX$3</xm:f>
          </x14:formula1>
          <xm:sqref>BJ2:BJ5002</xm:sqref>
        </x14:dataValidation>
        <x14:dataValidation type="list" allowBlank="1" xr:uid="{00000000-0002-0000-0900-000031000000}">
          <x14:formula1>
            <xm:f>DropDownMenu!$AY$2:$AY$7</xm:f>
          </x14:formula1>
          <xm:sqref>BK2:BK5002</xm:sqref>
        </x14:dataValidation>
        <x14:dataValidation type="list" allowBlank="1" xr:uid="{00000000-0002-0000-0900-000032000000}">
          <x14:formula1>
            <xm:f>DropDownMenu!$AZ$2:$AZ$9</xm:f>
          </x14:formula1>
          <xm:sqref>BL2:BL5002</xm:sqref>
        </x14:dataValidation>
        <x14:dataValidation type="list" allowBlank="1" xr:uid="{00000000-0002-0000-0900-000033000000}">
          <x14:formula1>
            <xm:f>DropDownMenu!$BA$2:$BA$9</xm:f>
          </x14:formula1>
          <xm:sqref>BM2:BM5002</xm:sqref>
        </x14:dataValidation>
        <x14:dataValidation type="list" allowBlank="1" xr:uid="{00000000-0002-0000-0900-000034000000}">
          <x14:formula1>
            <xm:f>DropDownMenu!$BB$2:$BB$3</xm:f>
          </x14:formula1>
          <xm:sqref>BN2:BN5002</xm:sqref>
        </x14:dataValidation>
        <x14:dataValidation type="list" allowBlank="1" xr:uid="{00000000-0002-0000-0900-000035000000}">
          <x14:formula1>
            <xm:f>DropDownMenu!$BC$2:$BC$2</xm:f>
          </x14:formula1>
          <xm:sqref>BO2:BO5002</xm:sqref>
        </x14:dataValidation>
        <x14:dataValidation type="list" allowBlank="1" xr:uid="{00000000-0002-0000-0900-000036000000}">
          <x14:formula1>
            <xm:f>DropDownMenu!$BD$2:$BD$29</xm:f>
          </x14:formula1>
          <xm:sqref>BQ2:BQ5002</xm:sqref>
        </x14:dataValidation>
        <x14:dataValidation type="list" allowBlank="1" xr:uid="{00000000-0002-0000-0900-000037000000}">
          <x14:formula1>
            <xm:f>DropDownMenu!$BE$2:$BE$2</xm:f>
          </x14:formula1>
          <xm:sqref>BT2:BT5002</xm:sqref>
        </x14:dataValidation>
        <x14:dataValidation type="list" allowBlank="1" xr:uid="{00000000-0002-0000-0900-000038000000}">
          <x14:formula1>
            <xm:f>DropDownMenu!$BF$2:$BF$33</xm:f>
          </x14:formula1>
          <xm:sqref>BU2:BU5002</xm:sqref>
        </x14:dataValidation>
        <x14:dataValidation type="list" allowBlank="1" xr:uid="{00000000-0002-0000-0900-000039000000}">
          <x14:formula1>
            <xm:f>DropDownMenu!$BG$2:$BG$2</xm:f>
          </x14:formula1>
          <xm:sqref>BV2:BV5002</xm:sqref>
        </x14:dataValidation>
        <x14:dataValidation type="list" allowBlank="1" xr:uid="{00000000-0002-0000-0900-00003A000000}">
          <x14:formula1>
            <xm:f>DropDownMenu!$BH$2:$BH$4</xm:f>
          </x14:formula1>
          <xm:sqref>AW2:AW5002</xm:sqref>
        </x14:dataValidation>
        <x14:dataValidation type="list" allowBlank="1" xr:uid="{00000000-0002-0000-0900-00003B000000}">
          <x14:formula1>
            <xm:f>DropDownMenu!$BI$2:$BI$2</xm:f>
          </x14:formula1>
          <xm:sqref>BW2:BW5002</xm:sqref>
        </x14:dataValidation>
        <x14:dataValidation type="list" allowBlank="1" xr:uid="{00000000-0002-0000-0900-00003C000000}">
          <x14:formula1>
            <xm:f>DropDownMenu!$BJ$2:$BJ$2</xm:f>
          </x14:formula1>
          <xm:sqref>BX2:BX5002</xm:sqref>
        </x14:dataValidation>
        <x14:dataValidation type="list" allowBlank="1" xr:uid="{00000000-0002-0000-0900-00003D000000}">
          <x14:formula1>
            <xm:f>DropDownMenu!$BK$2:$BK$2</xm:f>
          </x14:formula1>
          <xm:sqref>BY2:BY5002</xm:sqref>
        </x14:dataValidation>
        <x14:dataValidation type="list" allowBlank="1" xr:uid="{00000000-0002-0000-0900-00003F000000}">
          <x14:formula1>
            <xm:f>DropDownMenu!$BM$2:$BM$8</xm:f>
          </x14:formula1>
          <xm:sqref>CA2:CA5002</xm:sqref>
        </x14:dataValidation>
        <x14:dataValidation type="list" allowBlank="1" xr:uid="{00000000-0002-0000-0900-000040000000}">
          <x14:formula1>
            <xm:f>DropDownMenu!$BN$2:$BN$8</xm:f>
          </x14:formula1>
          <xm:sqref>CB2:CB5002</xm:sqref>
        </x14:dataValidation>
        <x14:dataValidation type="list" allowBlank="1" xr:uid="{00000000-0002-0000-0900-000041000000}">
          <x14:formula1>
            <xm:f>DropDownMenu!$BO$2:$BO$6</xm:f>
          </x14:formula1>
          <xm:sqref>CC2:CC5002</xm:sqref>
        </x14:dataValidation>
        <x14:dataValidation type="list" allowBlank="1" xr:uid="{00000000-0002-0000-0900-000042000000}">
          <x14:formula1>
            <xm:f>DropDownMenu!$BP$2:$BP$2</xm:f>
          </x14:formula1>
          <xm:sqref>CD2:CD5002</xm:sqref>
        </x14:dataValidation>
        <x14:dataValidation type="list" allowBlank="1" xr:uid="{00000000-0002-0000-0900-000043000000}">
          <x14:formula1>
            <xm:f>DropDownMenu!$BQ$2:$BQ$2</xm:f>
          </x14:formula1>
          <xm:sqref>CE2:CE5002</xm:sqref>
        </x14:dataValidation>
        <x14:dataValidation type="list" allowBlank="1" xr:uid="{00000000-0002-0000-0900-000044000000}">
          <x14:formula1>
            <xm:f>DropDownMenu!$BR$2:$BR$2</xm:f>
          </x14:formula1>
          <xm:sqref>CF2:CF5002</xm:sqref>
        </x14:dataValidation>
        <x14:dataValidation type="list" allowBlank="1" xr:uid="{00000000-0002-0000-0900-000045000000}">
          <x14:formula1>
            <xm:f>DropDownMenu!$BS$2:$BS$2</xm:f>
          </x14:formula1>
          <xm:sqref>CG2:CG5002</xm:sqref>
        </x14:dataValidation>
        <x14:dataValidation type="list" allowBlank="1" xr:uid="{00000000-0002-0000-0900-000046000000}">
          <x14:formula1>
            <xm:f>DropDownMenu!$BT$2:$BT$2</xm:f>
          </x14:formula1>
          <xm:sqref>CH2:CH5002</xm:sqref>
        </x14:dataValidation>
        <x14:dataValidation type="list" allowBlank="1" xr:uid="{00000000-0002-0000-0900-000047000000}">
          <x14:formula1>
            <xm:f>DropDownMenu!$BU$2:$BU$2</xm:f>
          </x14:formula1>
          <xm:sqref>CN2:CN5002</xm:sqref>
        </x14:dataValidation>
        <x14:dataValidation type="list" allowBlank="1" xr:uid="{00000000-0002-0000-0900-000048000000}">
          <x14:formula1>
            <xm:f>DropDownMenu!$BV$2:$BV$2</xm:f>
          </x14:formula1>
          <xm:sqref>CO2:CO5002</xm:sqref>
        </x14:dataValidation>
        <x14:dataValidation type="list" allowBlank="1" xr:uid="{00000000-0002-0000-0900-000049000000}">
          <x14:formula1>
            <xm:f>DropDownMenu!$BW$2:$BW$2</xm:f>
          </x14:formula1>
          <xm:sqref>CQ2:CQ5002</xm:sqref>
        </x14:dataValidation>
        <x14:dataValidation type="list" allowBlank="1" xr:uid="{00000000-0002-0000-0900-00004A000000}">
          <x14:formula1>
            <xm:f>DropDownMenu!$BX$2:$BX$2</xm:f>
          </x14:formula1>
          <xm:sqref>CT2:CT5002</xm:sqref>
        </x14:dataValidation>
        <x14:dataValidation type="list" allowBlank="1" xr:uid="{00000000-0002-0000-0900-00004B000000}">
          <x14:formula1>
            <xm:f>DropDownMenu!$BY$2:$BY$77</xm:f>
          </x14:formula1>
          <xm:sqref>AU2:AU5002</xm:sqref>
        </x14:dataValidation>
        <x14:dataValidation type="list" allowBlank="1" xr:uid="{00000000-0002-0000-0900-00004C000000}">
          <x14:formula1>
            <xm:f>DropDownMenu!$BZ$2:$BZ$3</xm:f>
          </x14:formula1>
          <xm:sqref>CV2:CV5002</xm:sqref>
        </x14:dataValidation>
        <x14:dataValidation type="list" allowBlank="1" xr:uid="{00000000-0002-0000-0900-00004D000000}">
          <x14:formula1>
            <xm:f>DropDownMenu!$CA$2:$CA$77</xm:f>
          </x14:formula1>
          <xm:sqref>AV2:AV5002</xm:sqref>
        </x14:dataValidation>
        <x14:dataValidation type="list" allowBlank="1" xr:uid="{00000000-0002-0000-0900-00004E000000}">
          <x14:formula1>
            <xm:f>DropDownMenu!$CB$2:$CB$3</xm:f>
          </x14:formula1>
          <xm:sqref>AX2:AX5002</xm:sqref>
        </x14:dataValidation>
        <x14:dataValidation type="list" allowBlank="1" xr:uid="{00000000-0002-0000-0900-00004F000000}">
          <x14:formula1>
            <xm:f>DropDownMenu!$CC$2:$CC$3</xm:f>
          </x14:formula1>
          <xm:sqref>AY2:AY5002</xm:sqref>
        </x14:dataValidation>
        <x14:dataValidation type="list" allowBlank="1" xr:uid="{00000000-0002-0000-0900-000050000000}">
          <x14:formula1>
            <xm:f>DropDownMenu!$CD$2:$CD$10</xm:f>
          </x14:formula1>
          <xm:sqref>BA2:BA5002</xm:sqref>
        </x14:dataValidation>
        <x14:dataValidation type="list" allowBlank="1" showInputMessage="1" showErrorMessage="1" xr:uid="{00000000-0002-0000-0900-000057000000}">
          <x14:formula1>
            <xm:f>DropDownMenu!$H$2:$H$564</xm:f>
          </x14:formula1>
          <xm:sqref>H2:H5002</xm:sqref>
        </x14:dataValidation>
        <x14:dataValidation type="list" allowBlank="1" showInputMessage="1" showErrorMessage="1" xr:uid="{00000000-0002-0000-0900-000058000000}">
          <x14:formula1>
            <xm:f>DropDownMenu!$I$2:$I$352</xm:f>
          </x14:formula1>
          <xm:sqref>I2:I5002</xm:sqref>
        </x14:dataValidation>
        <x14:dataValidation type="list" allowBlank="1" showInputMessage="1" showErrorMessage="1" xr:uid="{00000000-0002-0000-0900-000059000000}">
          <x14:formula1>
            <xm:f>DropDownMenu!$J$2:$J$10</xm:f>
          </x14:formula1>
          <xm:sqref>J2:J5002</xm:sqref>
        </x14:dataValidation>
        <x14:dataValidation type="list" allowBlank="1" showInputMessage="1" showErrorMessage="1" xr:uid="{00000000-0002-0000-0900-00005A000000}">
          <x14:formula1>
            <xm:f>DropDownMenu!$K$2:$K$101</xm:f>
          </x14:formula1>
          <xm:sqref>K2:K5002</xm:sqref>
        </x14:dataValidation>
        <x14:dataValidation type="list" allowBlank="1" showInputMessage="1" showErrorMessage="1" xr:uid="{00000000-0002-0000-0900-00005B000000}">
          <x14:formula1>
            <xm:f>DropDownMenu!$L$2:$L$42</xm:f>
          </x14:formula1>
          <xm:sqref>L2:L5002</xm:sqref>
        </x14:dataValidation>
        <x14:dataValidation type="list" allowBlank="1" showInputMessage="1" showErrorMessage="1" xr:uid="{00000000-0002-0000-0900-00005C000000}">
          <x14:formula1>
            <xm:f>DropDownMenu!$M$2:$M$16</xm:f>
          </x14:formula1>
          <xm:sqref>M2:M5002</xm:sqref>
        </x14:dataValidation>
        <x14:dataValidation type="list" allowBlank="1" showInputMessage="1" showErrorMessage="1" xr:uid="{00000000-0002-0000-0900-00005D000000}">
          <x14:formula1>
            <xm:f>DropDownMenu!$N$2:$N$140</xm:f>
          </x14:formula1>
          <xm:sqref>N2:N5002</xm:sqref>
        </x14:dataValidation>
        <x14:dataValidation type="list" allowBlank="1" showInputMessage="1" showErrorMessage="1" xr:uid="{00000000-0002-0000-0900-00005E000000}">
          <x14:formula1>
            <xm:f>DropDownMenu!$O$2:$O$65</xm:f>
          </x14:formula1>
          <xm:sqref>O2:O5002</xm:sqref>
        </x14:dataValidation>
        <x14:dataValidation type="list" allowBlank="1" showInputMessage="1" showErrorMessage="1" xr:uid="{00000000-0002-0000-0900-00005F000000}">
          <x14:formula1>
            <xm:f>DropDownMenu!$P$2:$P$45</xm:f>
          </x14:formula1>
          <xm:sqref>Q2:Q5002</xm:sqref>
        </x14:dataValidation>
        <x14:dataValidation type="list" allowBlank="1" showInputMessage="1" showErrorMessage="1" xr:uid="{00000000-0002-0000-0900-000060000000}">
          <x14:formula1>
            <xm:f>DropDownMenu!$Q$2:$Q$5</xm:f>
          </x14:formula1>
          <xm:sqref>R2:R5002</xm:sqref>
        </x14:dataValidation>
        <x14:dataValidation type="list" allowBlank="1" showInputMessage="1" showErrorMessage="1" xr:uid="{00000000-0002-0000-0900-000061000000}">
          <x14:formula1>
            <xm:f>DropDownMenu!$R$2:$R$7</xm:f>
          </x14:formula1>
          <xm:sqref>S2:S5002</xm:sqref>
        </x14:dataValidation>
        <x14:dataValidation type="list" allowBlank="1" showInputMessage="1" showErrorMessage="1" xr:uid="{00000000-0002-0000-0900-000062000000}">
          <x14:formula1>
            <xm:f>DropDownMenu!$S$2:$S$11</xm:f>
          </x14:formula1>
          <xm:sqref>T2:T5002</xm:sqref>
        </x14:dataValidation>
        <x14:dataValidation type="list" allowBlank="1" showInputMessage="1" showErrorMessage="1" xr:uid="{00000000-0002-0000-0900-000063000000}">
          <x14:formula1>
            <xm:f>DropDownMenu!$T$2:$T$13</xm:f>
          </x14:formula1>
          <xm:sqref>U2:U5002</xm:sqref>
        </x14:dataValidation>
        <x14:dataValidation type="list" allowBlank="1" showInputMessage="1" showErrorMessage="1" xr:uid="{00000000-0002-0000-0900-000064000000}">
          <x14:formula1>
            <xm:f>DropDownMenu!$U$2:$U$5</xm:f>
          </x14:formula1>
          <xm:sqref>CR2:CR5002</xm:sqref>
        </x14:dataValidation>
        <x14:dataValidation type="list" allowBlank="1" showInputMessage="1" showErrorMessage="1" xr:uid="{00000000-0002-0000-0900-000065000000}">
          <x14:formula1>
            <xm:f>DropDownMenu!$V$2:$V$4</xm:f>
          </x14:formula1>
          <xm:sqref>V2:V5002</xm:sqref>
        </x14:dataValidation>
        <x14:dataValidation type="list" allowBlank="1" showInputMessage="1" showErrorMessage="1" xr:uid="{00000000-0002-0000-0900-000066000000}">
          <x14:formula1>
            <xm:f>DropDownMenu!$W$2:$W$6</xm:f>
          </x14:formula1>
          <xm:sqref>CU2:CU5002</xm:sqref>
        </x14:dataValidation>
        <x14:dataValidation type="list" allowBlank="1" showInputMessage="1" showErrorMessage="1" xr:uid="{00000000-0002-0000-0900-000067000000}">
          <x14:formula1>
            <xm:f>DropDownMenu!$X$2:$X$26</xm:f>
          </x14:formula1>
          <xm:sqref>W2:W5002</xm:sqref>
        </x14:dataValidation>
        <x14:dataValidation type="list" allowBlank="1" showInputMessage="1" showErrorMessage="1" xr:uid="{00000000-0002-0000-0900-000068000000}">
          <x14:formula1>
            <xm:f>DropDownMenu!$Y$2:$Y$7</xm:f>
          </x14:formula1>
          <xm:sqref>X2:X5002</xm:sqref>
        </x14:dataValidation>
        <x14:dataValidation type="list" allowBlank="1" showInputMessage="1" showErrorMessage="1" xr:uid="{00000000-0002-0000-0900-000069000000}">
          <x14:formula1>
            <xm:f>DropDownMenu!$Z$2:$Z$15</xm:f>
          </x14:formula1>
          <xm:sqref>Y2:Y5002</xm:sqref>
        </x14:dataValidation>
        <x14:dataValidation type="list" allowBlank="1" showInputMessage="1" showErrorMessage="1" xr:uid="{00000000-0002-0000-0900-00006A000000}">
          <x14:formula1>
            <xm:f>DropDownMenu!$AA$2:$AA$6</xm:f>
          </x14:formula1>
          <xm:sqref>Z2:Z5002</xm:sqref>
        </x14:dataValidation>
        <x14:dataValidation type="list" allowBlank="1" showInputMessage="1" showErrorMessage="1" xr:uid="{00000000-0002-0000-0900-00006E000000}">
          <x14:formula1>
            <xm:f>DropDownMenu!$AE$2:$AE$9</xm:f>
          </x14:formula1>
          <xm:sqref>AH2:AH5002</xm:sqref>
        </x14:dataValidation>
        <x14:dataValidation type="list" allowBlank="1" showInputMessage="1" showErrorMessage="1" xr:uid="{00000000-0002-0000-0900-00006F000000}">
          <x14:formula1>
            <xm:f>DropDownMenu!$AF$2:$AF$6</xm:f>
          </x14:formula1>
          <xm:sqref>AI2:AI5002</xm:sqref>
        </x14:dataValidation>
        <x14:dataValidation type="list" allowBlank="1" showInputMessage="1" showErrorMessage="1" xr:uid="{00000000-0002-0000-0900-000070000000}">
          <x14:formula1>
            <xm:f>DropDownMenu!$AG$2:$AG$11</xm:f>
          </x14:formula1>
          <xm:sqref>AJ2:AJ5002</xm:sqref>
        </x14:dataValidation>
        <x14:dataValidation type="list" allowBlank="1" showInputMessage="1" showErrorMessage="1" xr:uid="{00000000-0002-0000-0900-000071000000}">
          <x14:formula1>
            <xm:f>DropDownMenu!$AH$2:$AH$2</xm:f>
          </x14:formula1>
          <xm:sqref>AK2:AK5002</xm:sqref>
        </x14:dataValidation>
        <x14:dataValidation type="list" allowBlank="1" showInputMessage="1" showErrorMessage="1" xr:uid="{00000000-0002-0000-0900-000072000000}">
          <x14:formula1>
            <xm:f>DropDownMenu!$AI$2:$AI$2</xm:f>
          </x14:formula1>
          <xm:sqref>AL2:AL5002</xm:sqref>
        </x14:dataValidation>
        <x14:dataValidation type="list" allowBlank="1" showInputMessage="1" showErrorMessage="1" xr:uid="{00000000-0002-0000-0900-000073000000}">
          <x14:formula1>
            <xm:f>DropDownMenu!$AJ$2:$AJ$2</xm:f>
          </x14:formula1>
          <xm:sqref>AM2:AM5002</xm:sqref>
        </x14:dataValidation>
        <x14:dataValidation type="list" allowBlank="1" showInputMessage="1" showErrorMessage="1" xr:uid="{00000000-0002-0000-0900-000074000000}">
          <x14:formula1>
            <xm:f>DropDownMenu!$AK$2:$AK$2</xm:f>
          </x14:formula1>
          <xm:sqref>AN2:AN5002</xm:sqref>
        </x14:dataValidation>
        <x14:dataValidation type="list" allowBlank="1" showInputMessage="1" showErrorMessage="1" xr:uid="{00000000-0002-0000-0900-000075000000}">
          <x14:formula1>
            <xm:f>DropDownMenu!$AL$2:$AL$2</xm:f>
          </x14:formula1>
          <xm:sqref>AO2:AO5002</xm:sqref>
        </x14:dataValidation>
        <x14:dataValidation type="list" allowBlank="1" showInputMessage="1" showErrorMessage="1" xr:uid="{00000000-0002-0000-0900-000076000000}">
          <x14:formula1>
            <xm:f>DropDownMenu!$AM$2:$AM$5</xm:f>
          </x14:formula1>
          <xm:sqref>CS2:CS5002</xm:sqref>
        </x14:dataValidation>
        <x14:dataValidation type="list" allowBlank="1" showInputMessage="1" showErrorMessage="1" xr:uid="{00000000-0002-0000-0900-000077000000}">
          <x14:formula1>
            <xm:f>DropDownMenu!$AN$2:$AN$13</xm:f>
          </x14:formula1>
          <xm:sqref>AR2:AR5002</xm:sqref>
        </x14:dataValidation>
        <x14:dataValidation type="list" allowBlank="1" showInputMessage="1" showErrorMessage="1" xr:uid="{00000000-0002-0000-0900-000078000000}">
          <x14:formula1>
            <xm:f>DropDownMenu!$AO$2:$AO$40</xm:f>
          </x14:formula1>
          <xm:sqref>AS2:AS5002</xm:sqref>
        </x14:dataValidation>
        <x14:dataValidation type="list" allowBlank="1" showInputMessage="1" showErrorMessage="1" xr:uid="{00000000-0002-0000-0900-000079000000}">
          <x14:formula1>
            <xm:f>DropDownMenu!$AP$2:$AP$274</xm:f>
          </x14:formula1>
          <xm:sqref>AT2:AT5002</xm:sqref>
        </x14:dataValidation>
        <x14:dataValidation type="list" allowBlank="1" showInputMessage="1" showErrorMessage="1" xr:uid="{00000000-0002-0000-0900-00007A000000}">
          <x14:formula1>
            <xm:f>DropDownMenu!$AQ$2:$AQ$9</xm:f>
          </x14:formula1>
          <xm:sqref>BB2:BB5002</xm:sqref>
        </x14:dataValidation>
        <x14:dataValidation type="list" allowBlank="1" showInputMessage="1" showErrorMessage="1" xr:uid="{00000000-0002-0000-0900-00007B000000}">
          <x14:formula1>
            <xm:f>DropDownMenu!$AR$2:$AR$11</xm:f>
          </x14:formula1>
          <xm:sqref>BC2:BC5002</xm:sqref>
        </x14:dataValidation>
        <x14:dataValidation type="list" allowBlank="1" showInputMessage="1" showErrorMessage="1" xr:uid="{00000000-0002-0000-0900-00007C000000}">
          <x14:formula1>
            <xm:f>DropDownMenu!$AS$2:$AS$3</xm:f>
          </x14:formula1>
          <xm:sqref>BD2:BD5002</xm:sqref>
        </x14:dataValidation>
        <x14:dataValidation type="list" allowBlank="1" showInputMessage="1" showErrorMessage="1" xr:uid="{00000000-0002-0000-0900-00007D000000}">
          <x14:formula1>
            <xm:f>DropDownMenu!$AT$2:$AT$4</xm:f>
          </x14:formula1>
          <xm:sqref>BE2:BE5002</xm:sqref>
        </x14:dataValidation>
        <x14:dataValidation type="list" allowBlank="1" showInputMessage="1" showErrorMessage="1" xr:uid="{00000000-0002-0000-0900-00007E000000}">
          <x14:formula1>
            <xm:f>DropDownMenu!$AU$2:$AU$2</xm:f>
          </x14:formula1>
          <xm:sqref>BG2:BG5002</xm:sqref>
        </x14:dataValidation>
        <x14:dataValidation type="list" allowBlank="1" showInputMessage="1" showErrorMessage="1" xr:uid="{00000000-0002-0000-0900-00007F000000}">
          <x14:formula1>
            <xm:f>DropDownMenu!$AV$2:$AV$9</xm:f>
          </x14:formula1>
          <xm:sqref>BH2:BH5002</xm:sqref>
        </x14:dataValidation>
        <x14:dataValidation type="list" allowBlank="1" showInputMessage="1" showErrorMessage="1" xr:uid="{00000000-0002-0000-0900-000080000000}">
          <x14:formula1>
            <xm:f>DropDownMenu!$AW$2:$AW$81</xm:f>
          </x14:formula1>
          <xm:sqref>BI2:BI5002</xm:sqref>
        </x14:dataValidation>
        <x14:dataValidation type="list" allowBlank="1" showInputMessage="1" showErrorMessage="1" xr:uid="{00000000-0002-0000-0900-000081000000}">
          <x14:formula1>
            <xm:f>DropDownMenu!$AX$2:$AX$3</xm:f>
          </x14:formula1>
          <xm:sqref>BJ2:BJ5002</xm:sqref>
        </x14:dataValidation>
        <x14:dataValidation type="list" allowBlank="1" showInputMessage="1" showErrorMessage="1" xr:uid="{00000000-0002-0000-0900-000082000000}">
          <x14:formula1>
            <xm:f>DropDownMenu!$AY$2:$AY$7</xm:f>
          </x14:formula1>
          <xm:sqref>BK2:BK5002</xm:sqref>
        </x14:dataValidation>
        <x14:dataValidation type="list" allowBlank="1" showInputMessage="1" showErrorMessage="1" xr:uid="{00000000-0002-0000-0900-000083000000}">
          <x14:formula1>
            <xm:f>DropDownMenu!$AZ$2:$AZ$9</xm:f>
          </x14:formula1>
          <xm:sqref>BL2:BL5002</xm:sqref>
        </x14:dataValidation>
        <x14:dataValidation type="list" allowBlank="1" showInputMessage="1" showErrorMessage="1" xr:uid="{00000000-0002-0000-0900-000084000000}">
          <x14:formula1>
            <xm:f>DropDownMenu!$BA$2:$BA$9</xm:f>
          </x14:formula1>
          <xm:sqref>BM2:BM5002</xm:sqref>
        </x14:dataValidation>
        <x14:dataValidation type="list" allowBlank="1" showInputMessage="1" showErrorMessage="1" xr:uid="{00000000-0002-0000-0900-000085000000}">
          <x14:formula1>
            <xm:f>DropDownMenu!$BB$2:$BB$3</xm:f>
          </x14:formula1>
          <xm:sqref>BN2:BN5002</xm:sqref>
        </x14:dataValidation>
        <x14:dataValidation type="list" allowBlank="1" showInputMessage="1" showErrorMessage="1" xr:uid="{00000000-0002-0000-0900-000086000000}">
          <x14:formula1>
            <xm:f>DropDownMenu!$BC$2:$BC$2</xm:f>
          </x14:formula1>
          <xm:sqref>BO2:BO5002</xm:sqref>
        </x14:dataValidation>
        <x14:dataValidation type="list" allowBlank="1" showInputMessage="1" showErrorMessage="1" xr:uid="{00000000-0002-0000-0900-000087000000}">
          <x14:formula1>
            <xm:f>DropDownMenu!$BD$2:$BD$29</xm:f>
          </x14:formula1>
          <xm:sqref>BQ2:BQ5002</xm:sqref>
        </x14:dataValidation>
        <x14:dataValidation type="list" allowBlank="1" showInputMessage="1" showErrorMessage="1" xr:uid="{00000000-0002-0000-0900-000088000000}">
          <x14:formula1>
            <xm:f>DropDownMenu!$BE$2:$BE$2</xm:f>
          </x14:formula1>
          <xm:sqref>BT2:BT5002</xm:sqref>
        </x14:dataValidation>
        <x14:dataValidation type="list" allowBlank="1" showInputMessage="1" showErrorMessage="1" xr:uid="{00000000-0002-0000-0900-000089000000}">
          <x14:formula1>
            <xm:f>DropDownMenu!$BF$2:$BF$33</xm:f>
          </x14:formula1>
          <xm:sqref>BU2:BU5002</xm:sqref>
        </x14:dataValidation>
        <x14:dataValidation type="list" allowBlank="1" showInputMessage="1" showErrorMessage="1" xr:uid="{00000000-0002-0000-0900-00008A000000}">
          <x14:formula1>
            <xm:f>DropDownMenu!$BG$2:$BG$2</xm:f>
          </x14:formula1>
          <xm:sqref>BV2:BV5002</xm:sqref>
        </x14:dataValidation>
        <x14:dataValidation type="list" allowBlank="1" showInputMessage="1" showErrorMessage="1" xr:uid="{00000000-0002-0000-0900-00008B000000}">
          <x14:formula1>
            <xm:f>DropDownMenu!$BH$2:$BH$4</xm:f>
          </x14:formula1>
          <xm:sqref>AW2:AW5002</xm:sqref>
        </x14:dataValidation>
        <x14:dataValidation type="list" allowBlank="1" showInputMessage="1" showErrorMessage="1" xr:uid="{00000000-0002-0000-0900-00008C000000}">
          <x14:formula1>
            <xm:f>DropDownMenu!$BI$2:$BI$2</xm:f>
          </x14:formula1>
          <xm:sqref>BW2:BW5002</xm:sqref>
        </x14:dataValidation>
        <x14:dataValidation type="list" allowBlank="1" showInputMessage="1" showErrorMessage="1" xr:uid="{00000000-0002-0000-0900-00008D000000}">
          <x14:formula1>
            <xm:f>DropDownMenu!$BJ$2:$BJ$2</xm:f>
          </x14:formula1>
          <xm:sqref>BX2:BX5002</xm:sqref>
        </x14:dataValidation>
        <x14:dataValidation type="list" allowBlank="1" showInputMessage="1" showErrorMessage="1" xr:uid="{00000000-0002-0000-0900-00008E000000}">
          <x14:formula1>
            <xm:f>DropDownMenu!$BK$2:$BK$2</xm:f>
          </x14:formula1>
          <xm:sqref>BY2:BY5002</xm:sqref>
        </x14:dataValidation>
        <x14:dataValidation type="list" allowBlank="1" showInputMessage="1" showErrorMessage="1" xr:uid="{00000000-0002-0000-0900-000090000000}">
          <x14:formula1>
            <xm:f>DropDownMenu!$BM$2:$BM$8</xm:f>
          </x14:formula1>
          <xm:sqref>CA2:CA5002</xm:sqref>
        </x14:dataValidation>
        <x14:dataValidation type="list" allowBlank="1" showInputMessage="1" showErrorMessage="1" xr:uid="{00000000-0002-0000-0900-000091000000}">
          <x14:formula1>
            <xm:f>DropDownMenu!$BN$2:$BN$8</xm:f>
          </x14:formula1>
          <xm:sqref>CB2:CB5002</xm:sqref>
        </x14:dataValidation>
        <x14:dataValidation type="list" allowBlank="1" showInputMessage="1" showErrorMessage="1" xr:uid="{00000000-0002-0000-0900-000092000000}">
          <x14:formula1>
            <xm:f>DropDownMenu!$BO$2:$BO$6</xm:f>
          </x14:formula1>
          <xm:sqref>CC2:CC5002</xm:sqref>
        </x14:dataValidation>
        <x14:dataValidation type="list" allowBlank="1" showInputMessage="1" showErrorMessage="1" xr:uid="{00000000-0002-0000-0900-000093000000}">
          <x14:formula1>
            <xm:f>DropDownMenu!$BP$2:$BP$2</xm:f>
          </x14:formula1>
          <xm:sqref>CD2:CD5002</xm:sqref>
        </x14:dataValidation>
        <x14:dataValidation type="list" allowBlank="1" showInputMessage="1" showErrorMessage="1" xr:uid="{00000000-0002-0000-0900-000094000000}">
          <x14:formula1>
            <xm:f>DropDownMenu!$BQ$2:$BQ$2</xm:f>
          </x14:formula1>
          <xm:sqref>CE2:CE5002</xm:sqref>
        </x14:dataValidation>
        <x14:dataValidation type="list" allowBlank="1" showInputMessage="1" showErrorMessage="1" xr:uid="{00000000-0002-0000-0900-000095000000}">
          <x14:formula1>
            <xm:f>DropDownMenu!$BR$2:$BR$2</xm:f>
          </x14:formula1>
          <xm:sqref>CF2:CF5002</xm:sqref>
        </x14:dataValidation>
        <x14:dataValidation type="list" allowBlank="1" showInputMessage="1" showErrorMessage="1" xr:uid="{00000000-0002-0000-0900-000096000000}">
          <x14:formula1>
            <xm:f>DropDownMenu!$BS$2:$BS$2</xm:f>
          </x14:formula1>
          <xm:sqref>CG2:CG5002</xm:sqref>
        </x14:dataValidation>
        <x14:dataValidation type="list" allowBlank="1" showInputMessage="1" showErrorMessage="1" xr:uid="{00000000-0002-0000-0900-000097000000}">
          <x14:formula1>
            <xm:f>DropDownMenu!$BT$2:$BT$2</xm:f>
          </x14:formula1>
          <xm:sqref>CH2:CH5002</xm:sqref>
        </x14:dataValidation>
        <x14:dataValidation type="list" allowBlank="1" showInputMessage="1" showErrorMessage="1" xr:uid="{00000000-0002-0000-0900-000098000000}">
          <x14:formula1>
            <xm:f>DropDownMenu!$BU$2:$BU$2</xm:f>
          </x14:formula1>
          <xm:sqref>CN2:CN5002</xm:sqref>
        </x14:dataValidation>
        <x14:dataValidation type="list" allowBlank="1" showInputMessage="1" showErrorMessage="1" xr:uid="{00000000-0002-0000-0900-000099000000}">
          <x14:formula1>
            <xm:f>DropDownMenu!$BV$2:$BV$2</xm:f>
          </x14:formula1>
          <xm:sqref>CO2:CO5002</xm:sqref>
        </x14:dataValidation>
        <x14:dataValidation type="list" allowBlank="1" showInputMessage="1" showErrorMessage="1" xr:uid="{00000000-0002-0000-0900-00009A000000}">
          <x14:formula1>
            <xm:f>DropDownMenu!$BW$2:$BW$2</xm:f>
          </x14:formula1>
          <xm:sqref>CQ2:CQ5002</xm:sqref>
        </x14:dataValidation>
        <x14:dataValidation type="list" allowBlank="1" showInputMessage="1" showErrorMessage="1" xr:uid="{00000000-0002-0000-0900-00009B000000}">
          <x14:formula1>
            <xm:f>DropDownMenu!$BX$2:$BX$2</xm:f>
          </x14:formula1>
          <xm:sqref>CT2:CT5002</xm:sqref>
        </x14:dataValidation>
        <x14:dataValidation type="list" allowBlank="1" showInputMessage="1" showErrorMessage="1" xr:uid="{00000000-0002-0000-0900-00009C000000}">
          <x14:formula1>
            <xm:f>DropDownMenu!$BY$2:$BY$77</xm:f>
          </x14:formula1>
          <xm:sqref>AU2:AU5002</xm:sqref>
        </x14:dataValidation>
        <x14:dataValidation type="list" allowBlank="1" showInputMessage="1" showErrorMessage="1" xr:uid="{00000000-0002-0000-0900-00009D000000}">
          <x14:formula1>
            <xm:f>DropDownMenu!$BZ$2:$BZ$3</xm:f>
          </x14:formula1>
          <xm:sqref>CV2:CV5002</xm:sqref>
        </x14:dataValidation>
        <x14:dataValidation type="list" allowBlank="1" showInputMessage="1" showErrorMessage="1" xr:uid="{00000000-0002-0000-0900-00009E000000}">
          <x14:formula1>
            <xm:f>DropDownMenu!$CA$2:$CA$77</xm:f>
          </x14:formula1>
          <xm:sqref>AV2:AV5002</xm:sqref>
        </x14:dataValidation>
        <x14:dataValidation type="list" allowBlank="1" showInputMessage="1" showErrorMessage="1" xr:uid="{00000000-0002-0000-0900-00009F000000}">
          <x14:formula1>
            <xm:f>DropDownMenu!$CB$2:$CB$3</xm:f>
          </x14:formula1>
          <xm:sqref>AX2:AX5002</xm:sqref>
        </x14:dataValidation>
        <x14:dataValidation type="list" allowBlank="1" showInputMessage="1" showErrorMessage="1" xr:uid="{00000000-0002-0000-0900-0000A0000000}">
          <x14:formula1>
            <xm:f>DropDownMenu!$CC$2:$CC$3</xm:f>
          </x14:formula1>
          <xm:sqref>AY2:AY5002</xm:sqref>
        </x14:dataValidation>
        <x14:dataValidation type="list" allowBlank="1" showInputMessage="1" showErrorMessage="1" xr:uid="{00000000-0002-0000-0900-0000A1000000}">
          <x14:formula1>
            <xm:f>DropDownMenu!$CD$2:$CD$10</xm:f>
          </x14:formula1>
          <xm:sqref>BA2:BA5002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applyStyles="1" summaryRight="0"/>
  </sheetPr>
  <dimension ref="A1:CV46"/>
  <sheetViews>
    <sheetView workbookViewId="0">
      <pane xSplit="7" ySplit="1" topLeftCell="H2" activePane="bottomRight" state="frozen"/>
      <selection pane="topRight"/>
      <selection pane="bottomLeft"/>
      <selection pane="bottomRight" activeCell="AE31" sqref="AE31"/>
    </sheetView>
  </sheetViews>
  <sheetFormatPr baseColWidth="10" defaultColWidth="8.83203125" defaultRowHeight="15" outlineLevelCol="1" x14ac:dyDescent="0.2"/>
  <cols>
    <col min="1" max="6" width="4" customWidth="1"/>
    <col min="7" max="7" width="40" customWidth="1"/>
    <col min="8" max="8" width="9" customWidth="1"/>
    <col min="9" max="10" width="6" customWidth="1"/>
    <col min="11" max="12" width="5" customWidth="1"/>
    <col min="13" max="13" width="4" customWidth="1"/>
    <col min="14" max="14" width="29" customWidth="1"/>
    <col min="15" max="16" width="4" customWidth="1"/>
    <col min="17" max="22" width="4" customWidth="1" outlineLevel="1"/>
    <col min="23" max="23" width="4" customWidth="1"/>
    <col min="24" max="24" width="4" customWidth="1" outlineLevel="1"/>
    <col min="25" max="25" width="5" customWidth="1" outlineLevel="1"/>
    <col min="26" max="26" width="6" customWidth="1" outlineLevel="1"/>
    <col min="27" max="27" width="10" customWidth="1"/>
    <col min="28" max="34" width="10" customWidth="1" outlineLevel="1"/>
    <col min="35" max="35" width="4" customWidth="1"/>
    <col min="36" max="45" width="4" customWidth="1" outlineLevel="1"/>
    <col min="46" max="47" width="20" customWidth="1" outlineLevel="1"/>
    <col min="48" max="48" width="10" customWidth="1" outlineLevel="1"/>
    <col min="49" max="49" width="5" customWidth="1" outlineLevel="1"/>
    <col min="50" max="50" width="4" customWidth="1"/>
    <col min="51" max="52" width="4" customWidth="1" outlineLevel="1"/>
    <col min="53" max="53" width="20" customWidth="1" outlineLevel="1"/>
    <col min="54" max="54" width="4" customWidth="1"/>
    <col min="55" max="59" width="4" customWidth="1" outlineLevel="1"/>
    <col min="60" max="60" width="6" customWidth="1" outlineLevel="1"/>
    <col min="61" max="61" width="11" customWidth="1" outlineLevel="1"/>
    <col min="62" max="66" width="4" customWidth="1" outlineLevel="1"/>
    <col min="67" max="67" width="7" customWidth="1" outlineLevel="1"/>
    <col min="68" max="97" width="4" customWidth="1" outlineLevel="1"/>
    <col min="98" max="98" width="8" customWidth="1" outlineLevel="1"/>
    <col min="99" max="100" width="4" customWidth="1" outlineLevel="1"/>
  </cols>
  <sheetData>
    <row r="1" spans="1:100" ht="15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 t="s">
        <v>22</v>
      </c>
      <c r="X1" s="1" t="s">
        <v>23</v>
      </c>
      <c r="Y1" s="1" t="s">
        <v>24</v>
      </c>
      <c r="Z1" s="1" t="s">
        <v>25</v>
      </c>
      <c r="AA1" s="3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</row>
    <row r="2" spans="1:100" x14ac:dyDescent="0.2">
      <c r="A2" s="26" t="b">
        <v>0</v>
      </c>
      <c r="B2" s="26" t="b">
        <v>0</v>
      </c>
      <c r="C2" s="26" t="b">
        <v>0</v>
      </c>
      <c r="D2" s="26" t="b">
        <v>0</v>
      </c>
      <c r="E2" s="26" t="b">
        <v>0</v>
      </c>
      <c r="F2" s="26" t="b">
        <v>0</v>
      </c>
      <c r="G2" s="27"/>
      <c r="H2" s="4" t="s">
        <v>1567</v>
      </c>
      <c r="I2" s="4" t="s">
        <v>1568</v>
      </c>
      <c r="J2" s="4" t="s">
        <v>519</v>
      </c>
      <c r="K2" s="4" t="s">
        <v>1569</v>
      </c>
      <c r="L2" s="4" t="s">
        <v>216</v>
      </c>
      <c r="M2" s="4"/>
      <c r="N2" s="4" t="s">
        <v>1570</v>
      </c>
      <c r="O2" s="4"/>
      <c r="P2" s="4"/>
      <c r="Q2" s="4"/>
      <c r="R2" s="4" t="s">
        <v>129</v>
      </c>
      <c r="S2" s="4"/>
      <c r="T2" s="4"/>
      <c r="U2" s="4"/>
      <c r="V2" s="4"/>
      <c r="W2" s="4" t="s">
        <v>129</v>
      </c>
      <c r="X2" s="4"/>
      <c r="Y2" s="4" t="s">
        <v>148</v>
      </c>
      <c r="Z2" s="4" t="s">
        <v>142</v>
      </c>
      <c r="AA2" s="4" t="s">
        <v>115</v>
      </c>
      <c r="AB2" s="4"/>
      <c r="AC2" s="4"/>
      <c r="AD2" s="4" t="s">
        <v>115</v>
      </c>
      <c r="AE2" s="4" t="s">
        <v>116</v>
      </c>
      <c r="AF2" s="4"/>
      <c r="AG2" s="4"/>
      <c r="AH2" s="4" t="s">
        <v>116</v>
      </c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 t="s">
        <v>535</v>
      </c>
      <c r="AU2" s="5" t="str">
        <f>IF($AT2="","",IFERROR(INDEX(InstructorMap!$B:$B, MATCH($AT2, InstructorMap!$A:$A, 0)),""))</f>
        <v>hyveth@andrews.edu</v>
      </c>
      <c r="AV2" s="5" t="str">
        <f>IF($AT2="","",IFERROR(INDEX(InstructorMap!$C:$C, MATCH($AT2, InstructorMap!$A:$A, 0)),""))</f>
        <v>000049271</v>
      </c>
      <c r="AW2" s="4" t="s">
        <v>121</v>
      </c>
      <c r="AX2" s="4"/>
      <c r="AY2" s="4"/>
      <c r="AZ2" s="4"/>
      <c r="BA2" s="4"/>
      <c r="BB2" s="4"/>
      <c r="BC2" s="4"/>
      <c r="BD2" s="4"/>
      <c r="BE2" s="4"/>
      <c r="BF2" s="4"/>
      <c r="BG2" s="4"/>
      <c r="BH2" s="4" t="s">
        <v>519</v>
      </c>
      <c r="BI2" s="4" t="s">
        <v>124</v>
      </c>
      <c r="BJ2" s="4" t="s">
        <v>125</v>
      </c>
      <c r="BK2" s="4"/>
      <c r="BL2" s="4" t="s">
        <v>249</v>
      </c>
      <c r="BM2" s="4"/>
      <c r="BN2" s="4"/>
      <c r="BO2" s="4" t="s">
        <v>127</v>
      </c>
      <c r="BP2" s="4"/>
      <c r="BQ2" s="4" t="s">
        <v>511</v>
      </c>
      <c r="BR2" s="4"/>
      <c r="BS2" s="4"/>
      <c r="BT2" s="4" t="s">
        <v>128</v>
      </c>
      <c r="BU2" s="4" t="s">
        <v>129</v>
      </c>
      <c r="BV2" s="4" t="s">
        <v>129</v>
      </c>
      <c r="BW2" s="4" t="s">
        <v>130</v>
      </c>
      <c r="BX2" s="4"/>
      <c r="BY2" s="4"/>
      <c r="BZ2" s="4"/>
      <c r="CA2" s="4"/>
      <c r="CB2" s="4"/>
      <c r="CC2" s="4"/>
      <c r="CD2" s="4"/>
      <c r="CE2" s="4"/>
      <c r="CF2" s="4" t="s">
        <v>130</v>
      </c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 t="s">
        <v>132</v>
      </c>
      <c r="CT2" s="4" t="s">
        <v>133</v>
      </c>
      <c r="CU2" s="4" t="s">
        <v>134</v>
      </c>
      <c r="CV2" s="4"/>
    </row>
    <row r="3" spans="1:100" x14ac:dyDescent="0.2">
      <c r="A3" s="26" t="b">
        <v>0</v>
      </c>
      <c r="B3" s="26" t="b">
        <v>0</v>
      </c>
      <c r="C3" s="26" t="b">
        <v>0</v>
      </c>
      <c r="D3" s="26" t="b">
        <v>0</v>
      </c>
      <c r="E3" s="26" t="b">
        <v>0</v>
      </c>
      <c r="F3" s="26" t="b">
        <v>0</v>
      </c>
      <c r="G3" s="27"/>
    </row>
    <row r="4" spans="1:100" x14ac:dyDescent="0.2">
      <c r="A4" s="26" t="b">
        <v>0</v>
      </c>
      <c r="B4" s="26" t="b">
        <v>0</v>
      </c>
      <c r="C4" s="26" t="b">
        <v>0</v>
      </c>
      <c r="D4" s="26" t="b">
        <v>0</v>
      </c>
      <c r="E4" s="26" t="b">
        <v>0</v>
      </c>
      <c r="F4" s="26" t="b">
        <v>0</v>
      </c>
      <c r="G4" s="27"/>
    </row>
    <row r="5" spans="1:100" x14ac:dyDescent="0.2">
      <c r="A5" s="26" t="b">
        <v>0</v>
      </c>
      <c r="B5" s="26" t="b">
        <v>0</v>
      </c>
      <c r="C5" s="26" t="b">
        <v>0</v>
      </c>
      <c r="D5" s="26" t="b">
        <v>0</v>
      </c>
      <c r="E5" s="26" t="b">
        <v>0</v>
      </c>
      <c r="F5" s="26" t="b">
        <v>0</v>
      </c>
      <c r="G5" s="27"/>
    </row>
    <row r="6" spans="1:100" x14ac:dyDescent="0.2">
      <c r="A6" s="26" t="b">
        <v>0</v>
      </c>
      <c r="B6" s="26" t="b">
        <v>0</v>
      </c>
      <c r="C6" s="26" t="b">
        <v>0</v>
      </c>
      <c r="D6" s="26" t="b">
        <v>0</v>
      </c>
      <c r="E6" s="26" t="b">
        <v>0</v>
      </c>
      <c r="F6" s="26" t="b">
        <v>0</v>
      </c>
      <c r="G6" s="27"/>
    </row>
    <row r="7" spans="1:100" x14ac:dyDescent="0.2">
      <c r="A7" s="26" t="b">
        <v>0</v>
      </c>
      <c r="B7" s="26" t="b">
        <v>0</v>
      </c>
      <c r="C7" s="26" t="b">
        <v>0</v>
      </c>
      <c r="D7" s="26" t="b">
        <v>0</v>
      </c>
      <c r="E7" s="26" t="b">
        <v>0</v>
      </c>
      <c r="F7" s="26" t="b">
        <v>0</v>
      </c>
      <c r="G7" s="27"/>
    </row>
    <row r="8" spans="1:100" x14ac:dyDescent="0.2">
      <c r="A8" s="26" t="b">
        <v>0</v>
      </c>
      <c r="B8" s="26" t="b">
        <v>0</v>
      </c>
      <c r="C8" s="26" t="b">
        <v>0</v>
      </c>
      <c r="D8" s="26" t="b">
        <v>0</v>
      </c>
      <c r="E8" s="26" t="b">
        <v>0</v>
      </c>
      <c r="F8" s="26" t="b">
        <v>0</v>
      </c>
      <c r="G8" s="27"/>
    </row>
    <row r="9" spans="1:100" x14ac:dyDescent="0.2">
      <c r="A9" s="26" t="b">
        <v>0</v>
      </c>
      <c r="B9" s="26" t="b">
        <v>0</v>
      </c>
      <c r="C9" s="26" t="b">
        <v>0</v>
      </c>
      <c r="D9" s="26" t="b">
        <v>0</v>
      </c>
      <c r="E9" s="26" t="b">
        <v>0</v>
      </c>
      <c r="F9" s="26" t="b">
        <v>0</v>
      </c>
      <c r="G9" s="27"/>
    </row>
    <row r="10" spans="1:100" x14ac:dyDescent="0.2">
      <c r="A10" s="26" t="b">
        <v>0</v>
      </c>
      <c r="B10" s="26" t="b">
        <v>0</v>
      </c>
      <c r="C10" s="26" t="b">
        <v>0</v>
      </c>
      <c r="D10" s="26" t="b">
        <v>0</v>
      </c>
      <c r="E10" s="26" t="b">
        <v>0</v>
      </c>
      <c r="F10" s="26" t="b">
        <v>0</v>
      </c>
      <c r="G10" s="27"/>
    </row>
    <row r="11" spans="1:100" x14ac:dyDescent="0.2">
      <c r="A11" s="26" t="b">
        <v>0</v>
      </c>
      <c r="B11" s="26" t="b">
        <v>0</v>
      </c>
      <c r="C11" s="26" t="b">
        <v>0</v>
      </c>
      <c r="D11" s="26" t="b">
        <v>0</v>
      </c>
      <c r="E11" s="26" t="b">
        <v>0</v>
      </c>
      <c r="F11" s="26" t="b">
        <v>0</v>
      </c>
      <c r="G11" s="27"/>
    </row>
    <row r="12" spans="1:100" x14ac:dyDescent="0.2">
      <c r="A12" s="26" t="b">
        <v>0</v>
      </c>
      <c r="B12" s="26" t="b">
        <v>0</v>
      </c>
      <c r="C12" s="26" t="b">
        <v>0</v>
      </c>
      <c r="D12" s="26" t="b">
        <v>0</v>
      </c>
      <c r="E12" s="26" t="b">
        <v>0</v>
      </c>
      <c r="F12" s="26" t="b">
        <v>0</v>
      </c>
      <c r="G12" s="27"/>
    </row>
    <row r="13" spans="1:100" x14ac:dyDescent="0.2">
      <c r="A13" s="26" t="b">
        <v>0</v>
      </c>
      <c r="B13" s="26" t="b">
        <v>0</v>
      </c>
      <c r="C13" s="26" t="b">
        <v>0</v>
      </c>
      <c r="D13" s="26" t="b">
        <v>0</v>
      </c>
      <c r="E13" s="26" t="b">
        <v>0</v>
      </c>
      <c r="F13" s="26" t="b">
        <v>0</v>
      </c>
      <c r="G13" s="27"/>
    </row>
    <row r="14" spans="1:100" x14ac:dyDescent="0.2">
      <c r="A14" s="26" t="b">
        <v>0</v>
      </c>
      <c r="B14" s="26" t="b">
        <v>0</v>
      </c>
      <c r="C14" s="26" t="b">
        <v>0</v>
      </c>
      <c r="D14" s="26" t="b">
        <v>0</v>
      </c>
      <c r="E14" s="26" t="b">
        <v>0</v>
      </c>
      <c r="F14" s="26" t="b">
        <v>0</v>
      </c>
      <c r="G14" s="27"/>
    </row>
    <row r="15" spans="1:100" x14ac:dyDescent="0.2">
      <c r="A15" s="26" t="b">
        <v>0</v>
      </c>
      <c r="B15" s="26" t="b">
        <v>0</v>
      </c>
      <c r="C15" s="26" t="b">
        <v>0</v>
      </c>
      <c r="D15" s="26" t="b">
        <v>0</v>
      </c>
      <c r="E15" s="26" t="b">
        <v>0</v>
      </c>
      <c r="F15" s="26" t="b">
        <v>0</v>
      </c>
      <c r="G15" s="27"/>
    </row>
    <row r="16" spans="1:100" x14ac:dyDescent="0.2">
      <c r="A16" s="26" t="b">
        <v>0</v>
      </c>
      <c r="B16" s="26" t="b">
        <v>0</v>
      </c>
      <c r="C16" s="26" t="b">
        <v>0</v>
      </c>
      <c r="D16" s="26" t="b">
        <v>0</v>
      </c>
      <c r="E16" s="26" t="b">
        <v>0</v>
      </c>
      <c r="F16" s="26" t="b">
        <v>0</v>
      </c>
      <c r="G16" s="27"/>
    </row>
    <row r="17" spans="1:7" x14ac:dyDescent="0.2">
      <c r="A17" s="26" t="b">
        <v>0</v>
      </c>
      <c r="B17" s="26" t="b">
        <v>0</v>
      </c>
      <c r="C17" s="26" t="b">
        <v>0</v>
      </c>
      <c r="D17" s="26" t="b">
        <v>0</v>
      </c>
      <c r="E17" s="26" t="b">
        <v>0</v>
      </c>
      <c r="F17" s="26" t="b">
        <v>0</v>
      </c>
      <c r="G17" s="27"/>
    </row>
    <row r="18" spans="1:7" x14ac:dyDescent="0.2">
      <c r="A18" s="26" t="b">
        <v>0</v>
      </c>
      <c r="B18" s="26" t="b">
        <v>0</v>
      </c>
      <c r="C18" s="26" t="b">
        <v>0</v>
      </c>
      <c r="D18" s="26" t="b">
        <v>0</v>
      </c>
      <c r="E18" s="26" t="b">
        <v>0</v>
      </c>
      <c r="F18" s="26" t="b">
        <v>0</v>
      </c>
      <c r="G18" s="27"/>
    </row>
    <row r="19" spans="1:7" x14ac:dyDescent="0.2">
      <c r="A19" s="26" t="b">
        <v>0</v>
      </c>
      <c r="B19" s="26" t="b">
        <v>0</v>
      </c>
      <c r="C19" s="26" t="b">
        <v>0</v>
      </c>
      <c r="D19" s="26" t="b">
        <v>0</v>
      </c>
      <c r="E19" s="26" t="b">
        <v>0</v>
      </c>
      <c r="F19" s="26" t="b">
        <v>0</v>
      </c>
      <c r="G19" s="27"/>
    </row>
    <row r="20" spans="1:7" x14ac:dyDescent="0.2">
      <c r="A20" s="26" t="b">
        <v>0</v>
      </c>
      <c r="B20" s="26" t="b">
        <v>0</v>
      </c>
      <c r="C20" s="26" t="b">
        <v>0</v>
      </c>
      <c r="D20" s="26" t="b">
        <v>0</v>
      </c>
      <c r="E20" s="26" t="b">
        <v>0</v>
      </c>
      <c r="F20" s="26" t="b">
        <v>0</v>
      </c>
      <c r="G20" s="27"/>
    </row>
    <row r="21" spans="1:7" x14ac:dyDescent="0.2">
      <c r="A21" s="26" t="b">
        <v>0</v>
      </c>
      <c r="B21" s="26" t="b">
        <v>0</v>
      </c>
      <c r="C21" s="26" t="b">
        <v>0</v>
      </c>
      <c r="D21" s="26" t="b">
        <v>0</v>
      </c>
      <c r="E21" s="26" t="b">
        <v>0</v>
      </c>
      <c r="F21" s="26" t="b">
        <v>0</v>
      </c>
      <c r="G21" s="27"/>
    </row>
    <row r="22" spans="1:7" x14ac:dyDescent="0.2">
      <c r="A22" s="26" t="b">
        <v>0</v>
      </c>
      <c r="B22" s="26" t="b">
        <v>0</v>
      </c>
      <c r="C22" s="26" t="b">
        <v>0</v>
      </c>
      <c r="D22" s="26" t="b">
        <v>0</v>
      </c>
      <c r="E22" s="26" t="b">
        <v>0</v>
      </c>
      <c r="F22" s="26" t="b">
        <v>0</v>
      </c>
      <c r="G22" s="27"/>
    </row>
    <row r="23" spans="1:7" x14ac:dyDescent="0.2">
      <c r="A23" s="26" t="b">
        <v>0</v>
      </c>
      <c r="B23" s="26" t="b">
        <v>0</v>
      </c>
      <c r="C23" s="26" t="b">
        <v>0</v>
      </c>
      <c r="D23" s="26" t="b">
        <v>0</v>
      </c>
      <c r="E23" s="26" t="b">
        <v>0</v>
      </c>
      <c r="F23" s="26" t="b">
        <v>0</v>
      </c>
      <c r="G23" s="27"/>
    </row>
    <row r="24" spans="1:7" x14ac:dyDescent="0.2">
      <c r="A24" s="26" t="b">
        <v>0</v>
      </c>
      <c r="B24" s="26" t="b">
        <v>0</v>
      </c>
      <c r="C24" s="26" t="b">
        <v>0</v>
      </c>
      <c r="D24" s="26" t="b">
        <v>0</v>
      </c>
      <c r="E24" s="26" t="b">
        <v>0</v>
      </c>
      <c r="F24" s="26" t="b">
        <v>0</v>
      </c>
      <c r="G24" s="27"/>
    </row>
    <row r="25" spans="1:7" x14ac:dyDescent="0.2">
      <c r="A25" s="26" t="b">
        <v>0</v>
      </c>
      <c r="B25" s="26" t="b">
        <v>0</v>
      </c>
      <c r="C25" s="26" t="b">
        <v>0</v>
      </c>
      <c r="D25" s="26" t="b">
        <v>0</v>
      </c>
      <c r="E25" s="26" t="b">
        <v>0</v>
      </c>
      <c r="F25" s="26" t="b">
        <v>0</v>
      </c>
      <c r="G25" s="27"/>
    </row>
    <row r="26" spans="1:7" x14ac:dyDescent="0.2">
      <c r="A26" s="26" t="b">
        <v>0</v>
      </c>
      <c r="B26" s="26" t="b">
        <v>0</v>
      </c>
      <c r="C26" s="26" t="b">
        <v>0</v>
      </c>
      <c r="D26" s="26" t="b">
        <v>0</v>
      </c>
      <c r="E26" s="26" t="b">
        <v>0</v>
      </c>
      <c r="F26" s="26" t="b">
        <v>0</v>
      </c>
      <c r="G26" s="27"/>
    </row>
    <row r="27" spans="1:7" x14ac:dyDescent="0.2">
      <c r="A27" s="26" t="b">
        <v>0</v>
      </c>
      <c r="B27" s="26" t="b">
        <v>0</v>
      </c>
      <c r="C27" s="26" t="b">
        <v>0</v>
      </c>
      <c r="D27" s="26" t="b">
        <v>0</v>
      </c>
      <c r="E27" s="26" t="b">
        <v>0</v>
      </c>
      <c r="F27" s="26" t="b">
        <v>0</v>
      </c>
      <c r="G27" s="27"/>
    </row>
    <row r="28" spans="1:7" x14ac:dyDescent="0.2">
      <c r="A28" s="26" t="b">
        <v>0</v>
      </c>
      <c r="B28" s="26" t="b">
        <v>0</v>
      </c>
      <c r="C28" s="26" t="b">
        <v>0</v>
      </c>
      <c r="D28" s="26" t="b">
        <v>0</v>
      </c>
      <c r="E28" s="26" t="b">
        <v>0</v>
      </c>
      <c r="F28" s="26" t="b">
        <v>0</v>
      </c>
      <c r="G28" s="27"/>
    </row>
    <row r="29" spans="1:7" x14ac:dyDescent="0.2">
      <c r="A29" s="26" t="b">
        <v>0</v>
      </c>
      <c r="B29" s="26" t="b">
        <v>0</v>
      </c>
      <c r="C29" s="26" t="b">
        <v>0</v>
      </c>
      <c r="D29" s="26" t="b">
        <v>0</v>
      </c>
      <c r="E29" s="26" t="b">
        <v>0</v>
      </c>
      <c r="F29" s="26" t="b">
        <v>0</v>
      </c>
      <c r="G29" s="27"/>
    </row>
    <row r="30" spans="1:7" x14ac:dyDescent="0.2">
      <c r="A30" s="26" t="b">
        <v>0</v>
      </c>
      <c r="B30" s="26" t="b">
        <v>0</v>
      </c>
      <c r="C30" s="26" t="b">
        <v>0</v>
      </c>
      <c r="D30" s="26" t="b">
        <v>0</v>
      </c>
      <c r="E30" s="26" t="b">
        <v>0</v>
      </c>
      <c r="F30" s="26" t="b">
        <v>0</v>
      </c>
      <c r="G30" s="27"/>
    </row>
    <row r="31" spans="1:7" x14ac:dyDescent="0.2">
      <c r="A31" s="26" t="b">
        <v>0</v>
      </c>
      <c r="B31" s="26" t="b">
        <v>0</v>
      </c>
      <c r="C31" s="26" t="b">
        <v>0</v>
      </c>
      <c r="D31" s="26" t="b">
        <v>0</v>
      </c>
      <c r="E31" s="26" t="b">
        <v>0</v>
      </c>
      <c r="F31" s="26" t="b">
        <v>0</v>
      </c>
      <c r="G31" s="27"/>
    </row>
    <row r="32" spans="1:7" x14ac:dyDescent="0.2">
      <c r="A32" s="26" t="b">
        <v>0</v>
      </c>
      <c r="B32" s="26" t="b">
        <v>0</v>
      </c>
      <c r="C32" s="26" t="b">
        <v>0</v>
      </c>
      <c r="D32" s="26" t="b">
        <v>0</v>
      </c>
      <c r="E32" s="26" t="b">
        <v>0</v>
      </c>
      <c r="F32" s="26" t="b">
        <v>0</v>
      </c>
      <c r="G32" s="27"/>
    </row>
    <row r="33" spans="1:7" x14ac:dyDescent="0.2">
      <c r="A33" s="26" t="b">
        <v>0</v>
      </c>
      <c r="B33" s="26" t="b">
        <v>0</v>
      </c>
      <c r="C33" s="26" t="b">
        <v>0</v>
      </c>
      <c r="D33" s="26" t="b">
        <v>0</v>
      </c>
      <c r="E33" s="26" t="b">
        <v>0</v>
      </c>
      <c r="F33" s="26" t="b">
        <v>0</v>
      </c>
      <c r="G33" s="27"/>
    </row>
    <row r="34" spans="1:7" x14ac:dyDescent="0.2">
      <c r="A34" s="26" t="b">
        <v>0</v>
      </c>
      <c r="B34" s="26" t="b">
        <v>0</v>
      </c>
      <c r="C34" s="26" t="b">
        <v>0</v>
      </c>
      <c r="D34" s="26" t="b">
        <v>0</v>
      </c>
      <c r="E34" s="26" t="b">
        <v>0</v>
      </c>
      <c r="F34" s="26" t="b">
        <v>0</v>
      </c>
      <c r="G34" s="27"/>
    </row>
    <row r="35" spans="1:7" x14ac:dyDescent="0.2">
      <c r="A35" s="26" t="b">
        <v>0</v>
      </c>
      <c r="B35" s="26" t="b">
        <v>0</v>
      </c>
      <c r="C35" s="26" t="b">
        <v>0</v>
      </c>
      <c r="D35" s="26" t="b">
        <v>0</v>
      </c>
      <c r="E35" s="26" t="b">
        <v>0</v>
      </c>
      <c r="F35" s="26" t="b">
        <v>0</v>
      </c>
      <c r="G35" s="27"/>
    </row>
    <row r="36" spans="1:7" x14ac:dyDescent="0.2">
      <c r="A36" s="26" t="b">
        <v>0</v>
      </c>
      <c r="B36" s="26" t="b">
        <v>0</v>
      </c>
      <c r="C36" s="26" t="b">
        <v>0</v>
      </c>
      <c r="D36" s="26" t="b">
        <v>0</v>
      </c>
      <c r="E36" s="26" t="b">
        <v>0</v>
      </c>
      <c r="F36" s="26" t="b">
        <v>0</v>
      </c>
      <c r="G36" s="27"/>
    </row>
    <row r="37" spans="1:7" x14ac:dyDescent="0.2">
      <c r="A37" s="26" t="b">
        <v>0</v>
      </c>
      <c r="B37" s="26" t="b">
        <v>0</v>
      </c>
      <c r="C37" s="26" t="b">
        <v>0</v>
      </c>
      <c r="D37" s="26" t="b">
        <v>0</v>
      </c>
      <c r="E37" s="26" t="b">
        <v>0</v>
      </c>
      <c r="F37" s="26" t="b">
        <v>0</v>
      </c>
      <c r="G37" s="27"/>
    </row>
    <row r="38" spans="1:7" x14ac:dyDescent="0.2">
      <c r="A38" s="26" t="b">
        <v>0</v>
      </c>
      <c r="B38" s="26" t="b">
        <v>0</v>
      </c>
      <c r="C38" s="26" t="b">
        <v>0</v>
      </c>
      <c r="D38" s="26" t="b">
        <v>0</v>
      </c>
      <c r="E38" s="26" t="b">
        <v>0</v>
      </c>
      <c r="F38" s="26" t="b">
        <v>0</v>
      </c>
      <c r="G38" s="27"/>
    </row>
    <row r="39" spans="1:7" x14ac:dyDescent="0.2">
      <c r="A39" s="26" t="b">
        <v>0</v>
      </c>
      <c r="B39" s="26" t="b">
        <v>0</v>
      </c>
      <c r="C39" s="26" t="b">
        <v>0</v>
      </c>
      <c r="D39" s="26" t="b">
        <v>0</v>
      </c>
      <c r="E39" s="26" t="b">
        <v>0</v>
      </c>
      <c r="F39" s="26" t="b">
        <v>0</v>
      </c>
      <c r="G39" s="27"/>
    </row>
    <row r="40" spans="1:7" x14ac:dyDescent="0.2">
      <c r="A40" s="26" t="b">
        <v>0</v>
      </c>
      <c r="B40" s="26" t="b">
        <v>0</v>
      </c>
      <c r="C40" s="26" t="b">
        <v>0</v>
      </c>
      <c r="D40" s="26" t="b">
        <v>0</v>
      </c>
      <c r="E40" s="26" t="b">
        <v>0</v>
      </c>
      <c r="F40" s="26" t="b">
        <v>0</v>
      </c>
      <c r="G40" s="27"/>
    </row>
    <row r="41" spans="1:7" x14ac:dyDescent="0.2">
      <c r="A41" s="26" t="b">
        <v>0</v>
      </c>
      <c r="B41" s="26" t="b">
        <v>0</v>
      </c>
      <c r="C41" s="26" t="b">
        <v>0</v>
      </c>
      <c r="D41" s="26" t="b">
        <v>0</v>
      </c>
      <c r="E41" s="26" t="b">
        <v>0</v>
      </c>
      <c r="F41" s="26" t="b">
        <v>0</v>
      </c>
      <c r="G41" s="27"/>
    </row>
    <row r="42" spans="1:7" x14ac:dyDescent="0.2">
      <c r="A42" s="26" t="b">
        <v>0</v>
      </c>
      <c r="B42" s="26" t="b">
        <v>0</v>
      </c>
      <c r="C42" s="26" t="b">
        <v>0</v>
      </c>
      <c r="D42" s="26" t="b">
        <v>0</v>
      </c>
      <c r="E42" s="26" t="b">
        <v>0</v>
      </c>
      <c r="F42" s="26" t="b">
        <v>0</v>
      </c>
      <c r="G42" s="27"/>
    </row>
    <row r="43" spans="1:7" x14ac:dyDescent="0.2">
      <c r="A43" s="26" t="b">
        <v>0</v>
      </c>
      <c r="B43" s="26" t="b">
        <v>0</v>
      </c>
      <c r="C43" s="26" t="b">
        <v>0</v>
      </c>
      <c r="D43" s="26" t="b">
        <v>0</v>
      </c>
      <c r="E43" s="26" t="b">
        <v>0</v>
      </c>
      <c r="F43" s="26" t="b">
        <v>0</v>
      </c>
      <c r="G43" s="27"/>
    </row>
    <row r="44" spans="1:7" x14ac:dyDescent="0.2">
      <c r="A44" s="26" t="b">
        <v>0</v>
      </c>
      <c r="B44" s="26" t="b">
        <v>0</v>
      </c>
      <c r="C44" s="26" t="b">
        <v>0</v>
      </c>
      <c r="D44" s="26" t="b">
        <v>0</v>
      </c>
      <c r="E44" s="26" t="b">
        <v>0</v>
      </c>
      <c r="F44" s="26" t="b">
        <v>0</v>
      </c>
      <c r="G44" s="27"/>
    </row>
    <row r="45" spans="1:7" x14ac:dyDescent="0.2">
      <c r="A45" s="26" t="b">
        <v>0</v>
      </c>
      <c r="B45" s="26" t="b">
        <v>0</v>
      </c>
      <c r="C45" s="26" t="b">
        <v>0</v>
      </c>
      <c r="D45" s="26" t="b">
        <v>0</v>
      </c>
      <c r="E45" s="26" t="b">
        <v>0</v>
      </c>
      <c r="F45" s="26" t="b">
        <v>0</v>
      </c>
      <c r="G45" s="27"/>
    </row>
    <row r="46" spans="1:7" x14ac:dyDescent="0.2">
      <c r="A46" s="26" t="b">
        <v>0</v>
      </c>
      <c r="B46" s="26" t="b">
        <v>0</v>
      </c>
      <c r="C46" s="26" t="b">
        <v>0</v>
      </c>
      <c r="D46" s="26" t="b">
        <v>0</v>
      </c>
      <c r="E46" s="26" t="b">
        <v>0</v>
      </c>
      <c r="F46" s="26" t="b">
        <v>0</v>
      </c>
      <c r="G46" s="27"/>
    </row>
  </sheetData>
  <autoFilter ref="A1:CV2" xr:uid="{00000000-0009-0000-0000-00000A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62">
        <x14:dataValidation type="list" allowBlank="1" xr:uid="{00000000-0002-0000-0A00-000000000000}">
          <x14:formula1>
            <xm:f>DropDownMenu!$A$2:$A$3</xm:f>
          </x14:formula1>
          <xm:sqref>A47:A5000</xm:sqref>
        </x14:dataValidation>
        <x14:dataValidation type="list" allowBlank="1" xr:uid="{00000000-0002-0000-0A00-000001000000}">
          <x14:formula1>
            <xm:f>DropDownMenu!$B$2:$B$3</xm:f>
          </x14:formula1>
          <xm:sqref>B47:B5000</xm:sqref>
        </x14:dataValidation>
        <x14:dataValidation type="list" allowBlank="1" xr:uid="{00000000-0002-0000-0A00-000002000000}">
          <x14:formula1>
            <xm:f>DropDownMenu!$C$2:$C$3</xm:f>
          </x14:formula1>
          <xm:sqref>D47:D5000</xm:sqref>
        </x14:dataValidation>
        <x14:dataValidation type="list" allowBlank="1" xr:uid="{00000000-0002-0000-0A00-000003000000}">
          <x14:formula1>
            <xm:f>DropDownMenu!$D$2:$D$3</xm:f>
          </x14:formula1>
          <xm:sqref>E47:E5000</xm:sqref>
        </x14:dataValidation>
        <x14:dataValidation type="list" allowBlank="1" xr:uid="{00000000-0002-0000-0A00-000004000000}">
          <x14:formula1>
            <xm:f>DropDownMenu!$E$2:$E$3</xm:f>
          </x14:formula1>
          <xm:sqref>F47:F5000</xm:sqref>
        </x14:dataValidation>
        <x14:dataValidation type="list" allowBlank="1" xr:uid="{00000000-0002-0000-0A00-000005000000}">
          <x14:formula1>
            <xm:f>DropDownMenu!$G$2:$G$19</xm:f>
          </x14:formula1>
          <xm:sqref>G47:G5000</xm:sqref>
        </x14:dataValidation>
        <x14:dataValidation type="list" allowBlank="1" xr:uid="{00000000-0002-0000-0A00-000006000000}">
          <x14:formula1>
            <xm:f>DropDownMenu!$H$2:$H$564</xm:f>
          </x14:formula1>
          <xm:sqref>H2:H5000</xm:sqref>
        </x14:dataValidation>
        <x14:dataValidation type="list" allowBlank="1" xr:uid="{00000000-0002-0000-0A00-000007000000}">
          <x14:formula1>
            <xm:f>DropDownMenu!$I$2:$I$352</xm:f>
          </x14:formula1>
          <xm:sqref>I2:I5000</xm:sqref>
        </x14:dataValidation>
        <x14:dataValidation type="list" allowBlank="1" xr:uid="{00000000-0002-0000-0A00-000008000000}">
          <x14:formula1>
            <xm:f>DropDownMenu!$J$2:$J$10</xm:f>
          </x14:formula1>
          <xm:sqref>J2:J5000</xm:sqref>
        </x14:dataValidation>
        <x14:dataValidation type="list" allowBlank="1" xr:uid="{00000000-0002-0000-0A00-000009000000}">
          <x14:formula1>
            <xm:f>DropDownMenu!$K$2:$K$101</xm:f>
          </x14:formula1>
          <xm:sqref>K2:K5000</xm:sqref>
        </x14:dataValidation>
        <x14:dataValidation type="list" allowBlank="1" xr:uid="{00000000-0002-0000-0A00-00000A000000}">
          <x14:formula1>
            <xm:f>DropDownMenu!$L$2:$L$42</xm:f>
          </x14:formula1>
          <xm:sqref>L2:L5000</xm:sqref>
        </x14:dataValidation>
        <x14:dataValidation type="list" allowBlank="1" xr:uid="{00000000-0002-0000-0A00-00000B000000}">
          <x14:formula1>
            <xm:f>DropDownMenu!$M$2:$M$16</xm:f>
          </x14:formula1>
          <xm:sqref>M2:M5000</xm:sqref>
        </x14:dataValidation>
        <x14:dataValidation type="list" allowBlank="1" xr:uid="{00000000-0002-0000-0A00-00000C000000}">
          <x14:formula1>
            <xm:f>DropDownMenu!$N$2:$N$140</xm:f>
          </x14:formula1>
          <xm:sqref>N2:N5000</xm:sqref>
        </x14:dataValidation>
        <x14:dataValidation type="list" allowBlank="1" xr:uid="{00000000-0002-0000-0A00-00000D000000}">
          <x14:formula1>
            <xm:f>DropDownMenu!$O$2:$O$65</xm:f>
          </x14:formula1>
          <xm:sqref>O2:O5000</xm:sqref>
        </x14:dataValidation>
        <x14:dataValidation type="list" allowBlank="1" xr:uid="{00000000-0002-0000-0A00-00000E000000}">
          <x14:formula1>
            <xm:f>DropDownMenu!$P$2:$P$45</xm:f>
          </x14:formula1>
          <xm:sqref>Q2:Q5000</xm:sqref>
        </x14:dataValidation>
        <x14:dataValidation type="list" allowBlank="1" xr:uid="{00000000-0002-0000-0A00-00000F000000}">
          <x14:formula1>
            <xm:f>DropDownMenu!$Q$2:$Q$5</xm:f>
          </x14:formula1>
          <xm:sqref>R2:R5000</xm:sqref>
        </x14:dataValidation>
        <x14:dataValidation type="list" allowBlank="1" xr:uid="{00000000-0002-0000-0A00-000010000000}">
          <x14:formula1>
            <xm:f>DropDownMenu!$R$2:$R$7</xm:f>
          </x14:formula1>
          <xm:sqref>S2:S5000</xm:sqref>
        </x14:dataValidation>
        <x14:dataValidation type="list" allowBlank="1" xr:uid="{00000000-0002-0000-0A00-000011000000}">
          <x14:formula1>
            <xm:f>DropDownMenu!$S$2:$S$11</xm:f>
          </x14:formula1>
          <xm:sqref>T2:T5000</xm:sqref>
        </x14:dataValidation>
        <x14:dataValidation type="list" allowBlank="1" xr:uid="{00000000-0002-0000-0A00-000012000000}">
          <x14:formula1>
            <xm:f>DropDownMenu!$T$2:$T$13</xm:f>
          </x14:formula1>
          <xm:sqref>U2:U5000</xm:sqref>
        </x14:dataValidation>
        <x14:dataValidation type="list" allowBlank="1" xr:uid="{00000000-0002-0000-0A00-000013000000}">
          <x14:formula1>
            <xm:f>DropDownMenu!$U$2:$U$5</xm:f>
          </x14:formula1>
          <xm:sqref>CR2:CR5000</xm:sqref>
        </x14:dataValidation>
        <x14:dataValidation type="list" allowBlank="1" xr:uid="{00000000-0002-0000-0A00-000014000000}">
          <x14:formula1>
            <xm:f>DropDownMenu!$V$2:$V$4</xm:f>
          </x14:formula1>
          <xm:sqref>V2:V5000</xm:sqref>
        </x14:dataValidation>
        <x14:dataValidation type="list" allowBlank="1" xr:uid="{00000000-0002-0000-0A00-000015000000}">
          <x14:formula1>
            <xm:f>DropDownMenu!$W$2:$W$6</xm:f>
          </x14:formula1>
          <xm:sqref>CU2:CU5000</xm:sqref>
        </x14:dataValidation>
        <x14:dataValidation type="list" allowBlank="1" xr:uid="{00000000-0002-0000-0A00-000016000000}">
          <x14:formula1>
            <xm:f>DropDownMenu!$X$2:$X$26</xm:f>
          </x14:formula1>
          <xm:sqref>W2:W5000</xm:sqref>
        </x14:dataValidation>
        <x14:dataValidation type="list" allowBlank="1" xr:uid="{00000000-0002-0000-0A00-000017000000}">
          <x14:formula1>
            <xm:f>DropDownMenu!$Y$2:$Y$7</xm:f>
          </x14:formula1>
          <xm:sqref>X2:X5000</xm:sqref>
        </x14:dataValidation>
        <x14:dataValidation type="list" allowBlank="1" xr:uid="{00000000-0002-0000-0A00-000018000000}">
          <x14:formula1>
            <xm:f>DropDownMenu!$Z$2:$Z$15</xm:f>
          </x14:formula1>
          <xm:sqref>Y2:Y5000</xm:sqref>
        </x14:dataValidation>
        <x14:dataValidation type="list" allowBlank="1" xr:uid="{00000000-0002-0000-0A00-000019000000}">
          <x14:formula1>
            <xm:f>DropDownMenu!$AA$2:$AA$6</xm:f>
          </x14:formula1>
          <xm:sqref>Z2:Z5000</xm:sqref>
        </x14:dataValidation>
        <x14:dataValidation type="list" allowBlank="1" xr:uid="{00000000-0002-0000-0A00-00001A000000}">
          <x14:formula1>
            <xm:f>DropDownMenu!$AB$2:$AB$7</xm:f>
          </x14:formula1>
          <xm:sqref>AA2:AA5000</xm:sqref>
        </x14:dataValidation>
        <x14:dataValidation type="list" allowBlank="1" xr:uid="{00000000-0002-0000-0A00-00001B000000}">
          <x14:formula1>
            <xm:f>DropDownMenu!$AC$2:$AC$49</xm:f>
          </x14:formula1>
          <xm:sqref>AD2:AD5000</xm:sqref>
        </x14:dataValidation>
        <x14:dataValidation type="list" allowBlank="1" xr:uid="{00000000-0002-0000-0A00-00001C000000}">
          <x14:formula1>
            <xm:f>DropDownMenu!$AD$2:$AD$52</xm:f>
          </x14:formula1>
          <xm:sqref>AE2:AE5000</xm:sqref>
        </x14:dataValidation>
        <x14:dataValidation type="list" allowBlank="1" xr:uid="{00000000-0002-0000-0A00-00001D000000}">
          <x14:formula1>
            <xm:f>DropDownMenu!$AE$2:$AE$9</xm:f>
          </x14:formula1>
          <xm:sqref>AH2:AH5000</xm:sqref>
        </x14:dataValidation>
        <x14:dataValidation type="list" allowBlank="1" xr:uid="{00000000-0002-0000-0A00-00001E000000}">
          <x14:formula1>
            <xm:f>DropDownMenu!$AF$2:$AF$6</xm:f>
          </x14:formula1>
          <xm:sqref>AI2:AI5000</xm:sqref>
        </x14:dataValidation>
        <x14:dataValidation type="list" allowBlank="1" xr:uid="{00000000-0002-0000-0A00-00001F000000}">
          <x14:formula1>
            <xm:f>DropDownMenu!$AG$2:$AG$11</xm:f>
          </x14:formula1>
          <xm:sqref>AJ2:AJ5000</xm:sqref>
        </x14:dataValidation>
        <x14:dataValidation type="list" allowBlank="1" xr:uid="{00000000-0002-0000-0A00-000020000000}">
          <x14:formula1>
            <xm:f>DropDownMenu!$AH$2:$AH$2</xm:f>
          </x14:formula1>
          <xm:sqref>AK2:AK5000</xm:sqref>
        </x14:dataValidation>
        <x14:dataValidation type="list" allowBlank="1" xr:uid="{00000000-0002-0000-0A00-000021000000}">
          <x14:formula1>
            <xm:f>DropDownMenu!$AI$2:$AI$2</xm:f>
          </x14:formula1>
          <xm:sqref>AL2:AL5000</xm:sqref>
        </x14:dataValidation>
        <x14:dataValidation type="list" allowBlank="1" xr:uid="{00000000-0002-0000-0A00-000022000000}">
          <x14:formula1>
            <xm:f>DropDownMenu!$AJ$2:$AJ$2</xm:f>
          </x14:formula1>
          <xm:sqref>AM2:AM5000</xm:sqref>
        </x14:dataValidation>
        <x14:dataValidation type="list" allowBlank="1" xr:uid="{00000000-0002-0000-0A00-000023000000}">
          <x14:formula1>
            <xm:f>DropDownMenu!$AK$2:$AK$2</xm:f>
          </x14:formula1>
          <xm:sqref>AN2:AN5000</xm:sqref>
        </x14:dataValidation>
        <x14:dataValidation type="list" allowBlank="1" xr:uid="{00000000-0002-0000-0A00-000024000000}">
          <x14:formula1>
            <xm:f>DropDownMenu!$AL$2:$AL$2</xm:f>
          </x14:formula1>
          <xm:sqref>AO2:AO5000</xm:sqref>
        </x14:dataValidation>
        <x14:dataValidation type="list" allowBlank="1" xr:uid="{00000000-0002-0000-0A00-000025000000}">
          <x14:formula1>
            <xm:f>DropDownMenu!$AM$2:$AM$5</xm:f>
          </x14:formula1>
          <xm:sqref>CS2:CS5000</xm:sqref>
        </x14:dataValidation>
        <x14:dataValidation type="list" allowBlank="1" xr:uid="{00000000-0002-0000-0A00-000026000000}">
          <x14:formula1>
            <xm:f>DropDownMenu!$AN$2:$AN$13</xm:f>
          </x14:formula1>
          <xm:sqref>AR2:AR5000</xm:sqref>
        </x14:dataValidation>
        <x14:dataValidation type="list" allowBlank="1" xr:uid="{00000000-0002-0000-0A00-000027000000}">
          <x14:formula1>
            <xm:f>DropDownMenu!$AO$2:$AO$40</xm:f>
          </x14:formula1>
          <xm:sqref>AS2:AS5000</xm:sqref>
        </x14:dataValidation>
        <x14:dataValidation type="list" allowBlank="1" xr:uid="{00000000-0002-0000-0A00-000028000000}">
          <x14:formula1>
            <xm:f>DropDownMenu!$AP$2:$AP$274</xm:f>
          </x14:formula1>
          <xm:sqref>AT2:AT5000</xm:sqref>
        </x14:dataValidation>
        <x14:dataValidation type="list" allowBlank="1" xr:uid="{00000000-0002-0000-0A00-000029000000}">
          <x14:formula1>
            <xm:f>DropDownMenu!$AQ$2:$AQ$9</xm:f>
          </x14:formula1>
          <xm:sqref>BB2:BB5000</xm:sqref>
        </x14:dataValidation>
        <x14:dataValidation type="list" allowBlank="1" xr:uid="{00000000-0002-0000-0A00-00002A000000}">
          <x14:formula1>
            <xm:f>DropDownMenu!$AR$2:$AR$11</xm:f>
          </x14:formula1>
          <xm:sqref>BC2:BC5000</xm:sqref>
        </x14:dataValidation>
        <x14:dataValidation type="list" allowBlank="1" xr:uid="{00000000-0002-0000-0A00-00002B000000}">
          <x14:formula1>
            <xm:f>DropDownMenu!$AS$2:$AS$3</xm:f>
          </x14:formula1>
          <xm:sqref>BD2:BD5000</xm:sqref>
        </x14:dataValidation>
        <x14:dataValidation type="list" allowBlank="1" xr:uid="{00000000-0002-0000-0A00-00002C000000}">
          <x14:formula1>
            <xm:f>DropDownMenu!$AT$2:$AT$4</xm:f>
          </x14:formula1>
          <xm:sqref>BE2:BE5000</xm:sqref>
        </x14:dataValidation>
        <x14:dataValidation type="list" allowBlank="1" xr:uid="{00000000-0002-0000-0A00-00002D000000}">
          <x14:formula1>
            <xm:f>DropDownMenu!$AU$2:$AU$2</xm:f>
          </x14:formula1>
          <xm:sqref>BG2:BG5000</xm:sqref>
        </x14:dataValidation>
        <x14:dataValidation type="list" allowBlank="1" xr:uid="{00000000-0002-0000-0A00-00002E000000}">
          <x14:formula1>
            <xm:f>DropDownMenu!$AV$2:$AV$9</xm:f>
          </x14:formula1>
          <xm:sqref>BH2:BH5000</xm:sqref>
        </x14:dataValidation>
        <x14:dataValidation type="list" allowBlank="1" xr:uid="{00000000-0002-0000-0A00-00002F000000}">
          <x14:formula1>
            <xm:f>DropDownMenu!$AW$2:$AW$81</xm:f>
          </x14:formula1>
          <xm:sqref>BI2:BI5000</xm:sqref>
        </x14:dataValidation>
        <x14:dataValidation type="list" allowBlank="1" xr:uid="{00000000-0002-0000-0A00-000030000000}">
          <x14:formula1>
            <xm:f>DropDownMenu!$AX$2:$AX$3</xm:f>
          </x14:formula1>
          <xm:sqref>BJ2:BJ5000</xm:sqref>
        </x14:dataValidation>
        <x14:dataValidation type="list" allowBlank="1" xr:uid="{00000000-0002-0000-0A00-000031000000}">
          <x14:formula1>
            <xm:f>DropDownMenu!$AY$2:$AY$7</xm:f>
          </x14:formula1>
          <xm:sqref>BK2:BK5000</xm:sqref>
        </x14:dataValidation>
        <x14:dataValidation type="list" allowBlank="1" xr:uid="{00000000-0002-0000-0A00-000032000000}">
          <x14:formula1>
            <xm:f>DropDownMenu!$AZ$2:$AZ$9</xm:f>
          </x14:formula1>
          <xm:sqref>BL2:BL5000</xm:sqref>
        </x14:dataValidation>
        <x14:dataValidation type="list" allowBlank="1" xr:uid="{00000000-0002-0000-0A00-000033000000}">
          <x14:formula1>
            <xm:f>DropDownMenu!$BA$2:$BA$9</xm:f>
          </x14:formula1>
          <xm:sqref>BM2:BM5000</xm:sqref>
        </x14:dataValidation>
        <x14:dataValidation type="list" allowBlank="1" xr:uid="{00000000-0002-0000-0A00-000034000000}">
          <x14:formula1>
            <xm:f>DropDownMenu!$BB$2:$BB$3</xm:f>
          </x14:formula1>
          <xm:sqref>BN2:BN5000</xm:sqref>
        </x14:dataValidation>
        <x14:dataValidation type="list" allowBlank="1" xr:uid="{00000000-0002-0000-0A00-000035000000}">
          <x14:formula1>
            <xm:f>DropDownMenu!$BC$2:$BC$2</xm:f>
          </x14:formula1>
          <xm:sqref>BO2:BO5000</xm:sqref>
        </x14:dataValidation>
        <x14:dataValidation type="list" allowBlank="1" xr:uid="{00000000-0002-0000-0A00-000036000000}">
          <x14:formula1>
            <xm:f>DropDownMenu!$BD$2:$BD$29</xm:f>
          </x14:formula1>
          <xm:sqref>BQ2:BQ5000</xm:sqref>
        </x14:dataValidation>
        <x14:dataValidation type="list" allowBlank="1" xr:uid="{00000000-0002-0000-0A00-000037000000}">
          <x14:formula1>
            <xm:f>DropDownMenu!$BE$2:$BE$2</xm:f>
          </x14:formula1>
          <xm:sqref>BT2:BT5000</xm:sqref>
        </x14:dataValidation>
        <x14:dataValidation type="list" allowBlank="1" xr:uid="{00000000-0002-0000-0A00-000038000000}">
          <x14:formula1>
            <xm:f>DropDownMenu!$BF$2:$BF$33</xm:f>
          </x14:formula1>
          <xm:sqref>BU2:BU5000</xm:sqref>
        </x14:dataValidation>
        <x14:dataValidation type="list" allowBlank="1" xr:uid="{00000000-0002-0000-0A00-000039000000}">
          <x14:formula1>
            <xm:f>DropDownMenu!$BG$2:$BG$2</xm:f>
          </x14:formula1>
          <xm:sqref>BV2:BV5000</xm:sqref>
        </x14:dataValidation>
        <x14:dataValidation type="list" allowBlank="1" xr:uid="{00000000-0002-0000-0A00-00003A000000}">
          <x14:formula1>
            <xm:f>DropDownMenu!$BH$2:$BH$4</xm:f>
          </x14:formula1>
          <xm:sqref>AW2:AW5000</xm:sqref>
        </x14:dataValidation>
        <x14:dataValidation type="list" allowBlank="1" xr:uid="{00000000-0002-0000-0A00-00003B000000}">
          <x14:formula1>
            <xm:f>DropDownMenu!$BI$2:$BI$2</xm:f>
          </x14:formula1>
          <xm:sqref>BW2:BW5000</xm:sqref>
        </x14:dataValidation>
        <x14:dataValidation type="list" allowBlank="1" xr:uid="{00000000-0002-0000-0A00-00003C000000}">
          <x14:formula1>
            <xm:f>DropDownMenu!$BJ$2:$BJ$2</xm:f>
          </x14:formula1>
          <xm:sqref>BX2:BX5000</xm:sqref>
        </x14:dataValidation>
        <x14:dataValidation type="list" allowBlank="1" xr:uid="{00000000-0002-0000-0A00-00003D000000}">
          <x14:formula1>
            <xm:f>DropDownMenu!$BK$2:$BK$2</xm:f>
          </x14:formula1>
          <xm:sqref>BY2:BY5000</xm:sqref>
        </x14:dataValidation>
        <x14:dataValidation type="list" allowBlank="1" xr:uid="{00000000-0002-0000-0A00-00003E000000}">
          <x14:formula1>
            <xm:f>DropDownMenu!$BL$2:$BL$8</xm:f>
          </x14:formula1>
          <xm:sqref>BZ2:BZ5000</xm:sqref>
        </x14:dataValidation>
        <x14:dataValidation type="list" allowBlank="1" xr:uid="{00000000-0002-0000-0A00-00003F000000}">
          <x14:formula1>
            <xm:f>DropDownMenu!$BM$2:$BM$8</xm:f>
          </x14:formula1>
          <xm:sqref>CA2:CA5000</xm:sqref>
        </x14:dataValidation>
        <x14:dataValidation type="list" allowBlank="1" xr:uid="{00000000-0002-0000-0A00-000040000000}">
          <x14:formula1>
            <xm:f>DropDownMenu!$BN$2:$BN$8</xm:f>
          </x14:formula1>
          <xm:sqref>CB2:CB5000</xm:sqref>
        </x14:dataValidation>
        <x14:dataValidation type="list" allowBlank="1" xr:uid="{00000000-0002-0000-0A00-000041000000}">
          <x14:formula1>
            <xm:f>DropDownMenu!$BO$2:$BO$6</xm:f>
          </x14:formula1>
          <xm:sqref>CC2:CC5000</xm:sqref>
        </x14:dataValidation>
        <x14:dataValidation type="list" allowBlank="1" xr:uid="{00000000-0002-0000-0A00-000042000000}">
          <x14:formula1>
            <xm:f>DropDownMenu!$BP$2:$BP$2</xm:f>
          </x14:formula1>
          <xm:sqref>CD2:CD5000</xm:sqref>
        </x14:dataValidation>
        <x14:dataValidation type="list" allowBlank="1" xr:uid="{00000000-0002-0000-0A00-000043000000}">
          <x14:formula1>
            <xm:f>DropDownMenu!$BQ$2:$BQ$2</xm:f>
          </x14:formula1>
          <xm:sqref>CE2:CE5000</xm:sqref>
        </x14:dataValidation>
        <x14:dataValidation type="list" allowBlank="1" xr:uid="{00000000-0002-0000-0A00-000044000000}">
          <x14:formula1>
            <xm:f>DropDownMenu!$BR$2:$BR$2</xm:f>
          </x14:formula1>
          <xm:sqref>CF2:CF5000</xm:sqref>
        </x14:dataValidation>
        <x14:dataValidation type="list" allowBlank="1" xr:uid="{00000000-0002-0000-0A00-000045000000}">
          <x14:formula1>
            <xm:f>DropDownMenu!$BS$2:$BS$2</xm:f>
          </x14:formula1>
          <xm:sqref>CG2:CG5000</xm:sqref>
        </x14:dataValidation>
        <x14:dataValidation type="list" allowBlank="1" xr:uid="{00000000-0002-0000-0A00-000046000000}">
          <x14:formula1>
            <xm:f>DropDownMenu!$BT$2:$BT$2</xm:f>
          </x14:formula1>
          <xm:sqref>CH2:CH5000</xm:sqref>
        </x14:dataValidation>
        <x14:dataValidation type="list" allowBlank="1" xr:uid="{00000000-0002-0000-0A00-000047000000}">
          <x14:formula1>
            <xm:f>DropDownMenu!$BU$2:$BU$2</xm:f>
          </x14:formula1>
          <xm:sqref>CN2:CN5000</xm:sqref>
        </x14:dataValidation>
        <x14:dataValidation type="list" allowBlank="1" xr:uid="{00000000-0002-0000-0A00-000048000000}">
          <x14:formula1>
            <xm:f>DropDownMenu!$BV$2:$BV$2</xm:f>
          </x14:formula1>
          <xm:sqref>CO2:CO5000</xm:sqref>
        </x14:dataValidation>
        <x14:dataValidation type="list" allowBlank="1" xr:uid="{00000000-0002-0000-0A00-000049000000}">
          <x14:formula1>
            <xm:f>DropDownMenu!$BW$2:$BW$2</xm:f>
          </x14:formula1>
          <xm:sqref>CQ2:CQ5000</xm:sqref>
        </x14:dataValidation>
        <x14:dataValidation type="list" allowBlank="1" xr:uid="{00000000-0002-0000-0A00-00004A000000}">
          <x14:formula1>
            <xm:f>DropDownMenu!$BX$2:$BX$2</xm:f>
          </x14:formula1>
          <xm:sqref>CT2:CT5000</xm:sqref>
        </x14:dataValidation>
        <x14:dataValidation type="list" allowBlank="1" xr:uid="{00000000-0002-0000-0A00-00004B000000}">
          <x14:formula1>
            <xm:f>DropDownMenu!$BY$2:$BY$77</xm:f>
          </x14:formula1>
          <xm:sqref>AU2:AU5000</xm:sqref>
        </x14:dataValidation>
        <x14:dataValidation type="list" allowBlank="1" xr:uid="{00000000-0002-0000-0A00-00004C000000}">
          <x14:formula1>
            <xm:f>DropDownMenu!$BZ$2:$BZ$3</xm:f>
          </x14:formula1>
          <xm:sqref>CV2:CV5000</xm:sqref>
        </x14:dataValidation>
        <x14:dataValidation type="list" allowBlank="1" xr:uid="{00000000-0002-0000-0A00-00004D000000}">
          <x14:formula1>
            <xm:f>DropDownMenu!$CA$2:$CA$77</xm:f>
          </x14:formula1>
          <xm:sqref>AV2:AV5000</xm:sqref>
        </x14:dataValidation>
        <x14:dataValidation type="list" allowBlank="1" xr:uid="{00000000-0002-0000-0A00-00004E000000}">
          <x14:formula1>
            <xm:f>DropDownMenu!$CB$2:$CB$3</xm:f>
          </x14:formula1>
          <xm:sqref>AX2:AX5000</xm:sqref>
        </x14:dataValidation>
        <x14:dataValidation type="list" allowBlank="1" xr:uid="{00000000-0002-0000-0A00-00004F000000}">
          <x14:formula1>
            <xm:f>DropDownMenu!$CC$2:$CC$3</xm:f>
          </x14:formula1>
          <xm:sqref>AY2:AY5000</xm:sqref>
        </x14:dataValidation>
        <x14:dataValidation type="list" allowBlank="1" xr:uid="{00000000-0002-0000-0A00-000050000000}">
          <x14:formula1>
            <xm:f>DropDownMenu!$CD$2:$CD$10</xm:f>
          </x14:formula1>
          <xm:sqref>BA2:BA5000</xm:sqref>
        </x14:dataValidation>
        <x14:dataValidation type="list" allowBlank="1" showInputMessage="1" showErrorMessage="1" xr:uid="{00000000-0002-0000-0A00-000051000000}">
          <x14:formula1>
            <xm:f>DropDownMenu!$A$2:$A$3</xm:f>
          </x14:formula1>
          <xm:sqref>A47:A5000</xm:sqref>
        </x14:dataValidation>
        <x14:dataValidation type="list" allowBlank="1" showInputMessage="1" showErrorMessage="1" xr:uid="{00000000-0002-0000-0A00-000052000000}">
          <x14:formula1>
            <xm:f>DropDownMenu!$B$2:$B$3</xm:f>
          </x14:formula1>
          <xm:sqref>B47:B5000</xm:sqref>
        </x14:dataValidation>
        <x14:dataValidation type="list" allowBlank="1" showInputMessage="1" showErrorMessage="1" xr:uid="{00000000-0002-0000-0A00-000053000000}">
          <x14:formula1>
            <xm:f>DropDownMenu!$C$2:$C$3</xm:f>
          </x14:formula1>
          <xm:sqref>D47:D5000</xm:sqref>
        </x14:dataValidation>
        <x14:dataValidation type="list" allowBlank="1" showInputMessage="1" showErrorMessage="1" xr:uid="{00000000-0002-0000-0A00-000054000000}">
          <x14:formula1>
            <xm:f>DropDownMenu!$D$2:$D$3</xm:f>
          </x14:formula1>
          <xm:sqref>E47:E5000</xm:sqref>
        </x14:dataValidation>
        <x14:dataValidation type="list" allowBlank="1" showInputMessage="1" showErrorMessage="1" xr:uid="{00000000-0002-0000-0A00-000055000000}">
          <x14:formula1>
            <xm:f>DropDownMenu!$E$2:$E$3</xm:f>
          </x14:formula1>
          <xm:sqref>F47:F5000</xm:sqref>
        </x14:dataValidation>
        <x14:dataValidation type="list" allowBlank="1" showInputMessage="1" showErrorMessage="1" xr:uid="{00000000-0002-0000-0A00-000056000000}">
          <x14:formula1>
            <xm:f>DropDownMenu!$G$2:$G$19</xm:f>
          </x14:formula1>
          <xm:sqref>G47:G5000</xm:sqref>
        </x14:dataValidation>
        <x14:dataValidation type="list" allowBlank="1" showInputMessage="1" showErrorMessage="1" xr:uid="{00000000-0002-0000-0A00-000057000000}">
          <x14:formula1>
            <xm:f>DropDownMenu!$H$2:$H$564</xm:f>
          </x14:formula1>
          <xm:sqref>H2:H5000</xm:sqref>
        </x14:dataValidation>
        <x14:dataValidation type="list" allowBlank="1" showInputMessage="1" showErrorMessage="1" xr:uid="{00000000-0002-0000-0A00-000058000000}">
          <x14:formula1>
            <xm:f>DropDownMenu!$I$2:$I$352</xm:f>
          </x14:formula1>
          <xm:sqref>I2:I5000</xm:sqref>
        </x14:dataValidation>
        <x14:dataValidation type="list" allowBlank="1" showInputMessage="1" showErrorMessage="1" xr:uid="{00000000-0002-0000-0A00-000059000000}">
          <x14:formula1>
            <xm:f>DropDownMenu!$J$2:$J$10</xm:f>
          </x14:formula1>
          <xm:sqref>J2:J5000</xm:sqref>
        </x14:dataValidation>
        <x14:dataValidation type="list" allowBlank="1" showInputMessage="1" showErrorMessage="1" xr:uid="{00000000-0002-0000-0A00-00005A000000}">
          <x14:formula1>
            <xm:f>DropDownMenu!$K$2:$K$101</xm:f>
          </x14:formula1>
          <xm:sqref>K2:K5000</xm:sqref>
        </x14:dataValidation>
        <x14:dataValidation type="list" allowBlank="1" showInputMessage="1" showErrorMessage="1" xr:uid="{00000000-0002-0000-0A00-00005B000000}">
          <x14:formula1>
            <xm:f>DropDownMenu!$L$2:$L$42</xm:f>
          </x14:formula1>
          <xm:sqref>L2:L5000</xm:sqref>
        </x14:dataValidation>
        <x14:dataValidation type="list" allowBlank="1" showInputMessage="1" showErrorMessage="1" xr:uid="{00000000-0002-0000-0A00-00005C000000}">
          <x14:formula1>
            <xm:f>DropDownMenu!$M$2:$M$16</xm:f>
          </x14:formula1>
          <xm:sqref>M2:M5000</xm:sqref>
        </x14:dataValidation>
        <x14:dataValidation type="list" allowBlank="1" showInputMessage="1" showErrorMessage="1" xr:uid="{00000000-0002-0000-0A00-00005D000000}">
          <x14:formula1>
            <xm:f>DropDownMenu!$N$2:$N$140</xm:f>
          </x14:formula1>
          <xm:sqref>N2:N5000</xm:sqref>
        </x14:dataValidation>
        <x14:dataValidation type="list" allowBlank="1" showInputMessage="1" showErrorMessage="1" xr:uid="{00000000-0002-0000-0A00-00005E000000}">
          <x14:formula1>
            <xm:f>DropDownMenu!$O$2:$O$65</xm:f>
          </x14:formula1>
          <xm:sqref>O2:O5000</xm:sqref>
        </x14:dataValidation>
        <x14:dataValidation type="list" allowBlank="1" showInputMessage="1" showErrorMessage="1" xr:uid="{00000000-0002-0000-0A00-00005F000000}">
          <x14:formula1>
            <xm:f>DropDownMenu!$P$2:$P$45</xm:f>
          </x14:formula1>
          <xm:sqref>Q2:Q5000</xm:sqref>
        </x14:dataValidation>
        <x14:dataValidation type="list" allowBlank="1" showInputMessage="1" showErrorMessage="1" xr:uid="{00000000-0002-0000-0A00-000060000000}">
          <x14:formula1>
            <xm:f>DropDownMenu!$Q$2:$Q$5</xm:f>
          </x14:formula1>
          <xm:sqref>R2:R5000</xm:sqref>
        </x14:dataValidation>
        <x14:dataValidation type="list" allowBlank="1" showInputMessage="1" showErrorMessage="1" xr:uid="{00000000-0002-0000-0A00-000061000000}">
          <x14:formula1>
            <xm:f>DropDownMenu!$R$2:$R$7</xm:f>
          </x14:formula1>
          <xm:sqref>S2:S5000</xm:sqref>
        </x14:dataValidation>
        <x14:dataValidation type="list" allowBlank="1" showInputMessage="1" showErrorMessage="1" xr:uid="{00000000-0002-0000-0A00-000062000000}">
          <x14:formula1>
            <xm:f>DropDownMenu!$S$2:$S$11</xm:f>
          </x14:formula1>
          <xm:sqref>T2:T5000</xm:sqref>
        </x14:dataValidation>
        <x14:dataValidation type="list" allowBlank="1" showInputMessage="1" showErrorMessage="1" xr:uid="{00000000-0002-0000-0A00-000063000000}">
          <x14:formula1>
            <xm:f>DropDownMenu!$T$2:$T$13</xm:f>
          </x14:formula1>
          <xm:sqref>U2:U5000</xm:sqref>
        </x14:dataValidation>
        <x14:dataValidation type="list" allowBlank="1" showInputMessage="1" showErrorMessage="1" xr:uid="{00000000-0002-0000-0A00-000064000000}">
          <x14:formula1>
            <xm:f>DropDownMenu!$U$2:$U$5</xm:f>
          </x14:formula1>
          <xm:sqref>CR2:CR5000</xm:sqref>
        </x14:dataValidation>
        <x14:dataValidation type="list" allowBlank="1" showInputMessage="1" showErrorMessage="1" xr:uid="{00000000-0002-0000-0A00-000065000000}">
          <x14:formula1>
            <xm:f>DropDownMenu!$V$2:$V$4</xm:f>
          </x14:formula1>
          <xm:sqref>V2:V5000</xm:sqref>
        </x14:dataValidation>
        <x14:dataValidation type="list" allowBlank="1" showInputMessage="1" showErrorMessage="1" xr:uid="{00000000-0002-0000-0A00-000066000000}">
          <x14:formula1>
            <xm:f>DropDownMenu!$W$2:$W$6</xm:f>
          </x14:formula1>
          <xm:sqref>CU2:CU5000</xm:sqref>
        </x14:dataValidation>
        <x14:dataValidation type="list" allowBlank="1" showInputMessage="1" showErrorMessage="1" xr:uid="{00000000-0002-0000-0A00-000067000000}">
          <x14:formula1>
            <xm:f>DropDownMenu!$X$2:$X$26</xm:f>
          </x14:formula1>
          <xm:sqref>W2:W5000</xm:sqref>
        </x14:dataValidation>
        <x14:dataValidation type="list" allowBlank="1" showInputMessage="1" showErrorMessage="1" xr:uid="{00000000-0002-0000-0A00-000068000000}">
          <x14:formula1>
            <xm:f>DropDownMenu!$Y$2:$Y$7</xm:f>
          </x14:formula1>
          <xm:sqref>X2:X5000</xm:sqref>
        </x14:dataValidation>
        <x14:dataValidation type="list" allowBlank="1" showInputMessage="1" showErrorMessage="1" xr:uid="{00000000-0002-0000-0A00-000069000000}">
          <x14:formula1>
            <xm:f>DropDownMenu!$Z$2:$Z$15</xm:f>
          </x14:formula1>
          <xm:sqref>Y2:Y5000</xm:sqref>
        </x14:dataValidation>
        <x14:dataValidation type="list" allowBlank="1" showInputMessage="1" showErrorMessage="1" xr:uid="{00000000-0002-0000-0A00-00006A000000}">
          <x14:formula1>
            <xm:f>DropDownMenu!$AA$2:$AA$6</xm:f>
          </x14:formula1>
          <xm:sqref>Z2:Z5000</xm:sqref>
        </x14:dataValidation>
        <x14:dataValidation type="list" allowBlank="1" showInputMessage="1" showErrorMessage="1" xr:uid="{00000000-0002-0000-0A00-00006B000000}">
          <x14:formula1>
            <xm:f>DropDownMenu!$AB$2:$AB$7</xm:f>
          </x14:formula1>
          <xm:sqref>AA2:AA5000</xm:sqref>
        </x14:dataValidation>
        <x14:dataValidation type="list" allowBlank="1" showInputMessage="1" showErrorMessage="1" xr:uid="{00000000-0002-0000-0A00-00006C000000}">
          <x14:formula1>
            <xm:f>DropDownMenu!$AC$2:$AC$49</xm:f>
          </x14:formula1>
          <xm:sqref>AD2:AD5000</xm:sqref>
        </x14:dataValidation>
        <x14:dataValidation type="list" allowBlank="1" showInputMessage="1" showErrorMessage="1" xr:uid="{00000000-0002-0000-0A00-00006D000000}">
          <x14:formula1>
            <xm:f>DropDownMenu!$AD$2:$AD$52</xm:f>
          </x14:formula1>
          <xm:sqref>AE2:AE5000</xm:sqref>
        </x14:dataValidation>
        <x14:dataValidation type="list" allowBlank="1" showInputMessage="1" showErrorMessage="1" xr:uid="{00000000-0002-0000-0A00-00006E000000}">
          <x14:formula1>
            <xm:f>DropDownMenu!$AE$2:$AE$9</xm:f>
          </x14:formula1>
          <xm:sqref>AH2:AH5000</xm:sqref>
        </x14:dataValidation>
        <x14:dataValidation type="list" allowBlank="1" showInputMessage="1" showErrorMessage="1" xr:uid="{00000000-0002-0000-0A00-00006F000000}">
          <x14:formula1>
            <xm:f>DropDownMenu!$AF$2:$AF$6</xm:f>
          </x14:formula1>
          <xm:sqref>AI2:AI5000</xm:sqref>
        </x14:dataValidation>
        <x14:dataValidation type="list" allowBlank="1" showInputMessage="1" showErrorMessage="1" xr:uid="{00000000-0002-0000-0A00-000070000000}">
          <x14:formula1>
            <xm:f>DropDownMenu!$AG$2:$AG$11</xm:f>
          </x14:formula1>
          <xm:sqref>AJ2:AJ5000</xm:sqref>
        </x14:dataValidation>
        <x14:dataValidation type="list" allowBlank="1" showInputMessage="1" showErrorMessage="1" xr:uid="{00000000-0002-0000-0A00-000071000000}">
          <x14:formula1>
            <xm:f>DropDownMenu!$AH$2:$AH$2</xm:f>
          </x14:formula1>
          <xm:sqref>AK2:AK5000</xm:sqref>
        </x14:dataValidation>
        <x14:dataValidation type="list" allowBlank="1" showInputMessage="1" showErrorMessage="1" xr:uid="{00000000-0002-0000-0A00-000072000000}">
          <x14:formula1>
            <xm:f>DropDownMenu!$AI$2:$AI$2</xm:f>
          </x14:formula1>
          <xm:sqref>AL2:AL5000</xm:sqref>
        </x14:dataValidation>
        <x14:dataValidation type="list" allowBlank="1" showInputMessage="1" showErrorMessage="1" xr:uid="{00000000-0002-0000-0A00-000073000000}">
          <x14:formula1>
            <xm:f>DropDownMenu!$AJ$2:$AJ$2</xm:f>
          </x14:formula1>
          <xm:sqref>AM2:AM5000</xm:sqref>
        </x14:dataValidation>
        <x14:dataValidation type="list" allowBlank="1" showInputMessage="1" showErrorMessage="1" xr:uid="{00000000-0002-0000-0A00-000074000000}">
          <x14:formula1>
            <xm:f>DropDownMenu!$AK$2:$AK$2</xm:f>
          </x14:formula1>
          <xm:sqref>AN2:AN5000</xm:sqref>
        </x14:dataValidation>
        <x14:dataValidation type="list" allowBlank="1" showInputMessage="1" showErrorMessage="1" xr:uid="{00000000-0002-0000-0A00-000075000000}">
          <x14:formula1>
            <xm:f>DropDownMenu!$AL$2:$AL$2</xm:f>
          </x14:formula1>
          <xm:sqref>AO2:AO5000</xm:sqref>
        </x14:dataValidation>
        <x14:dataValidation type="list" allowBlank="1" showInputMessage="1" showErrorMessage="1" xr:uid="{00000000-0002-0000-0A00-000076000000}">
          <x14:formula1>
            <xm:f>DropDownMenu!$AM$2:$AM$5</xm:f>
          </x14:formula1>
          <xm:sqref>CS2:CS5000</xm:sqref>
        </x14:dataValidation>
        <x14:dataValidation type="list" allowBlank="1" showInputMessage="1" showErrorMessage="1" xr:uid="{00000000-0002-0000-0A00-000077000000}">
          <x14:formula1>
            <xm:f>DropDownMenu!$AN$2:$AN$13</xm:f>
          </x14:formula1>
          <xm:sqref>AR2:AR5000</xm:sqref>
        </x14:dataValidation>
        <x14:dataValidation type="list" allowBlank="1" showInputMessage="1" showErrorMessage="1" xr:uid="{00000000-0002-0000-0A00-000078000000}">
          <x14:formula1>
            <xm:f>DropDownMenu!$AO$2:$AO$40</xm:f>
          </x14:formula1>
          <xm:sqref>AS2:AS5000</xm:sqref>
        </x14:dataValidation>
        <x14:dataValidation type="list" allowBlank="1" showInputMessage="1" showErrorMessage="1" xr:uid="{00000000-0002-0000-0A00-000079000000}">
          <x14:formula1>
            <xm:f>DropDownMenu!$AP$2:$AP$274</xm:f>
          </x14:formula1>
          <xm:sqref>AT2:AT5000</xm:sqref>
        </x14:dataValidation>
        <x14:dataValidation type="list" allowBlank="1" showInputMessage="1" showErrorMessage="1" xr:uid="{00000000-0002-0000-0A00-00007A000000}">
          <x14:formula1>
            <xm:f>DropDownMenu!$AQ$2:$AQ$9</xm:f>
          </x14:formula1>
          <xm:sqref>BB2:BB5000</xm:sqref>
        </x14:dataValidation>
        <x14:dataValidation type="list" allowBlank="1" showInputMessage="1" showErrorMessage="1" xr:uid="{00000000-0002-0000-0A00-00007B000000}">
          <x14:formula1>
            <xm:f>DropDownMenu!$AR$2:$AR$11</xm:f>
          </x14:formula1>
          <xm:sqref>BC2:BC5000</xm:sqref>
        </x14:dataValidation>
        <x14:dataValidation type="list" allowBlank="1" showInputMessage="1" showErrorMessage="1" xr:uid="{00000000-0002-0000-0A00-00007C000000}">
          <x14:formula1>
            <xm:f>DropDownMenu!$AS$2:$AS$3</xm:f>
          </x14:formula1>
          <xm:sqref>BD2:BD5000</xm:sqref>
        </x14:dataValidation>
        <x14:dataValidation type="list" allowBlank="1" showInputMessage="1" showErrorMessage="1" xr:uid="{00000000-0002-0000-0A00-00007D000000}">
          <x14:formula1>
            <xm:f>DropDownMenu!$AT$2:$AT$4</xm:f>
          </x14:formula1>
          <xm:sqref>BE2:BE5000</xm:sqref>
        </x14:dataValidation>
        <x14:dataValidation type="list" allowBlank="1" showInputMessage="1" showErrorMessage="1" xr:uid="{00000000-0002-0000-0A00-00007E000000}">
          <x14:formula1>
            <xm:f>DropDownMenu!$AU$2:$AU$2</xm:f>
          </x14:formula1>
          <xm:sqref>BG2:BG5000</xm:sqref>
        </x14:dataValidation>
        <x14:dataValidation type="list" allowBlank="1" showInputMessage="1" showErrorMessage="1" xr:uid="{00000000-0002-0000-0A00-00007F000000}">
          <x14:formula1>
            <xm:f>DropDownMenu!$AV$2:$AV$9</xm:f>
          </x14:formula1>
          <xm:sqref>BH2:BH5000</xm:sqref>
        </x14:dataValidation>
        <x14:dataValidation type="list" allowBlank="1" showInputMessage="1" showErrorMessage="1" xr:uid="{00000000-0002-0000-0A00-000080000000}">
          <x14:formula1>
            <xm:f>DropDownMenu!$AW$2:$AW$81</xm:f>
          </x14:formula1>
          <xm:sqref>BI2:BI5000</xm:sqref>
        </x14:dataValidation>
        <x14:dataValidation type="list" allowBlank="1" showInputMessage="1" showErrorMessage="1" xr:uid="{00000000-0002-0000-0A00-000081000000}">
          <x14:formula1>
            <xm:f>DropDownMenu!$AX$2:$AX$3</xm:f>
          </x14:formula1>
          <xm:sqref>BJ2:BJ5000</xm:sqref>
        </x14:dataValidation>
        <x14:dataValidation type="list" allowBlank="1" showInputMessage="1" showErrorMessage="1" xr:uid="{00000000-0002-0000-0A00-000082000000}">
          <x14:formula1>
            <xm:f>DropDownMenu!$AY$2:$AY$7</xm:f>
          </x14:formula1>
          <xm:sqref>BK2:BK5000</xm:sqref>
        </x14:dataValidation>
        <x14:dataValidation type="list" allowBlank="1" showInputMessage="1" showErrorMessage="1" xr:uid="{00000000-0002-0000-0A00-000083000000}">
          <x14:formula1>
            <xm:f>DropDownMenu!$AZ$2:$AZ$9</xm:f>
          </x14:formula1>
          <xm:sqref>BL2:BL5000</xm:sqref>
        </x14:dataValidation>
        <x14:dataValidation type="list" allowBlank="1" showInputMessage="1" showErrorMessage="1" xr:uid="{00000000-0002-0000-0A00-000084000000}">
          <x14:formula1>
            <xm:f>DropDownMenu!$BA$2:$BA$9</xm:f>
          </x14:formula1>
          <xm:sqref>BM2:BM5000</xm:sqref>
        </x14:dataValidation>
        <x14:dataValidation type="list" allowBlank="1" showInputMessage="1" showErrorMessage="1" xr:uid="{00000000-0002-0000-0A00-000085000000}">
          <x14:formula1>
            <xm:f>DropDownMenu!$BB$2:$BB$3</xm:f>
          </x14:formula1>
          <xm:sqref>BN2:BN5000</xm:sqref>
        </x14:dataValidation>
        <x14:dataValidation type="list" allowBlank="1" showInputMessage="1" showErrorMessage="1" xr:uid="{00000000-0002-0000-0A00-000086000000}">
          <x14:formula1>
            <xm:f>DropDownMenu!$BC$2:$BC$2</xm:f>
          </x14:formula1>
          <xm:sqref>BO2:BO5000</xm:sqref>
        </x14:dataValidation>
        <x14:dataValidation type="list" allowBlank="1" showInputMessage="1" showErrorMessage="1" xr:uid="{00000000-0002-0000-0A00-000087000000}">
          <x14:formula1>
            <xm:f>DropDownMenu!$BD$2:$BD$29</xm:f>
          </x14:formula1>
          <xm:sqref>BQ2:BQ5000</xm:sqref>
        </x14:dataValidation>
        <x14:dataValidation type="list" allowBlank="1" showInputMessage="1" showErrorMessage="1" xr:uid="{00000000-0002-0000-0A00-000088000000}">
          <x14:formula1>
            <xm:f>DropDownMenu!$BE$2:$BE$2</xm:f>
          </x14:formula1>
          <xm:sqref>BT2:BT5000</xm:sqref>
        </x14:dataValidation>
        <x14:dataValidation type="list" allowBlank="1" showInputMessage="1" showErrorMessage="1" xr:uid="{00000000-0002-0000-0A00-000089000000}">
          <x14:formula1>
            <xm:f>DropDownMenu!$BF$2:$BF$33</xm:f>
          </x14:formula1>
          <xm:sqref>BU2:BU5000</xm:sqref>
        </x14:dataValidation>
        <x14:dataValidation type="list" allowBlank="1" showInputMessage="1" showErrorMessage="1" xr:uid="{00000000-0002-0000-0A00-00008A000000}">
          <x14:formula1>
            <xm:f>DropDownMenu!$BG$2:$BG$2</xm:f>
          </x14:formula1>
          <xm:sqref>BV2:BV5000</xm:sqref>
        </x14:dataValidation>
        <x14:dataValidation type="list" allowBlank="1" showInputMessage="1" showErrorMessage="1" xr:uid="{00000000-0002-0000-0A00-00008B000000}">
          <x14:formula1>
            <xm:f>DropDownMenu!$BH$2:$BH$4</xm:f>
          </x14:formula1>
          <xm:sqref>AW2:AW5000</xm:sqref>
        </x14:dataValidation>
        <x14:dataValidation type="list" allowBlank="1" showInputMessage="1" showErrorMessage="1" xr:uid="{00000000-0002-0000-0A00-00008C000000}">
          <x14:formula1>
            <xm:f>DropDownMenu!$BI$2:$BI$2</xm:f>
          </x14:formula1>
          <xm:sqref>BW2:BW5000</xm:sqref>
        </x14:dataValidation>
        <x14:dataValidation type="list" allowBlank="1" showInputMessage="1" showErrorMessage="1" xr:uid="{00000000-0002-0000-0A00-00008D000000}">
          <x14:formula1>
            <xm:f>DropDownMenu!$BJ$2:$BJ$2</xm:f>
          </x14:formula1>
          <xm:sqref>BX2:BX5000</xm:sqref>
        </x14:dataValidation>
        <x14:dataValidation type="list" allowBlank="1" showInputMessage="1" showErrorMessage="1" xr:uid="{00000000-0002-0000-0A00-00008E000000}">
          <x14:formula1>
            <xm:f>DropDownMenu!$BK$2:$BK$2</xm:f>
          </x14:formula1>
          <xm:sqref>BY2:BY5000</xm:sqref>
        </x14:dataValidation>
        <x14:dataValidation type="list" allowBlank="1" showInputMessage="1" showErrorMessage="1" xr:uid="{00000000-0002-0000-0A00-00008F000000}">
          <x14:formula1>
            <xm:f>DropDownMenu!$BL$2:$BL$8</xm:f>
          </x14:formula1>
          <xm:sqref>BZ2:BZ5000</xm:sqref>
        </x14:dataValidation>
        <x14:dataValidation type="list" allowBlank="1" showInputMessage="1" showErrorMessage="1" xr:uid="{00000000-0002-0000-0A00-000090000000}">
          <x14:formula1>
            <xm:f>DropDownMenu!$BM$2:$BM$8</xm:f>
          </x14:formula1>
          <xm:sqref>CA2:CA5000</xm:sqref>
        </x14:dataValidation>
        <x14:dataValidation type="list" allowBlank="1" showInputMessage="1" showErrorMessage="1" xr:uid="{00000000-0002-0000-0A00-000091000000}">
          <x14:formula1>
            <xm:f>DropDownMenu!$BN$2:$BN$8</xm:f>
          </x14:formula1>
          <xm:sqref>CB2:CB5000</xm:sqref>
        </x14:dataValidation>
        <x14:dataValidation type="list" allowBlank="1" showInputMessage="1" showErrorMessage="1" xr:uid="{00000000-0002-0000-0A00-000092000000}">
          <x14:formula1>
            <xm:f>DropDownMenu!$BO$2:$BO$6</xm:f>
          </x14:formula1>
          <xm:sqref>CC2:CC5000</xm:sqref>
        </x14:dataValidation>
        <x14:dataValidation type="list" allowBlank="1" showInputMessage="1" showErrorMessage="1" xr:uid="{00000000-0002-0000-0A00-000093000000}">
          <x14:formula1>
            <xm:f>DropDownMenu!$BP$2:$BP$2</xm:f>
          </x14:formula1>
          <xm:sqref>CD2:CD5000</xm:sqref>
        </x14:dataValidation>
        <x14:dataValidation type="list" allowBlank="1" showInputMessage="1" showErrorMessage="1" xr:uid="{00000000-0002-0000-0A00-000094000000}">
          <x14:formula1>
            <xm:f>DropDownMenu!$BQ$2:$BQ$2</xm:f>
          </x14:formula1>
          <xm:sqref>CE2:CE5000</xm:sqref>
        </x14:dataValidation>
        <x14:dataValidation type="list" allowBlank="1" showInputMessage="1" showErrorMessage="1" xr:uid="{00000000-0002-0000-0A00-000095000000}">
          <x14:formula1>
            <xm:f>DropDownMenu!$BR$2:$BR$2</xm:f>
          </x14:formula1>
          <xm:sqref>CF2:CF5000</xm:sqref>
        </x14:dataValidation>
        <x14:dataValidation type="list" allowBlank="1" showInputMessage="1" showErrorMessage="1" xr:uid="{00000000-0002-0000-0A00-000096000000}">
          <x14:formula1>
            <xm:f>DropDownMenu!$BS$2:$BS$2</xm:f>
          </x14:formula1>
          <xm:sqref>CG2:CG5000</xm:sqref>
        </x14:dataValidation>
        <x14:dataValidation type="list" allowBlank="1" showInputMessage="1" showErrorMessage="1" xr:uid="{00000000-0002-0000-0A00-000097000000}">
          <x14:formula1>
            <xm:f>DropDownMenu!$BT$2:$BT$2</xm:f>
          </x14:formula1>
          <xm:sqref>CH2:CH5000</xm:sqref>
        </x14:dataValidation>
        <x14:dataValidation type="list" allowBlank="1" showInputMessage="1" showErrorMessage="1" xr:uid="{00000000-0002-0000-0A00-000098000000}">
          <x14:formula1>
            <xm:f>DropDownMenu!$BU$2:$BU$2</xm:f>
          </x14:formula1>
          <xm:sqref>CN2:CN5000</xm:sqref>
        </x14:dataValidation>
        <x14:dataValidation type="list" allowBlank="1" showInputMessage="1" showErrorMessage="1" xr:uid="{00000000-0002-0000-0A00-000099000000}">
          <x14:formula1>
            <xm:f>DropDownMenu!$BV$2:$BV$2</xm:f>
          </x14:formula1>
          <xm:sqref>CO2:CO5000</xm:sqref>
        </x14:dataValidation>
        <x14:dataValidation type="list" allowBlank="1" showInputMessage="1" showErrorMessage="1" xr:uid="{00000000-0002-0000-0A00-00009A000000}">
          <x14:formula1>
            <xm:f>DropDownMenu!$BW$2:$BW$2</xm:f>
          </x14:formula1>
          <xm:sqref>CQ2:CQ5000</xm:sqref>
        </x14:dataValidation>
        <x14:dataValidation type="list" allowBlank="1" showInputMessage="1" showErrorMessage="1" xr:uid="{00000000-0002-0000-0A00-00009B000000}">
          <x14:formula1>
            <xm:f>DropDownMenu!$BX$2:$BX$2</xm:f>
          </x14:formula1>
          <xm:sqref>CT2:CT5000</xm:sqref>
        </x14:dataValidation>
        <x14:dataValidation type="list" allowBlank="1" showInputMessage="1" showErrorMessage="1" xr:uid="{00000000-0002-0000-0A00-00009C000000}">
          <x14:formula1>
            <xm:f>DropDownMenu!$BY$2:$BY$77</xm:f>
          </x14:formula1>
          <xm:sqref>AU2:AU5000</xm:sqref>
        </x14:dataValidation>
        <x14:dataValidation type="list" allowBlank="1" showInputMessage="1" showErrorMessage="1" xr:uid="{00000000-0002-0000-0A00-00009D000000}">
          <x14:formula1>
            <xm:f>DropDownMenu!$BZ$2:$BZ$3</xm:f>
          </x14:formula1>
          <xm:sqref>CV2:CV5000</xm:sqref>
        </x14:dataValidation>
        <x14:dataValidation type="list" allowBlank="1" showInputMessage="1" showErrorMessage="1" xr:uid="{00000000-0002-0000-0A00-00009E000000}">
          <x14:formula1>
            <xm:f>DropDownMenu!$CA$2:$CA$77</xm:f>
          </x14:formula1>
          <xm:sqref>AV2:AV5000</xm:sqref>
        </x14:dataValidation>
        <x14:dataValidation type="list" allowBlank="1" showInputMessage="1" showErrorMessage="1" xr:uid="{00000000-0002-0000-0A00-00009F000000}">
          <x14:formula1>
            <xm:f>DropDownMenu!$CB$2:$CB$3</xm:f>
          </x14:formula1>
          <xm:sqref>AX2:AX5000</xm:sqref>
        </x14:dataValidation>
        <x14:dataValidation type="list" allowBlank="1" showInputMessage="1" showErrorMessage="1" xr:uid="{00000000-0002-0000-0A00-0000A0000000}">
          <x14:formula1>
            <xm:f>DropDownMenu!$CC$2:$CC$3</xm:f>
          </x14:formula1>
          <xm:sqref>AY2:AY5000</xm:sqref>
        </x14:dataValidation>
        <x14:dataValidation type="list" allowBlank="1" showInputMessage="1" showErrorMessage="1" xr:uid="{00000000-0002-0000-0A00-0000A1000000}">
          <x14:formula1>
            <xm:f>DropDownMenu!$CD$2:$CD$10</xm:f>
          </x14:formula1>
          <xm:sqref>BA2:BA5000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F564"/>
  <sheetViews>
    <sheetView workbookViewId="0"/>
  </sheetViews>
  <sheetFormatPr baseColWidth="10" defaultColWidth="8.83203125" defaultRowHeight="15" x14ac:dyDescent="0.2"/>
  <sheetData>
    <row r="1" spans="1:84" x14ac:dyDescent="0.2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1571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95</v>
      </c>
      <c r="V1" t="s">
        <v>21</v>
      </c>
      <c r="W1" t="s">
        <v>98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29</v>
      </c>
      <c r="AD1" t="s">
        <v>30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96</v>
      </c>
      <c r="AN1" t="s">
        <v>43</v>
      </c>
      <c r="AO1" t="s">
        <v>44</v>
      </c>
      <c r="AP1" t="s">
        <v>45</v>
      </c>
      <c r="AQ1" t="s">
        <v>53</v>
      </c>
      <c r="AR1" t="s">
        <v>54</v>
      </c>
      <c r="AS1" t="s">
        <v>55</v>
      </c>
      <c r="AT1" t="s">
        <v>56</v>
      </c>
      <c r="AU1" t="s">
        <v>58</v>
      </c>
      <c r="AV1" t="s">
        <v>59</v>
      </c>
      <c r="AW1" t="s">
        <v>60</v>
      </c>
      <c r="AX1" t="s">
        <v>61</v>
      </c>
      <c r="AY1" t="s">
        <v>62</v>
      </c>
      <c r="AZ1" t="s">
        <v>63</v>
      </c>
      <c r="BA1" t="s">
        <v>64</v>
      </c>
      <c r="BB1" t="s">
        <v>65</v>
      </c>
      <c r="BC1" t="s">
        <v>66</v>
      </c>
      <c r="BD1" t="s">
        <v>68</v>
      </c>
      <c r="BE1" t="s">
        <v>71</v>
      </c>
      <c r="BF1" t="s">
        <v>72</v>
      </c>
      <c r="BG1" t="s">
        <v>73</v>
      </c>
      <c r="BH1" t="s">
        <v>48</v>
      </c>
      <c r="BI1" t="s">
        <v>74</v>
      </c>
      <c r="BJ1" t="s">
        <v>75</v>
      </c>
      <c r="BK1" t="s">
        <v>76</v>
      </c>
      <c r="BL1" t="s">
        <v>77</v>
      </c>
      <c r="BM1" t="s">
        <v>78</v>
      </c>
      <c r="BN1" t="s">
        <v>79</v>
      </c>
      <c r="BO1" t="s">
        <v>80</v>
      </c>
      <c r="BP1" t="s">
        <v>81</v>
      </c>
      <c r="BQ1" t="s">
        <v>82</v>
      </c>
      <c r="BR1" t="s">
        <v>83</v>
      </c>
      <c r="BS1" t="s">
        <v>84</v>
      </c>
      <c r="BT1" t="s">
        <v>85</v>
      </c>
      <c r="BU1" t="s">
        <v>91</v>
      </c>
      <c r="BV1" t="s">
        <v>92</v>
      </c>
      <c r="BW1" t="s">
        <v>94</v>
      </c>
      <c r="BX1" t="s">
        <v>97</v>
      </c>
      <c r="BY1" t="s">
        <v>46</v>
      </c>
      <c r="BZ1" t="s">
        <v>99</v>
      </c>
      <c r="CA1" t="s">
        <v>47</v>
      </c>
      <c r="CB1" t="s">
        <v>49</v>
      </c>
      <c r="CC1" t="s">
        <v>50</v>
      </c>
      <c r="CD1" t="s">
        <v>52</v>
      </c>
      <c r="CE1" t="s">
        <v>1572</v>
      </c>
      <c r="CF1" t="s">
        <v>1573</v>
      </c>
    </row>
    <row r="2" spans="1:84" x14ac:dyDescent="0.2">
      <c r="A2" t="s">
        <v>1574</v>
      </c>
      <c r="B2" t="s">
        <v>1574</v>
      </c>
      <c r="C2" t="s">
        <v>1574</v>
      </c>
      <c r="D2" t="s">
        <v>1574</v>
      </c>
      <c r="E2" t="s">
        <v>1574</v>
      </c>
      <c r="F2" t="s">
        <v>1574</v>
      </c>
      <c r="G2" t="s">
        <v>765</v>
      </c>
      <c r="H2" t="s">
        <v>1575</v>
      </c>
      <c r="I2" t="s">
        <v>1576</v>
      </c>
      <c r="J2" t="s">
        <v>891</v>
      </c>
      <c r="K2" t="s">
        <v>330</v>
      </c>
      <c r="L2" t="s">
        <v>129</v>
      </c>
      <c r="M2" t="s">
        <v>1577</v>
      </c>
      <c r="N2" t="s">
        <v>1578</v>
      </c>
      <c r="O2" t="s">
        <v>499</v>
      </c>
      <c r="P2" t="s">
        <v>1579</v>
      </c>
      <c r="Q2" t="s">
        <v>129</v>
      </c>
      <c r="R2" t="s">
        <v>129</v>
      </c>
      <c r="S2" t="s">
        <v>1580</v>
      </c>
      <c r="T2" t="s">
        <v>149</v>
      </c>
      <c r="U2" t="s">
        <v>249</v>
      </c>
      <c r="V2" t="s">
        <v>239</v>
      </c>
      <c r="W2" t="s">
        <v>134</v>
      </c>
      <c r="X2" t="s">
        <v>129</v>
      </c>
      <c r="Y2" t="s">
        <v>129</v>
      </c>
      <c r="Z2" t="s">
        <v>129</v>
      </c>
      <c r="AA2" t="s">
        <v>142</v>
      </c>
      <c r="AB2" t="s">
        <v>1581</v>
      </c>
      <c r="AC2" t="s">
        <v>1582</v>
      </c>
      <c r="AD2" t="s">
        <v>1583</v>
      </c>
      <c r="AE2" t="s">
        <v>1583</v>
      </c>
      <c r="AF2" t="s">
        <v>1187</v>
      </c>
      <c r="AG2" t="s">
        <v>176</v>
      </c>
      <c r="AH2" t="s">
        <v>530</v>
      </c>
      <c r="AI2" t="s">
        <v>119</v>
      </c>
      <c r="AJ2" t="s">
        <v>211</v>
      </c>
      <c r="AK2" t="s">
        <v>177</v>
      </c>
      <c r="AL2" t="s">
        <v>221</v>
      </c>
      <c r="AM2" t="s">
        <v>174</v>
      </c>
      <c r="AN2" t="s">
        <v>411</v>
      </c>
      <c r="AO2" t="s">
        <v>1584</v>
      </c>
      <c r="AP2" t="s">
        <v>1585</v>
      </c>
      <c r="AQ2" t="s">
        <v>1586</v>
      </c>
      <c r="AR2" t="s">
        <v>1587</v>
      </c>
      <c r="AS2" t="s">
        <v>350</v>
      </c>
      <c r="AT2" t="s">
        <v>239</v>
      </c>
      <c r="AU2" t="s">
        <v>1588</v>
      </c>
      <c r="AV2" t="s">
        <v>103</v>
      </c>
      <c r="AW2" t="s">
        <v>1589</v>
      </c>
      <c r="AX2" t="s">
        <v>125</v>
      </c>
      <c r="AY2" t="s">
        <v>129</v>
      </c>
      <c r="AZ2" t="s">
        <v>125</v>
      </c>
      <c r="BA2" t="s">
        <v>1590</v>
      </c>
      <c r="BB2" t="s">
        <v>1591</v>
      </c>
      <c r="BC2" t="s">
        <v>127</v>
      </c>
      <c r="BD2" t="s">
        <v>167</v>
      </c>
      <c r="BE2" t="s">
        <v>128</v>
      </c>
      <c r="BF2" t="s">
        <v>129</v>
      </c>
      <c r="BG2" t="s">
        <v>129</v>
      </c>
      <c r="BH2" t="s">
        <v>121</v>
      </c>
      <c r="BI2" t="s">
        <v>130</v>
      </c>
      <c r="BJ2" t="s">
        <v>131</v>
      </c>
      <c r="BK2" t="s">
        <v>1592</v>
      </c>
      <c r="BL2" t="s">
        <v>1583</v>
      </c>
      <c r="BM2" t="s">
        <v>1592</v>
      </c>
      <c r="BN2" t="s">
        <v>1583</v>
      </c>
      <c r="BO2" t="s">
        <v>134</v>
      </c>
      <c r="BP2" t="s">
        <v>528</v>
      </c>
      <c r="BQ2" t="s">
        <v>783</v>
      </c>
      <c r="BR2" t="s">
        <v>130</v>
      </c>
      <c r="BS2" t="s">
        <v>126</v>
      </c>
      <c r="BT2" t="s">
        <v>131</v>
      </c>
      <c r="BU2" t="s">
        <v>128</v>
      </c>
      <c r="BV2" t="s">
        <v>1593</v>
      </c>
      <c r="BW2" t="s">
        <v>1594</v>
      </c>
      <c r="BX2" t="s">
        <v>1588</v>
      </c>
      <c r="BY2" t="s">
        <v>1565</v>
      </c>
      <c r="BZ2" t="s">
        <v>129</v>
      </c>
      <c r="CA2" t="s">
        <v>1595</v>
      </c>
      <c r="CB2" t="s">
        <v>122</v>
      </c>
      <c r="CC2" t="s">
        <v>161</v>
      </c>
      <c r="CD2" t="s">
        <v>123</v>
      </c>
      <c r="CE2" t="s">
        <v>1596</v>
      </c>
      <c r="CF2" t="s">
        <v>1597</v>
      </c>
    </row>
    <row r="3" spans="1:84" x14ac:dyDescent="0.2">
      <c r="A3" t="s">
        <v>1598</v>
      </c>
      <c r="B3" t="s">
        <v>1598</v>
      </c>
      <c r="C3" t="s">
        <v>1598</v>
      </c>
      <c r="D3" t="s">
        <v>1598</v>
      </c>
      <c r="E3" t="s">
        <v>1598</v>
      </c>
      <c r="F3" t="s">
        <v>1598</v>
      </c>
      <c r="G3" t="s">
        <v>787</v>
      </c>
      <c r="H3" t="s">
        <v>1599</v>
      </c>
      <c r="I3" t="s">
        <v>1600</v>
      </c>
      <c r="J3" t="s">
        <v>103</v>
      </c>
      <c r="K3" t="s">
        <v>1013</v>
      </c>
      <c r="L3" t="s">
        <v>137</v>
      </c>
      <c r="M3" t="s">
        <v>1601</v>
      </c>
      <c r="N3" t="s">
        <v>1220</v>
      </c>
      <c r="O3" t="s">
        <v>1602</v>
      </c>
      <c r="P3" t="s">
        <v>1603</v>
      </c>
      <c r="Q3" t="s">
        <v>108</v>
      </c>
      <c r="R3" t="s">
        <v>108</v>
      </c>
      <c r="S3" t="s">
        <v>1604</v>
      </c>
      <c r="T3" t="s">
        <v>780</v>
      </c>
      <c r="U3" t="s">
        <v>315</v>
      </c>
      <c r="V3" t="s">
        <v>111</v>
      </c>
      <c r="W3" t="s">
        <v>150</v>
      </c>
      <c r="X3" t="s">
        <v>776</v>
      </c>
      <c r="Y3" t="s">
        <v>134</v>
      </c>
      <c r="Z3" t="s">
        <v>134</v>
      </c>
      <c r="AA3" t="s">
        <v>1256</v>
      </c>
      <c r="AB3" t="s">
        <v>1605</v>
      </c>
      <c r="AC3" t="s">
        <v>1606</v>
      </c>
      <c r="AD3" t="s">
        <v>1589</v>
      </c>
      <c r="AE3" t="s">
        <v>1607</v>
      </c>
      <c r="AF3" t="s">
        <v>175</v>
      </c>
      <c r="AG3" t="s">
        <v>237</v>
      </c>
      <c r="AM3" t="s">
        <v>173</v>
      </c>
      <c r="AN3" t="s">
        <v>1608</v>
      </c>
      <c r="AO3" t="s">
        <v>1609</v>
      </c>
      <c r="AP3" t="s">
        <v>1610</v>
      </c>
      <c r="AQ3" t="s">
        <v>1611</v>
      </c>
      <c r="AR3" t="s">
        <v>1612</v>
      </c>
      <c r="AS3" t="s">
        <v>1613</v>
      </c>
      <c r="AT3" t="s">
        <v>111</v>
      </c>
      <c r="AV3" t="s">
        <v>329</v>
      </c>
      <c r="AW3" t="s">
        <v>1582</v>
      </c>
      <c r="AX3" t="s">
        <v>249</v>
      </c>
      <c r="AY3" t="s">
        <v>134</v>
      </c>
      <c r="AZ3" t="s">
        <v>1549</v>
      </c>
      <c r="BA3" t="s">
        <v>197</v>
      </c>
      <c r="BB3" t="s">
        <v>1614</v>
      </c>
      <c r="BD3" t="s">
        <v>226</v>
      </c>
      <c r="BF3" t="s">
        <v>134</v>
      </c>
      <c r="BH3" t="s">
        <v>1615</v>
      </c>
      <c r="BL3" t="s">
        <v>1616</v>
      </c>
      <c r="BM3" t="s">
        <v>1617</v>
      </c>
      <c r="BN3" t="s">
        <v>1617</v>
      </c>
      <c r="BO3" t="s">
        <v>1550</v>
      </c>
      <c r="BY3" t="s">
        <v>1618</v>
      </c>
      <c r="BZ3" t="s">
        <v>108</v>
      </c>
      <c r="CA3" t="s">
        <v>1619</v>
      </c>
      <c r="CB3" t="s">
        <v>160</v>
      </c>
      <c r="CC3" t="s">
        <v>180</v>
      </c>
      <c r="CD3" t="s">
        <v>1620</v>
      </c>
      <c r="CE3" t="s">
        <v>1621</v>
      </c>
      <c r="CF3" t="s">
        <v>1622</v>
      </c>
    </row>
    <row r="4" spans="1:84" x14ac:dyDescent="0.2">
      <c r="G4" t="s">
        <v>1623</v>
      </c>
      <c r="H4" t="s">
        <v>1624</v>
      </c>
      <c r="I4" t="s">
        <v>1625</v>
      </c>
      <c r="J4" t="s">
        <v>329</v>
      </c>
      <c r="K4" t="s">
        <v>520</v>
      </c>
      <c r="L4" t="s">
        <v>216</v>
      </c>
      <c r="M4" t="s">
        <v>1626</v>
      </c>
      <c r="N4" t="s">
        <v>499</v>
      </c>
      <c r="O4" t="s">
        <v>522</v>
      </c>
      <c r="P4" t="s">
        <v>1627</v>
      </c>
      <c r="Q4" t="s">
        <v>1513</v>
      </c>
      <c r="R4" t="s">
        <v>1628</v>
      </c>
      <c r="S4" t="s">
        <v>246</v>
      </c>
      <c r="T4" t="s">
        <v>523</v>
      </c>
      <c r="U4" t="s">
        <v>1629</v>
      </c>
      <c r="V4" t="s">
        <v>1514</v>
      </c>
      <c r="W4" t="s">
        <v>173</v>
      </c>
      <c r="X4" t="s">
        <v>954</v>
      </c>
      <c r="Y4" t="s">
        <v>150</v>
      </c>
      <c r="Z4" t="s">
        <v>217</v>
      </c>
      <c r="AA4" t="s">
        <v>1258</v>
      </c>
      <c r="AB4" t="s">
        <v>1630</v>
      </c>
      <c r="AC4" t="s">
        <v>1631</v>
      </c>
      <c r="AD4" t="s">
        <v>1582</v>
      </c>
      <c r="AE4" t="s">
        <v>1632</v>
      </c>
      <c r="AF4" t="s">
        <v>277</v>
      </c>
      <c r="AG4" t="s">
        <v>1633</v>
      </c>
      <c r="AM4" t="s">
        <v>547</v>
      </c>
      <c r="AN4" t="s">
        <v>1634</v>
      </c>
      <c r="AO4" t="s">
        <v>144</v>
      </c>
      <c r="AP4" t="s">
        <v>1542</v>
      </c>
      <c r="AQ4" t="s">
        <v>1635</v>
      </c>
      <c r="AR4" t="s">
        <v>349</v>
      </c>
      <c r="AT4" t="s">
        <v>1514</v>
      </c>
      <c r="AV4" t="s">
        <v>519</v>
      </c>
      <c r="AW4" t="s">
        <v>1636</v>
      </c>
      <c r="AY4" t="s">
        <v>150</v>
      </c>
      <c r="AZ4" t="s">
        <v>782</v>
      </c>
      <c r="BA4" t="s">
        <v>225</v>
      </c>
      <c r="BD4" t="s">
        <v>1637</v>
      </c>
      <c r="BF4" t="s">
        <v>217</v>
      </c>
      <c r="BH4" t="s">
        <v>565</v>
      </c>
      <c r="BL4" t="s">
        <v>1638</v>
      </c>
      <c r="BM4" t="s">
        <v>1639</v>
      </c>
      <c r="BN4" t="s">
        <v>1639</v>
      </c>
      <c r="BO4" t="s">
        <v>715</v>
      </c>
      <c r="BY4" t="s">
        <v>1640</v>
      </c>
      <c r="CA4" t="s">
        <v>1641</v>
      </c>
      <c r="CD4" t="s">
        <v>1642</v>
      </c>
      <c r="CE4" t="s">
        <v>1643</v>
      </c>
      <c r="CF4" t="s">
        <v>1644</v>
      </c>
    </row>
    <row r="5" spans="1:84" x14ac:dyDescent="0.2">
      <c r="G5" t="s">
        <v>1645</v>
      </c>
      <c r="H5" t="s">
        <v>1646</v>
      </c>
      <c r="I5" t="s">
        <v>1647</v>
      </c>
      <c r="J5" t="s">
        <v>519</v>
      </c>
      <c r="K5" t="s">
        <v>104</v>
      </c>
      <c r="L5" t="s">
        <v>234</v>
      </c>
      <c r="M5" t="s">
        <v>1511</v>
      </c>
      <c r="N5" t="s">
        <v>1648</v>
      </c>
      <c r="O5" t="s">
        <v>1649</v>
      </c>
      <c r="P5" t="s">
        <v>1650</v>
      </c>
      <c r="Q5" t="s">
        <v>635</v>
      </c>
      <c r="R5" t="s">
        <v>1513</v>
      </c>
      <c r="S5" t="s">
        <v>109</v>
      </c>
      <c r="T5" t="s">
        <v>110</v>
      </c>
      <c r="U5" t="s">
        <v>211</v>
      </c>
      <c r="W5" t="s">
        <v>1651</v>
      </c>
      <c r="X5" t="s">
        <v>792</v>
      </c>
      <c r="Y5" t="s">
        <v>173</v>
      </c>
      <c r="Z5" t="s">
        <v>132</v>
      </c>
      <c r="AA5" t="s">
        <v>1652</v>
      </c>
      <c r="AB5" t="s">
        <v>1617</v>
      </c>
      <c r="AC5" t="s">
        <v>1592</v>
      </c>
      <c r="AD5" t="s">
        <v>1653</v>
      </c>
      <c r="AE5" t="s">
        <v>1654</v>
      </c>
      <c r="AF5" t="s">
        <v>540</v>
      </c>
      <c r="AG5" t="s">
        <v>358</v>
      </c>
      <c r="AM5" t="s">
        <v>1292</v>
      </c>
      <c r="AN5" t="s">
        <v>178</v>
      </c>
      <c r="AO5" t="s">
        <v>1655</v>
      </c>
      <c r="AP5" t="s">
        <v>1656</v>
      </c>
      <c r="AQ5" t="s">
        <v>524</v>
      </c>
      <c r="AR5" t="s">
        <v>1657</v>
      </c>
      <c r="AV5" t="s">
        <v>766</v>
      </c>
      <c r="AW5" t="s">
        <v>1606</v>
      </c>
      <c r="AY5" t="s">
        <v>173</v>
      </c>
      <c r="AZ5" t="s">
        <v>249</v>
      </c>
      <c r="BA5" t="s">
        <v>1658</v>
      </c>
      <c r="BD5" t="s">
        <v>1659</v>
      </c>
      <c r="BF5" t="s">
        <v>1660</v>
      </c>
      <c r="BL5" t="s">
        <v>1661</v>
      </c>
      <c r="BM5" t="s">
        <v>1662</v>
      </c>
      <c r="BN5" t="s">
        <v>1662</v>
      </c>
      <c r="BO5" t="s">
        <v>1663</v>
      </c>
      <c r="BY5" t="s">
        <v>1664</v>
      </c>
      <c r="CA5" t="s">
        <v>1665</v>
      </c>
      <c r="CD5" t="s">
        <v>1666</v>
      </c>
      <c r="CE5" t="s">
        <v>1667</v>
      </c>
    </row>
    <row r="6" spans="1:84" x14ac:dyDescent="0.2">
      <c r="G6" t="s">
        <v>1668</v>
      </c>
      <c r="H6" t="s">
        <v>1669</v>
      </c>
      <c r="I6" t="s">
        <v>180</v>
      </c>
      <c r="J6" t="s">
        <v>703</v>
      </c>
      <c r="K6" t="s">
        <v>785</v>
      </c>
      <c r="L6" t="s">
        <v>560</v>
      </c>
      <c r="M6" t="s">
        <v>1670</v>
      </c>
      <c r="N6" t="s">
        <v>494</v>
      </c>
      <c r="O6" t="s">
        <v>1671</v>
      </c>
      <c r="P6" t="s">
        <v>1672</v>
      </c>
      <c r="R6" t="s">
        <v>633</v>
      </c>
      <c r="S6" t="s">
        <v>139</v>
      </c>
      <c r="T6" t="s">
        <v>1652</v>
      </c>
      <c r="W6" t="s">
        <v>177</v>
      </c>
      <c r="X6" t="s">
        <v>134</v>
      </c>
      <c r="Y6" t="s">
        <v>547</v>
      </c>
      <c r="Z6" t="s">
        <v>1110</v>
      </c>
      <c r="AA6" t="s">
        <v>114</v>
      </c>
      <c r="AB6" t="s">
        <v>1673</v>
      </c>
      <c r="AC6" t="s">
        <v>1607</v>
      </c>
      <c r="AD6" t="s">
        <v>1674</v>
      </c>
      <c r="AE6" t="s">
        <v>1661</v>
      </c>
      <c r="AF6" t="s">
        <v>117</v>
      </c>
      <c r="AG6" t="s">
        <v>540</v>
      </c>
      <c r="AN6" t="s">
        <v>143</v>
      </c>
      <c r="AO6" t="s">
        <v>1675</v>
      </c>
      <c r="AP6" t="s">
        <v>1676</v>
      </c>
      <c r="AQ6" t="s">
        <v>1677</v>
      </c>
      <c r="AR6" t="s">
        <v>1678</v>
      </c>
      <c r="AV6" t="s">
        <v>898</v>
      </c>
      <c r="AW6" t="s">
        <v>1631</v>
      </c>
      <c r="AY6" t="s">
        <v>547</v>
      </c>
      <c r="AZ6" t="s">
        <v>119</v>
      </c>
      <c r="BA6" t="s">
        <v>1679</v>
      </c>
      <c r="BD6" t="s">
        <v>1680</v>
      </c>
      <c r="BF6" t="s">
        <v>174</v>
      </c>
      <c r="BL6" t="s">
        <v>1681</v>
      </c>
      <c r="BM6" t="s">
        <v>1682</v>
      </c>
      <c r="BN6" t="s">
        <v>1683</v>
      </c>
      <c r="BO6" t="s">
        <v>1684</v>
      </c>
      <c r="BY6" t="s">
        <v>1685</v>
      </c>
      <c r="CA6" t="s">
        <v>1686</v>
      </c>
      <c r="CD6" t="s">
        <v>961</v>
      </c>
      <c r="CE6" t="s">
        <v>1687</v>
      </c>
    </row>
    <row r="7" spans="1:84" x14ac:dyDescent="0.2">
      <c r="G7" t="s">
        <v>1688</v>
      </c>
      <c r="H7" t="s">
        <v>1689</v>
      </c>
      <c r="I7" t="s">
        <v>237</v>
      </c>
      <c r="J7" t="s">
        <v>766</v>
      </c>
      <c r="K7" t="s">
        <v>895</v>
      </c>
      <c r="L7" t="s">
        <v>543</v>
      </c>
      <c r="M7" t="s">
        <v>1690</v>
      </c>
      <c r="N7" t="s">
        <v>1691</v>
      </c>
      <c r="O7" t="s">
        <v>1692</v>
      </c>
      <c r="P7" t="s">
        <v>1693</v>
      </c>
      <c r="R7" t="s">
        <v>635</v>
      </c>
      <c r="S7" t="s">
        <v>959</v>
      </c>
      <c r="T7" t="s">
        <v>114</v>
      </c>
      <c r="X7" t="s">
        <v>631</v>
      </c>
      <c r="Y7" t="s">
        <v>203</v>
      </c>
      <c r="Z7" t="s">
        <v>591</v>
      </c>
      <c r="AB7" t="s">
        <v>1694</v>
      </c>
      <c r="AC7" t="s">
        <v>1632</v>
      </c>
      <c r="AD7" t="s">
        <v>1606</v>
      </c>
      <c r="AE7" t="s">
        <v>1695</v>
      </c>
      <c r="AG7" t="s">
        <v>278</v>
      </c>
      <c r="AN7" t="s">
        <v>195</v>
      </c>
      <c r="AO7" t="s">
        <v>1566</v>
      </c>
      <c r="AP7" t="s">
        <v>1696</v>
      </c>
      <c r="AQ7" t="s">
        <v>1550</v>
      </c>
      <c r="AR7" t="s">
        <v>1697</v>
      </c>
      <c r="AV7" t="s">
        <v>1108</v>
      </c>
      <c r="AW7" t="s">
        <v>1607</v>
      </c>
      <c r="AY7" t="s">
        <v>203</v>
      </c>
      <c r="AZ7" t="s">
        <v>126</v>
      </c>
      <c r="BA7" t="s">
        <v>971</v>
      </c>
      <c r="BD7" t="s">
        <v>1698</v>
      </c>
      <c r="BF7" t="s">
        <v>1699</v>
      </c>
      <c r="BL7" t="s">
        <v>1700</v>
      </c>
      <c r="BM7" t="s">
        <v>1701</v>
      </c>
      <c r="BN7" t="s">
        <v>1701</v>
      </c>
      <c r="BY7" t="s">
        <v>1702</v>
      </c>
      <c r="CA7" t="s">
        <v>1703</v>
      </c>
      <c r="CD7" t="s">
        <v>1704</v>
      </c>
      <c r="CE7" t="s">
        <v>340</v>
      </c>
    </row>
    <row r="8" spans="1:84" x14ac:dyDescent="0.2">
      <c r="G8" t="s">
        <v>1006</v>
      </c>
      <c r="H8" t="s">
        <v>1705</v>
      </c>
      <c r="I8" t="s">
        <v>1706</v>
      </c>
      <c r="J8" t="s">
        <v>898</v>
      </c>
      <c r="K8" t="s">
        <v>767</v>
      </c>
      <c r="L8" t="s">
        <v>1707</v>
      </c>
      <c r="M8" t="s">
        <v>1708</v>
      </c>
      <c r="N8" t="s">
        <v>1709</v>
      </c>
      <c r="O8" t="s">
        <v>1710</v>
      </c>
      <c r="P8" t="s">
        <v>1711</v>
      </c>
      <c r="S8" t="s">
        <v>1712</v>
      </c>
      <c r="T8" t="s">
        <v>140</v>
      </c>
      <c r="X8" t="s">
        <v>696</v>
      </c>
      <c r="Z8" t="s">
        <v>113</v>
      </c>
      <c r="AC8" t="s">
        <v>1581</v>
      </c>
      <c r="AD8" t="s">
        <v>1713</v>
      </c>
      <c r="AE8" t="s">
        <v>1714</v>
      </c>
      <c r="AG8" t="s">
        <v>194</v>
      </c>
      <c r="AN8" t="s">
        <v>212</v>
      </c>
      <c r="AO8" t="s">
        <v>1715</v>
      </c>
      <c r="AP8" t="s">
        <v>1716</v>
      </c>
      <c r="AQ8" t="s">
        <v>193</v>
      </c>
      <c r="AR8" t="s">
        <v>1717</v>
      </c>
      <c r="AV8" t="s">
        <v>1398</v>
      </c>
      <c r="AW8" t="s">
        <v>1718</v>
      </c>
      <c r="AZ8" t="s">
        <v>481</v>
      </c>
      <c r="BA8" t="s">
        <v>1027</v>
      </c>
      <c r="BD8" t="s">
        <v>1205</v>
      </c>
      <c r="BF8" t="s">
        <v>1719</v>
      </c>
      <c r="BL8" t="s">
        <v>1683</v>
      </c>
      <c r="BM8" t="s">
        <v>1720</v>
      </c>
      <c r="BN8" t="s">
        <v>1720</v>
      </c>
      <c r="BY8" t="s">
        <v>1721</v>
      </c>
      <c r="CA8" t="s">
        <v>1722</v>
      </c>
      <c r="CD8" t="s">
        <v>1723</v>
      </c>
      <c r="CE8" t="s">
        <v>1724</v>
      </c>
    </row>
    <row r="9" spans="1:84" x14ac:dyDescent="0.2">
      <c r="G9" t="s">
        <v>1725</v>
      </c>
      <c r="H9" t="s">
        <v>1726</v>
      </c>
      <c r="I9" t="s">
        <v>1727</v>
      </c>
      <c r="J9" t="s">
        <v>1108</v>
      </c>
      <c r="K9" t="s">
        <v>1129</v>
      </c>
      <c r="L9" t="s">
        <v>1510</v>
      </c>
      <c r="M9" t="s">
        <v>1652</v>
      </c>
      <c r="N9" t="s">
        <v>1728</v>
      </c>
      <c r="O9" t="s">
        <v>1729</v>
      </c>
      <c r="P9" t="s">
        <v>1730</v>
      </c>
      <c r="S9" t="s">
        <v>1731</v>
      </c>
      <c r="T9" t="s">
        <v>1732</v>
      </c>
      <c r="X9" t="s">
        <v>516</v>
      </c>
      <c r="Z9" t="s">
        <v>151</v>
      </c>
      <c r="AC9" t="s">
        <v>1733</v>
      </c>
      <c r="AD9" t="s">
        <v>1607</v>
      </c>
      <c r="AE9" t="s">
        <v>1734</v>
      </c>
      <c r="AG9" t="s">
        <v>1735</v>
      </c>
      <c r="AN9" t="s">
        <v>422</v>
      </c>
      <c r="AO9" t="s">
        <v>1736</v>
      </c>
      <c r="AP9" t="s">
        <v>1737</v>
      </c>
      <c r="AQ9" t="s">
        <v>1738</v>
      </c>
      <c r="AR9" t="s">
        <v>1739</v>
      </c>
      <c r="AV9" t="s">
        <v>717</v>
      </c>
      <c r="AW9" t="s">
        <v>1740</v>
      </c>
      <c r="AZ9" t="s">
        <v>177</v>
      </c>
      <c r="BA9" t="s">
        <v>1098</v>
      </c>
      <c r="BD9" t="s">
        <v>1274</v>
      </c>
      <c r="BF9" t="s">
        <v>132</v>
      </c>
      <c r="BY9" t="s">
        <v>1741</v>
      </c>
      <c r="CA9" t="s">
        <v>1742</v>
      </c>
      <c r="CD9" t="s">
        <v>1387</v>
      </c>
      <c r="CE9" t="s">
        <v>1743</v>
      </c>
    </row>
    <row r="10" spans="1:84" x14ac:dyDescent="0.2">
      <c r="G10" t="s">
        <v>1744</v>
      </c>
      <c r="H10" t="s">
        <v>1745</v>
      </c>
      <c r="I10" t="s">
        <v>1746</v>
      </c>
      <c r="J10" t="s">
        <v>1384</v>
      </c>
      <c r="K10" t="s">
        <v>581</v>
      </c>
      <c r="L10" t="s">
        <v>1747</v>
      </c>
      <c r="M10" t="s">
        <v>1748</v>
      </c>
      <c r="N10" t="s">
        <v>1749</v>
      </c>
      <c r="O10" t="s">
        <v>1750</v>
      </c>
      <c r="P10" t="s">
        <v>1751</v>
      </c>
      <c r="S10" t="s">
        <v>326</v>
      </c>
      <c r="T10" t="s">
        <v>1752</v>
      </c>
      <c r="X10" t="s">
        <v>247</v>
      </c>
      <c r="Z10" t="s">
        <v>332</v>
      </c>
      <c r="AC10" t="s">
        <v>1753</v>
      </c>
      <c r="AD10" t="s">
        <v>1632</v>
      </c>
      <c r="AG10" t="s">
        <v>118</v>
      </c>
      <c r="AN10" t="s">
        <v>725</v>
      </c>
      <c r="AO10" t="s">
        <v>1754</v>
      </c>
      <c r="AP10" t="s">
        <v>1755</v>
      </c>
      <c r="AR10" t="s">
        <v>1756</v>
      </c>
      <c r="AW10" t="s">
        <v>1757</v>
      </c>
      <c r="BD10" t="s">
        <v>1150</v>
      </c>
      <c r="BF10" t="s">
        <v>146</v>
      </c>
      <c r="BY10" t="s">
        <v>1517</v>
      </c>
      <c r="CA10" t="s">
        <v>1758</v>
      </c>
      <c r="CD10" t="s">
        <v>1759</v>
      </c>
      <c r="CE10" t="s">
        <v>1760</v>
      </c>
    </row>
    <row r="11" spans="1:84" x14ac:dyDescent="0.2">
      <c r="G11" t="s">
        <v>1761</v>
      </c>
      <c r="H11" t="s">
        <v>1762</v>
      </c>
      <c r="I11" t="s">
        <v>1763</v>
      </c>
      <c r="K11" t="s">
        <v>1147</v>
      </c>
      <c r="L11" t="s">
        <v>1764</v>
      </c>
      <c r="M11" t="s">
        <v>1765</v>
      </c>
      <c r="N11" t="s">
        <v>775</v>
      </c>
      <c r="O11" t="s">
        <v>1766</v>
      </c>
      <c r="P11" t="s">
        <v>244</v>
      </c>
      <c r="S11" t="s">
        <v>1767</v>
      </c>
      <c r="T11" t="s">
        <v>1768</v>
      </c>
      <c r="X11" t="s">
        <v>495</v>
      </c>
      <c r="Z11" t="s">
        <v>1769</v>
      </c>
      <c r="AC11" t="s">
        <v>1654</v>
      </c>
      <c r="AD11" t="s">
        <v>1770</v>
      </c>
      <c r="AG11" t="s">
        <v>1771</v>
      </c>
      <c r="AN11" t="s">
        <v>232</v>
      </c>
      <c r="AO11" t="s">
        <v>1772</v>
      </c>
      <c r="AP11" t="s">
        <v>1773</v>
      </c>
      <c r="AR11" t="s">
        <v>1774</v>
      </c>
      <c r="AW11" t="s">
        <v>1770</v>
      </c>
      <c r="BD11" t="s">
        <v>1254</v>
      </c>
      <c r="BF11" t="s">
        <v>1775</v>
      </c>
      <c r="BY11" t="s">
        <v>1776</v>
      </c>
      <c r="CA11" t="s">
        <v>1777</v>
      </c>
      <c r="CE11" t="s">
        <v>1778</v>
      </c>
    </row>
    <row r="12" spans="1:84" x14ac:dyDescent="0.2">
      <c r="G12" t="s">
        <v>1133</v>
      </c>
      <c r="H12" t="s">
        <v>1779</v>
      </c>
      <c r="I12" t="s">
        <v>1780</v>
      </c>
      <c r="K12" t="s">
        <v>1781</v>
      </c>
      <c r="L12" t="s">
        <v>1782</v>
      </c>
      <c r="M12" t="s">
        <v>1783</v>
      </c>
      <c r="N12" t="s">
        <v>1784</v>
      </c>
      <c r="O12" t="s">
        <v>669</v>
      </c>
      <c r="P12" t="s">
        <v>1785</v>
      </c>
      <c r="T12" t="s">
        <v>1786</v>
      </c>
      <c r="X12" t="s">
        <v>478</v>
      </c>
      <c r="Z12" t="s">
        <v>141</v>
      </c>
      <c r="AC12" t="s">
        <v>1605</v>
      </c>
      <c r="AD12" t="s">
        <v>1753</v>
      </c>
      <c r="AN12" t="s">
        <v>1787</v>
      </c>
      <c r="AO12" t="s">
        <v>1788</v>
      </c>
      <c r="AP12" t="s">
        <v>1789</v>
      </c>
      <c r="AW12" t="s">
        <v>1581</v>
      </c>
      <c r="BD12" t="s">
        <v>1162</v>
      </c>
      <c r="BF12" t="s">
        <v>1110</v>
      </c>
      <c r="BY12" t="s">
        <v>1520</v>
      </c>
      <c r="CA12" t="s">
        <v>1790</v>
      </c>
      <c r="CE12" t="s">
        <v>1791</v>
      </c>
    </row>
    <row r="13" spans="1:84" x14ac:dyDescent="0.2">
      <c r="G13" t="s">
        <v>1180</v>
      </c>
      <c r="H13" t="s">
        <v>1792</v>
      </c>
      <c r="I13" t="s">
        <v>1793</v>
      </c>
      <c r="K13" t="s">
        <v>136</v>
      </c>
      <c r="L13" t="s">
        <v>1794</v>
      </c>
      <c r="M13" t="s">
        <v>1795</v>
      </c>
      <c r="N13" t="s">
        <v>953</v>
      </c>
      <c r="O13" t="s">
        <v>1333</v>
      </c>
      <c r="P13" t="s">
        <v>1531</v>
      </c>
      <c r="T13" t="s">
        <v>1796</v>
      </c>
      <c r="X13" t="s">
        <v>290</v>
      </c>
      <c r="Z13" t="s">
        <v>193</v>
      </c>
      <c r="AC13" t="s">
        <v>1797</v>
      </c>
      <c r="AD13" t="s">
        <v>1654</v>
      </c>
      <c r="AN13" t="s">
        <v>333</v>
      </c>
      <c r="AO13" t="s">
        <v>1798</v>
      </c>
      <c r="AP13" t="s">
        <v>1799</v>
      </c>
      <c r="AW13" t="s">
        <v>1800</v>
      </c>
      <c r="BD13" t="s">
        <v>1322</v>
      </c>
      <c r="BF13" t="s">
        <v>1801</v>
      </c>
      <c r="BY13" t="s">
        <v>1802</v>
      </c>
      <c r="CA13" t="s">
        <v>1803</v>
      </c>
      <c r="CE13" t="s">
        <v>1804</v>
      </c>
    </row>
    <row r="14" spans="1:84" x14ac:dyDescent="0.2">
      <c r="G14" t="s">
        <v>1805</v>
      </c>
      <c r="H14" t="s">
        <v>1806</v>
      </c>
      <c r="I14" t="s">
        <v>1807</v>
      </c>
      <c r="K14" t="s">
        <v>1153</v>
      </c>
      <c r="L14" t="s">
        <v>1627</v>
      </c>
      <c r="M14" t="s">
        <v>1808</v>
      </c>
      <c r="N14" t="s">
        <v>969</v>
      </c>
      <c r="O14" t="s">
        <v>1809</v>
      </c>
      <c r="P14" t="s">
        <v>1810</v>
      </c>
      <c r="X14" t="s">
        <v>868</v>
      </c>
      <c r="Z14" t="s">
        <v>203</v>
      </c>
      <c r="AC14" t="s">
        <v>1811</v>
      </c>
      <c r="AD14" t="s">
        <v>1797</v>
      </c>
      <c r="AO14" t="s">
        <v>1812</v>
      </c>
      <c r="AP14" t="s">
        <v>1813</v>
      </c>
      <c r="AW14" t="s">
        <v>1814</v>
      </c>
      <c r="BD14" t="s">
        <v>816</v>
      </c>
      <c r="BF14" t="s">
        <v>150</v>
      </c>
      <c r="BY14" t="s">
        <v>1524</v>
      </c>
      <c r="CA14" t="s">
        <v>1518</v>
      </c>
      <c r="CE14" t="s">
        <v>1815</v>
      </c>
    </row>
    <row r="15" spans="1:84" x14ac:dyDescent="0.2">
      <c r="G15" t="s">
        <v>1816</v>
      </c>
      <c r="H15" t="s">
        <v>1817</v>
      </c>
      <c r="I15" t="s">
        <v>1818</v>
      </c>
      <c r="K15" t="s">
        <v>641</v>
      </c>
      <c r="L15" t="s">
        <v>1819</v>
      </c>
      <c r="M15" t="s">
        <v>1820</v>
      </c>
      <c r="N15" t="s">
        <v>1166</v>
      </c>
      <c r="O15" t="s">
        <v>1821</v>
      </c>
      <c r="P15" t="s">
        <v>1519</v>
      </c>
      <c r="X15" t="s">
        <v>1822</v>
      </c>
      <c r="Z15" t="s">
        <v>148</v>
      </c>
      <c r="AC15" t="s">
        <v>1630</v>
      </c>
      <c r="AD15" t="s">
        <v>1823</v>
      </c>
      <c r="AO15" t="s">
        <v>1824</v>
      </c>
      <c r="AP15" t="s">
        <v>1825</v>
      </c>
      <c r="AW15" t="s">
        <v>1826</v>
      </c>
      <c r="BD15" t="s">
        <v>511</v>
      </c>
      <c r="BF15" t="s">
        <v>591</v>
      </c>
      <c r="BY15" t="s">
        <v>1827</v>
      </c>
      <c r="CA15" t="s">
        <v>1563</v>
      </c>
      <c r="CE15" t="s">
        <v>1828</v>
      </c>
    </row>
    <row r="16" spans="1:84" x14ac:dyDescent="0.2">
      <c r="G16" t="s">
        <v>1829</v>
      </c>
      <c r="H16" t="s">
        <v>1830</v>
      </c>
      <c r="I16" t="s">
        <v>1831</v>
      </c>
      <c r="K16" t="s">
        <v>371</v>
      </c>
      <c r="L16" t="s">
        <v>1526</v>
      </c>
      <c r="M16" t="s">
        <v>1832</v>
      </c>
      <c r="N16" t="s">
        <v>1833</v>
      </c>
      <c r="O16" t="s">
        <v>1834</v>
      </c>
      <c r="P16" t="s">
        <v>814</v>
      </c>
      <c r="X16" t="s">
        <v>157</v>
      </c>
      <c r="AC16" t="s">
        <v>1835</v>
      </c>
      <c r="AD16" t="s">
        <v>1811</v>
      </c>
      <c r="AO16" t="s">
        <v>1836</v>
      </c>
      <c r="AP16" t="s">
        <v>1837</v>
      </c>
      <c r="AW16" t="s">
        <v>1654</v>
      </c>
      <c r="BD16" t="s">
        <v>1408</v>
      </c>
      <c r="BF16" t="s">
        <v>1485</v>
      </c>
      <c r="BY16" t="s">
        <v>1838</v>
      </c>
      <c r="CA16" t="s">
        <v>1839</v>
      </c>
      <c r="CE16" t="s">
        <v>1840</v>
      </c>
    </row>
    <row r="17" spans="7:83" x14ac:dyDescent="0.2">
      <c r="G17" t="s">
        <v>186</v>
      </c>
      <c r="H17" t="s">
        <v>1841</v>
      </c>
      <c r="I17" t="s">
        <v>1842</v>
      </c>
      <c r="K17" t="s">
        <v>1159</v>
      </c>
      <c r="L17" t="s">
        <v>1843</v>
      </c>
      <c r="N17" t="s">
        <v>1844</v>
      </c>
      <c r="O17" t="s">
        <v>1845</v>
      </c>
      <c r="P17" t="s">
        <v>833</v>
      </c>
      <c r="X17" t="s">
        <v>150</v>
      </c>
      <c r="AC17" t="s">
        <v>1846</v>
      </c>
      <c r="AD17" t="s">
        <v>1847</v>
      </c>
      <c r="AO17" t="s">
        <v>1848</v>
      </c>
      <c r="AP17" t="s">
        <v>1849</v>
      </c>
      <c r="AW17" t="s">
        <v>1850</v>
      </c>
      <c r="BD17" t="s">
        <v>1851</v>
      </c>
      <c r="BF17" t="s">
        <v>1852</v>
      </c>
      <c r="BY17" t="s">
        <v>1853</v>
      </c>
      <c r="CA17" t="s">
        <v>1854</v>
      </c>
      <c r="CE17" t="s">
        <v>1855</v>
      </c>
    </row>
    <row r="18" spans="7:83" x14ac:dyDescent="0.2">
      <c r="G18" t="s">
        <v>1856</v>
      </c>
      <c r="H18" t="s">
        <v>1857</v>
      </c>
      <c r="I18" t="s">
        <v>1858</v>
      </c>
      <c r="K18" t="s">
        <v>704</v>
      </c>
      <c r="L18" t="s">
        <v>1533</v>
      </c>
      <c r="N18" t="s">
        <v>1859</v>
      </c>
      <c r="O18" t="s">
        <v>1860</v>
      </c>
      <c r="P18" t="s">
        <v>1861</v>
      </c>
      <c r="X18" t="s">
        <v>112</v>
      </c>
      <c r="AC18" t="s">
        <v>1617</v>
      </c>
      <c r="AD18" t="s">
        <v>1630</v>
      </c>
      <c r="AO18" t="s">
        <v>1862</v>
      </c>
      <c r="AP18" t="s">
        <v>1863</v>
      </c>
      <c r="AW18" t="s">
        <v>1864</v>
      </c>
      <c r="BD18" t="s">
        <v>181</v>
      </c>
      <c r="BF18" t="s">
        <v>1865</v>
      </c>
      <c r="BY18" t="s">
        <v>1866</v>
      </c>
      <c r="CA18" t="s">
        <v>1867</v>
      </c>
      <c r="CE18" t="s">
        <v>1868</v>
      </c>
    </row>
    <row r="19" spans="7:83" x14ac:dyDescent="0.2">
      <c r="G19" t="s">
        <v>1869</v>
      </c>
      <c r="H19" t="s">
        <v>1870</v>
      </c>
      <c r="I19" t="s">
        <v>1871</v>
      </c>
      <c r="K19" t="s">
        <v>1872</v>
      </c>
      <c r="L19" t="s">
        <v>1873</v>
      </c>
      <c r="N19" t="s">
        <v>1874</v>
      </c>
      <c r="O19" t="s">
        <v>1875</v>
      </c>
      <c r="P19" t="s">
        <v>1876</v>
      </c>
      <c r="X19" t="s">
        <v>759</v>
      </c>
      <c r="AC19" t="s">
        <v>1877</v>
      </c>
      <c r="AD19" t="s">
        <v>1878</v>
      </c>
      <c r="AO19" t="s">
        <v>1523</v>
      </c>
      <c r="AP19" t="s">
        <v>1879</v>
      </c>
      <c r="AW19" t="s">
        <v>1880</v>
      </c>
      <c r="BD19" t="s">
        <v>1881</v>
      </c>
      <c r="BF19" t="s">
        <v>113</v>
      </c>
      <c r="BY19" t="s">
        <v>1882</v>
      </c>
      <c r="CA19" t="s">
        <v>1883</v>
      </c>
      <c r="CE19" t="s">
        <v>1884</v>
      </c>
    </row>
    <row r="20" spans="7:83" x14ac:dyDescent="0.2">
      <c r="H20" t="s">
        <v>1885</v>
      </c>
      <c r="I20" t="s">
        <v>1886</v>
      </c>
      <c r="K20" t="s">
        <v>774</v>
      </c>
      <c r="L20" t="s">
        <v>1529</v>
      </c>
      <c r="N20" t="s">
        <v>106</v>
      </c>
      <c r="O20" t="s">
        <v>1887</v>
      </c>
      <c r="P20" t="s">
        <v>1888</v>
      </c>
      <c r="X20" t="s">
        <v>1889</v>
      </c>
      <c r="AC20" t="s">
        <v>1890</v>
      </c>
      <c r="AD20" t="s">
        <v>1891</v>
      </c>
      <c r="AO20" t="s">
        <v>1892</v>
      </c>
      <c r="AP20" t="s">
        <v>1893</v>
      </c>
      <c r="AW20" t="s">
        <v>1894</v>
      </c>
      <c r="BD20" t="s">
        <v>1895</v>
      </c>
      <c r="BF20" t="s">
        <v>1896</v>
      </c>
      <c r="BY20" t="s">
        <v>1897</v>
      </c>
      <c r="CA20" t="s">
        <v>1898</v>
      </c>
      <c r="CE20" t="s">
        <v>1899</v>
      </c>
    </row>
    <row r="21" spans="7:83" x14ac:dyDescent="0.2">
      <c r="H21" t="s">
        <v>1900</v>
      </c>
      <c r="I21" t="s">
        <v>1901</v>
      </c>
      <c r="K21" t="s">
        <v>790</v>
      </c>
      <c r="L21" t="s">
        <v>1522</v>
      </c>
      <c r="N21" t="s">
        <v>521</v>
      </c>
      <c r="O21" t="s">
        <v>1902</v>
      </c>
      <c r="P21" t="s">
        <v>1903</v>
      </c>
      <c r="X21" t="s">
        <v>1204</v>
      </c>
      <c r="AC21" t="s">
        <v>1673</v>
      </c>
      <c r="AD21" t="s">
        <v>1877</v>
      </c>
      <c r="AO21" t="s">
        <v>1559</v>
      </c>
      <c r="AP21" t="s">
        <v>894</v>
      </c>
      <c r="AW21" t="s">
        <v>1811</v>
      </c>
      <c r="BD21" t="s">
        <v>808</v>
      </c>
      <c r="BF21" t="s">
        <v>1904</v>
      </c>
      <c r="BY21" t="s">
        <v>1905</v>
      </c>
      <c r="CA21" t="s">
        <v>1906</v>
      </c>
      <c r="CE21" t="s">
        <v>1907</v>
      </c>
    </row>
    <row r="22" spans="7:83" x14ac:dyDescent="0.2">
      <c r="H22" t="s">
        <v>1908</v>
      </c>
      <c r="I22" t="s">
        <v>1909</v>
      </c>
      <c r="K22" t="s">
        <v>981</v>
      </c>
      <c r="L22" t="s">
        <v>1910</v>
      </c>
      <c r="N22" t="s">
        <v>1911</v>
      </c>
      <c r="O22" t="s">
        <v>1912</v>
      </c>
      <c r="P22" t="s">
        <v>1913</v>
      </c>
      <c r="X22" t="s">
        <v>173</v>
      </c>
      <c r="AC22" t="s">
        <v>1914</v>
      </c>
      <c r="AD22" t="s">
        <v>1915</v>
      </c>
      <c r="AO22" t="s">
        <v>1548</v>
      </c>
      <c r="AP22" t="s">
        <v>1916</v>
      </c>
      <c r="AW22" t="s">
        <v>1917</v>
      </c>
      <c r="BD22" t="s">
        <v>1918</v>
      </c>
      <c r="BF22" t="s">
        <v>1919</v>
      </c>
      <c r="BY22" t="s">
        <v>1920</v>
      </c>
      <c r="CA22" t="s">
        <v>1921</v>
      </c>
      <c r="CE22" t="s">
        <v>1922</v>
      </c>
    </row>
    <row r="23" spans="7:83" x14ac:dyDescent="0.2">
      <c r="H23" t="s">
        <v>1923</v>
      </c>
      <c r="I23" t="s">
        <v>1924</v>
      </c>
      <c r="K23" t="s">
        <v>1202</v>
      </c>
      <c r="L23" t="s">
        <v>255</v>
      </c>
      <c r="N23" t="s">
        <v>1925</v>
      </c>
      <c r="O23" t="s">
        <v>1926</v>
      </c>
      <c r="P23" t="s">
        <v>1927</v>
      </c>
      <c r="X23" t="s">
        <v>692</v>
      </c>
      <c r="AC23" t="s">
        <v>1928</v>
      </c>
      <c r="AD23" t="s">
        <v>1929</v>
      </c>
      <c r="AO23" t="s">
        <v>1930</v>
      </c>
      <c r="AP23" t="s">
        <v>1931</v>
      </c>
      <c r="AW23" t="s">
        <v>1932</v>
      </c>
      <c r="BD23" t="s">
        <v>1933</v>
      </c>
      <c r="BF23" t="s">
        <v>173</v>
      </c>
      <c r="BY23" t="s">
        <v>1934</v>
      </c>
      <c r="CA23" t="s">
        <v>1935</v>
      </c>
      <c r="CE23" t="s">
        <v>1936</v>
      </c>
    </row>
    <row r="24" spans="7:83" x14ac:dyDescent="0.2">
      <c r="H24" t="s">
        <v>1937</v>
      </c>
      <c r="I24" t="s">
        <v>1938</v>
      </c>
      <c r="K24" t="s">
        <v>1214</v>
      </c>
      <c r="L24" t="s">
        <v>252</v>
      </c>
      <c r="N24" t="s">
        <v>763</v>
      </c>
      <c r="O24" t="s">
        <v>1939</v>
      </c>
      <c r="P24" t="s">
        <v>1940</v>
      </c>
      <c r="X24" t="s">
        <v>1226</v>
      </c>
      <c r="AC24" t="s">
        <v>1638</v>
      </c>
      <c r="AD24" t="s">
        <v>1914</v>
      </c>
      <c r="AO24" t="s">
        <v>1941</v>
      </c>
      <c r="AP24" t="s">
        <v>1942</v>
      </c>
      <c r="AW24" t="s">
        <v>1943</v>
      </c>
      <c r="BD24" t="s">
        <v>1309</v>
      </c>
      <c r="BF24" t="s">
        <v>151</v>
      </c>
      <c r="BY24" t="s">
        <v>1944</v>
      </c>
      <c r="CA24" t="s">
        <v>1945</v>
      </c>
      <c r="CE24" t="s">
        <v>1946</v>
      </c>
    </row>
    <row r="25" spans="7:83" x14ac:dyDescent="0.2">
      <c r="H25" t="s">
        <v>1947</v>
      </c>
      <c r="I25" t="s">
        <v>1948</v>
      </c>
      <c r="K25" t="s">
        <v>1223</v>
      </c>
      <c r="L25" t="s">
        <v>297</v>
      </c>
      <c r="N25" t="s">
        <v>753</v>
      </c>
      <c r="O25" t="s">
        <v>1949</v>
      </c>
      <c r="P25" t="s">
        <v>1950</v>
      </c>
      <c r="X25" t="s">
        <v>684</v>
      </c>
      <c r="AC25" t="s">
        <v>1639</v>
      </c>
      <c r="AD25" t="s">
        <v>1951</v>
      </c>
      <c r="AO25" t="s">
        <v>1952</v>
      </c>
      <c r="AP25" t="s">
        <v>1953</v>
      </c>
      <c r="AW25" t="s">
        <v>1630</v>
      </c>
      <c r="BD25" t="s">
        <v>1114</v>
      </c>
      <c r="BF25" t="s">
        <v>1954</v>
      </c>
      <c r="BY25" t="s">
        <v>1955</v>
      </c>
      <c r="CA25" t="s">
        <v>1956</v>
      </c>
      <c r="CE25" t="s">
        <v>1957</v>
      </c>
    </row>
    <row r="26" spans="7:83" x14ac:dyDescent="0.2">
      <c r="H26" t="s">
        <v>1958</v>
      </c>
      <c r="I26" t="s">
        <v>1959</v>
      </c>
      <c r="K26" t="s">
        <v>1251</v>
      </c>
      <c r="L26" t="s">
        <v>244</v>
      </c>
      <c r="N26" t="s">
        <v>1960</v>
      </c>
      <c r="O26" t="s">
        <v>1961</v>
      </c>
      <c r="P26" t="s">
        <v>1962</v>
      </c>
      <c r="X26" t="s">
        <v>1963</v>
      </c>
      <c r="AC26" t="s">
        <v>1964</v>
      </c>
      <c r="AD26" t="s">
        <v>1965</v>
      </c>
      <c r="AO26" t="s">
        <v>1555</v>
      </c>
      <c r="AP26" t="s">
        <v>1966</v>
      </c>
      <c r="AW26" t="s">
        <v>1967</v>
      </c>
      <c r="BD26" t="s">
        <v>1132</v>
      </c>
      <c r="BF26" t="s">
        <v>547</v>
      </c>
      <c r="BY26" t="s">
        <v>1968</v>
      </c>
      <c r="CA26" t="s">
        <v>1969</v>
      </c>
      <c r="CE26" t="s">
        <v>1970</v>
      </c>
    </row>
    <row r="27" spans="7:83" x14ac:dyDescent="0.2">
      <c r="H27" t="s">
        <v>1971</v>
      </c>
      <c r="I27" t="s">
        <v>1972</v>
      </c>
      <c r="K27" t="s">
        <v>155</v>
      </c>
      <c r="L27" t="s">
        <v>258</v>
      </c>
      <c r="N27" t="s">
        <v>1570</v>
      </c>
      <c r="O27" t="s">
        <v>1973</v>
      </c>
      <c r="P27" t="s">
        <v>1974</v>
      </c>
      <c r="AC27" t="s">
        <v>1694</v>
      </c>
      <c r="AD27" t="s">
        <v>1694</v>
      </c>
      <c r="AO27" t="s">
        <v>1975</v>
      </c>
      <c r="AP27" t="s">
        <v>1976</v>
      </c>
      <c r="AW27" t="s">
        <v>1846</v>
      </c>
      <c r="BD27" t="s">
        <v>1414</v>
      </c>
      <c r="BF27" t="s">
        <v>1977</v>
      </c>
      <c r="BY27" t="s">
        <v>1978</v>
      </c>
      <c r="CA27" t="s">
        <v>1979</v>
      </c>
      <c r="CE27" t="s">
        <v>1980</v>
      </c>
    </row>
    <row r="28" spans="7:83" x14ac:dyDescent="0.2">
      <c r="H28" t="s">
        <v>1981</v>
      </c>
      <c r="I28" t="s">
        <v>358</v>
      </c>
      <c r="K28" t="s">
        <v>164</v>
      </c>
      <c r="L28" t="s">
        <v>302</v>
      </c>
      <c r="N28" t="s">
        <v>1033</v>
      </c>
      <c r="O28" t="s">
        <v>1982</v>
      </c>
      <c r="P28" t="s">
        <v>1983</v>
      </c>
      <c r="AC28" t="s">
        <v>1984</v>
      </c>
      <c r="AD28" t="s">
        <v>1985</v>
      </c>
      <c r="AO28" t="s">
        <v>1986</v>
      </c>
      <c r="AP28" t="s">
        <v>1987</v>
      </c>
      <c r="AW28" t="s">
        <v>1616</v>
      </c>
      <c r="BD28" t="s">
        <v>198</v>
      </c>
      <c r="BF28" t="s">
        <v>203</v>
      </c>
      <c r="BY28" t="s">
        <v>1988</v>
      </c>
      <c r="CA28" t="s">
        <v>1989</v>
      </c>
      <c r="CE28" t="s">
        <v>1990</v>
      </c>
    </row>
    <row r="29" spans="7:83" x14ac:dyDescent="0.2">
      <c r="H29" t="s">
        <v>1991</v>
      </c>
      <c r="I29" t="s">
        <v>673</v>
      </c>
      <c r="K29" t="s">
        <v>1992</v>
      </c>
      <c r="L29" t="s">
        <v>880</v>
      </c>
      <c r="N29" t="s">
        <v>1993</v>
      </c>
      <c r="O29" t="s">
        <v>1994</v>
      </c>
      <c r="P29" t="s">
        <v>1995</v>
      </c>
      <c r="AC29" t="s">
        <v>1996</v>
      </c>
      <c r="AD29" t="s">
        <v>1661</v>
      </c>
      <c r="AO29" t="s">
        <v>1997</v>
      </c>
      <c r="AP29" t="s">
        <v>1998</v>
      </c>
      <c r="AW29" t="s">
        <v>1999</v>
      </c>
      <c r="BD29" t="s">
        <v>1652</v>
      </c>
      <c r="BF29" t="s">
        <v>2000</v>
      </c>
      <c r="BY29" t="s">
        <v>2001</v>
      </c>
      <c r="CA29" t="s">
        <v>2002</v>
      </c>
      <c r="CE29" t="s">
        <v>2003</v>
      </c>
    </row>
    <row r="30" spans="7:83" x14ac:dyDescent="0.2">
      <c r="H30" t="s">
        <v>2004</v>
      </c>
      <c r="I30" t="s">
        <v>2005</v>
      </c>
      <c r="K30" t="s">
        <v>2006</v>
      </c>
      <c r="L30" t="s">
        <v>1371</v>
      </c>
      <c r="N30" t="s">
        <v>2007</v>
      </c>
      <c r="O30" t="s">
        <v>2008</v>
      </c>
      <c r="P30" t="s">
        <v>2009</v>
      </c>
      <c r="AC30" t="s">
        <v>1661</v>
      </c>
      <c r="AD30" t="s">
        <v>2010</v>
      </c>
      <c r="AO30" t="s">
        <v>2011</v>
      </c>
      <c r="AP30" t="s">
        <v>2012</v>
      </c>
      <c r="AW30" t="s">
        <v>2013</v>
      </c>
      <c r="BF30" t="s">
        <v>1186</v>
      </c>
      <c r="BY30" t="s">
        <v>2014</v>
      </c>
      <c r="CA30" t="s">
        <v>2015</v>
      </c>
      <c r="CE30" t="s">
        <v>2016</v>
      </c>
    </row>
    <row r="31" spans="7:83" x14ac:dyDescent="0.2">
      <c r="H31" t="s">
        <v>2017</v>
      </c>
      <c r="I31" t="s">
        <v>2018</v>
      </c>
      <c r="K31" t="s">
        <v>1261</v>
      </c>
      <c r="L31" t="s">
        <v>2019</v>
      </c>
      <c r="N31" t="s">
        <v>1446</v>
      </c>
      <c r="O31" t="s">
        <v>2020</v>
      </c>
      <c r="P31" t="s">
        <v>2021</v>
      </c>
      <c r="AC31" t="s">
        <v>1662</v>
      </c>
      <c r="AD31" t="s">
        <v>2022</v>
      </c>
      <c r="AO31" t="s">
        <v>2023</v>
      </c>
      <c r="AP31" t="s">
        <v>2024</v>
      </c>
      <c r="AW31" t="s">
        <v>1617</v>
      </c>
      <c r="BF31" t="s">
        <v>108</v>
      </c>
      <c r="BY31" t="s">
        <v>2025</v>
      </c>
      <c r="CA31" t="s">
        <v>2026</v>
      </c>
      <c r="CE31" t="s">
        <v>2027</v>
      </c>
    </row>
    <row r="32" spans="7:83" x14ac:dyDescent="0.2">
      <c r="H32" t="s">
        <v>2028</v>
      </c>
      <c r="I32" t="s">
        <v>611</v>
      </c>
      <c r="K32" t="s">
        <v>2029</v>
      </c>
      <c r="L32" t="s">
        <v>1531</v>
      </c>
      <c r="N32" t="s">
        <v>324</v>
      </c>
      <c r="O32" t="s">
        <v>630</v>
      </c>
      <c r="P32" t="s">
        <v>2030</v>
      </c>
      <c r="AC32" t="s">
        <v>2031</v>
      </c>
      <c r="AD32" t="s">
        <v>2031</v>
      </c>
      <c r="AO32" t="s">
        <v>2032</v>
      </c>
      <c r="AP32" t="s">
        <v>2033</v>
      </c>
      <c r="AW32" t="s">
        <v>1915</v>
      </c>
      <c r="BF32" t="s">
        <v>1292</v>
      </c>
      <c r="BY32" t="s">
        <v>2034</v>
      </c>
      <c r="CA32" t="s">
        <v>2035</v>
      </c>
      <c r="CE32" t="s">
        <v>2036</v>
      </c>
    </row>
    <row r="33" spans="8:83" x14ac:dyDescent="0.2">
      <c r="H33" t="s">
        <v>2037</v>
      </c>
      <c r="I33" t="s">
        <v>2038</v>
      </c>
      <c r="K33" t="s">
        <v>902</v>
      </c>
      <c r="L33" t="s">
        <v>1810</v>
      </c>
      <c r="N33" t="s">
        <v>1451</v>
      </c>
      <c r="O33" t="s">
        <v>2039</v>
      </c>
      <c r="P33" t="s">
        <v>2040</v>
      </c>
      <c r="AC33" t="s">
        <v>2041</v>
      </c>
      <c r="AD33" t="s">
        <v>2041</v>
      </c>
      <c r="AO33" t="s">
        <v>2042</v>
      </c>
      <c r="AP33" t="s">
        <v>2043</v>
      </c>
      <c r="AW33" t="s">
        <v>1890</v>
      </c>
      <c r="BF33" t="s">
        <v>1628</v>
      </c>
      <c r="BY33" t="s">
        <v>2044</v>
      </c>
      <c r="CA33" t="s">
        <v>2045</v>
      </c>
      <c r="CE33" t="s">
        <v>2046</v>
      </c>
    </row>
    <row r="34" spans="8:83" x14ac:dyDescent="0.2">
      <c r="H34" t="s">
        <v>2047</v>
      </c>
      <c r="I34" t="s">
        <v>492</v>
      </c>
      <c r="K34" t="s">
        <v>1388</v>
      </c>
      <c r="L34" t="s">
        <v>2048</v>
      </c>
      <c r="N34" t="s">
        <v>1506</v>
      </c>
      <c r="O34" t="s">
        <v>616</v>
      </c>
      <c r="P34" t="s">
        <v>2049</v>
      </c>
      <c r="AC34" t="s">
        <v>2050</v>
      </c>
      <c r="AD34" t="s">
        <v>2051</v>
      </c>
      <c r="AO34" t="s">
        <v>2052</v>
      </c>
      <c r="AP34" t="s">
        <v>2053</v>
      </c>
      <c r="AW34" t="s">
        <v>2054</v>
      </c>
      <c r="BY34" t="s">
        <v>2055</v>
      </c>
      <c r="CA34" t="s">
        <v>2056</v>
      </c>
      <c r="CE34" t="s">
        <v>2057</v>
      </c>
    </row>
    <row r="35" spans="8:83" x14ac:dyDescent="0.2">
      <c r="H35" t="s">
        <v>2058</v>
      </c>
      <c r="I35" t="s">
        <v>2059</v>
      </c>
      <c r="K35" t="s">
        <v>1271</v>
      </c>
      <c r="L35" t="s">
        <v>1519</v>
      </c>
      <c r="N35" t="s">
        <v>289</v>
      </c>
      <c r="O35" t="s">
        <v>1025</v>
      </c>
      <c r="P35" t="s">
        <v>2060</v>
      </c>
      <c r="AC35" t="s">
        <v>1681</v>
      </c>
      <c r="AD35" t="s">
        <v>1681</v>
      </c>
      <c r="AO35" t="s">
        <v>2061</v>
      </c>
      <c r="AP35" t="s">
        <v>2062</v>
      </c>
      <c r="AW35" t="s">
        <v>2063</v>
      </c>
      <c r="BY35" t="s">
        <v>2064</v>
      </c>
      <c r="CA35" t="s">
        <v>2065</v>
      </c>
      <c r="CE35" t="s">
        <v>2066</v>
      </c>
    </row>
    <row r="36" spans="8:83" x14ac:dyDescent="0.2">
      <c r="H36" t="s">
        <v>2067</v>
      </c>
      <c r="I36" t="s">
        <v>2068</v>
      </c>
      <c r="K36" t="s">
        <v>991</v>
      </c>
      <c r="L36" t="s">
        <v>814</v>
      </c>
      <c r="N36" t="s">
        <v>942</v>
      </c>
      <c r="O36" t="s">
        <v>2069</v>
      </c>
      <c r="P36" t="s">
        <v>2070</v>
      </c>
      <c r="AC36" t="s">
        <v>2071</v>
      </c>
      <c r="AD36" t="s">
        <v>1682</v>
      </c>
      <c r="AO36" t="s">
        <v>2072</v>
      </c>
      <c r="AP36" t="s">
        <v>2073</v>
      </c>
      <c r="AW36" t="s">
        <v>1673</v>
      </c>
      <c r="BY36" t="s">
        <v>2074</v>
      </c>
      <c r="CA36" t="s">
        <v>2075</v>
      </c>
      <c r="CE36" t="s">
        <v>2076</v>
      </c>
    </row>
    <row r="37" spans="8:83" x14ac:dyDescent="0.2">
      <c r="H37" t="s">
        <v>2077</v>
      </c>
      <c r="I37" t="s">
        <v>2078</v>
      </c>
      <c r="K37" t="s">
        <v>1391</v>
      </c>
      <c r="L37" t="s">
        <v>2079</v>
      </c>
      <c r="N37" t="s">
        <v>866</v>
      </c>
      <c r="O37" t="s">
        <v>661</v>
      </c>
      <c r="P37" t="s">
        <v>2080</v>
      </c>
      <c r="AC37" t="s">
        <v>1682</v>
      </c>
      <c r="AD37" t="s">
        <v>2081</v>
      </c>
      <c r="AO37" t="s">
        <v>2082</v>
      </c>
      <c r="AP37" t="s">
        <v>2083</v>
      </c>
      <c r="AW37" t="s">
        <v>2084</v>
      </c>
      <c r="BY37" t="s">
        <v>2085</v>
      </c>
      <c r="CA37" t="s">
        <v>2086</v>
      </c>
      <c r="CE37" t="s">
        <v>2087</v>
      </c>
    </row>
    <row r="38" spans="8:83" x14ac:dyDescent="0.2">
      <c r="H38" t="s">
        <v>2088</v>
      </c>
      <c r="I38" t="s">
        <v>2089</v>
      </c>
      <c r="K38" t="s">
        <v>170</v>
      </c>
      <c r="L38" t="s">
        <v>514</v>
      </c>
      <c r="N38" t="s">
        <v>1080</v>
      </c>
      <c r="O38" t="s">
        <v>648</v>
      </c>
      <c r="P38" t="s">
        <v>2090</v>
      </c>
      <c r="AC38" t="s">
        <v>2091</v>
      </c>
      <c r="AD38" t="s">
        <v>2092</v>
      </c>
      <c r="AO38" t="s">
        <v>2093</v>
      </c>
      <c r="AP38" t="s">
        <v>2094</v>
      </c>
      <c r="AW38" t="s">
        <v>2095</v>
      </c>
      <c r="BY38" t="s">
        <v>2096</v>
      </c>
      <c r="CA38" t="s">
        <v>1521</v>
      </c>
    </row>
    <row r="39" spans="8:83" x14ac:dyDescent="0.2">
      <c r="H39" t="s">
        <v>2097</v>
      </c>
      <c r="I39" t="s">
        <v>2098</v>
      </c>
      <c r="K39" t="s">
        <v>2099</v>
      </c>
      <c r="L39" t="s">
        <v>2100</v>
      </c>
      <c r="N39" t="s">
        <v>757</v>
      </c>
      <c r="O39" t="s">
        <v>695</v>
      </c>
      <c r="P39" t="s">
        <v>2101</v>
      </c>
      <c r="AC39" t="s">
        <v>2102</v>
      </c>
      <c r="AD39" t="s">
        <v>2102</v>
      </c>
      <c r="AO39" t="s">
        <v>2103</v>
      </c>
      <c r="AP39" t="s">
        <v>2104</v>
      </c>
      <c r="AW39" t="s">
        <v>2105</v>
      </c>
      <c r="BY39" t="s">
        <v>2106</v>
      </c>
      <c r="CA39" t="s">
        <v>2107</v>
      </c>
    </row>
    <row r="40" spans="8:83" x14ac:dyDescent="0.2">
      <c r="H40" t="s">
        <v>2108</v>
      </c>
      <c r="I40" t="s">
        <v>1743</v>
      </c>
      <c r="K40" t="s">
        <v>1399</v>
      </c>
      <c r="L40" t="s">
        <v>282</v>
      </c>
      <c r="N40" t="s">
        <v>1356</v>
      </c>
      <c r="O40" t="s">
        <v>683</v>
      </c>
      <c r="P40" t="s">
        <v>2109</v>
      </c>
      <c r="AC40" t="s">
        <v>2110</v>
      </c>
      <c r="AD40" t="s">
        <v>2111</v>
      </c>
      <c r="AO40" t="s">
        <v>2112</v>
      </c>
      <c r="AP40" t="s">
        <v>2113</v>
      </c>
      <c r="AW40" t="s">
        <v>2114</v>
      </c>
      <c r="BY40" t="s">
        <v>2115</v>
      </c>
      <c r="CA40" t="s">
        <v>2116</v>
      </c>
    </row>
    <row r="41" spans="8:83" x14ac:dyDescent="0.2">
      <c r="H41" t="s">
        <v>2117</v>
      </c>
      <c r="I41" t="s">
        <v>1778</v>
      </c>
      <c r="K41" t="s">
        <v>2118</v>
      </c>
      <c r="L41" t="s">
        <v>105</v>
      </c>
      <c r="N41" t="s">
        <v>2119</v>
      </c>
      <c r="O41" t="s">
        <v>654</v>
      </c>
      <c r="P41" t="s">
        <v>2120</v>
      </c>
      <c r="AC41" t="s">
        <v>2121</v>
      </c>
      <c r="AD41" t="s">
        <v>1695</v>
      </c>
      <c r="AP41" t="s">
        <v>2122</v>
      </c>
      <c r="AW41" t="s">
        <v>2123</v>
      </c>
      <c r="BY41" t="s">
        <v>2124</v>
      </c>
      <c r="CA41" t="s">
        <v>2125</v>
      </c>
    </row>
    <row r="42" spans="8:83" x14ac:dyDescent="0.2">
      <c r="H42" t="s">
        <v>2126</v>
      </c>
      <c r="I42" t="s">
        <v>2127</v>
      </c>
      <c r="K42" t="s">
        <v>403</v>
      </c>
      <c r="L42" t="s">
        <v>148</v>
      </c>
      <c r="N42" t="s">
        <v>510</v>
      </c>
      <c r="O42" t="s">
        <v>2128</v>
      </c>
      <c r="P42" t="s">
        <v>2129</v>
      </c>
      <c r="AC42" t="s">
        <v>1700</v>
      </c>
      <c r="AD42" t="s">
        <v>2110</v>
      </c>
      <c r="AP42" t="s">
        <v>2130</v>
      </c>
      <c r="AW42" t="s">
        <v>1965</v>
      </c>
      <c r="BY42" t="s">
        <v>2131</v>
      </c>
      <c r="CA42" t="s">
        <v>2132</v>
      </c>
    </row>
    <row r="43" spans="8:83" x14ac:dyDescent="0.2">
      <c r="H43" t="s">
        <v>2133</v>
      </c>
      <c r="I43" t="s">
        <v>2134</v>
      </c>
      <c r="K43" t="s">
        <v>189</v>
      </c>
      <c r="N43" t="s">
        <v>669</v>
      </c>
      <c r="O43" t="s">
        <v>2135</v>
      </c>
      <c r="P43" t="s">
        <v>2136</v>
      </c>
      <c r="AC43" t="s">
        <v>1701</v>
      </c>
      <c r="AD43" t="s">
        <v>2137</v>
      </c>
      <c r="AP43" t="s">
        <v>2138</v>
      </c>
      <c r="AW43" t="s">
        <v>2139</v>
      </c>
      <c r="BY43" t="s">
        <v>2140</v>
      </c>
      <c r="CA43" t="s">
        <v>1525</v>
      </c>
    </row>
    <row r="44" spans="8:83" x14ac:dyDescent="0.2">
      <c r="H44" t="s">
        <v>2141</v>
      </c>
      <c r="I44" t="s">
        <v>2142</v>
      </c>
      <c r="K44" t="s">
        <v>601</v>
      </c>
      <c r="N44" t="s">
        <v>515</v>
      </c>
      <c r="O44" t="s">
        <v>2143</v>
      </c>
      <c r="P44" t="s">
        <v>2144</v>
      </c>
      <c r="AC44" t="s">
        <v>1720</v>
      </c>
      <c r="AD44" t="s">
        <v>1683</v>
      </c>
      <c r="AP44" t="s">
        <v>836</v>
      </c>
      <c r="AW44" t="s">
        <v>1984</v>
      </c>
      <c r="BY44" t="s">
        <v>2145</v>
      </c>
      <c r="CA44" t="s">
        <v>2146</v>
      </c>
    </row>
    <row r="45" spans="8:83" x14ac:dyDescent="0.2">
      <c r="H45" t="s">
        <v>2147</v>
      </c>
      <c r="I45" t="s">
        <v>2148</v>
      </c>
      <c r="K45" t="s">
        <v>805</v>
      </c>
      <c r="N45" t="s">
        <v>1400</v>
      </c>
      <c r="O45" t="s">
        <v>2149</v>
      </c>
      <c r="P45" t="s">
        <v>2150</v>
      </c>
      <c r="AC45" t="s">
        <v>2151</v>
      </c>
      <c r="AD45" t="s">
        <v>1701</v>
      </c>
      <c r="AP45" t="s">
        <v>2152</v>
      </c>
      <c r="AW45" t="s">
        <v>2153</v>
      </c>
      <c r="BY45" t="s">
        <v>2154</v>
      </c>
      <c r="CA45" t="s">
        <v>2155</v>
      </c>
    </row>
    <row r="46" spans="8:83" x14ac:dyDescent="0.2">
      <c r="H46" t="s">
        <v>2156</v>
      </c>
      <c r="I46" t="s">
        <v>2157</v>
      </c>
      <c r="K46" t="s">
        <v>1017</v>
      </c>
      <c r="N46" t="s">
        <v>1432</v>
      </c>
      <c r="O46" t="s">
        <v>622</v>
      </c>
      <c r="AC46" t="s">
        <v>2158</v>
      </c>
      <c r="AD46" t="s">
        <v>2159</v>
      </c>
      <c r="AP46" t="s">
        <v>2160</v>
      </c>
      <c r="AW46" t="s">
        <v>2022</v>
      </c>
      <c r="BY46" t="s">
        <v>2161</v>
      </c>
      <c r="CA46" t="s">
        <v>2162</v>
      </c>
    </row>
    <row r="47" spans="8:83" x14ac:dyDescent="0.2">
      <c r="H47" t="s">
        <v>672</v>
      </c>
      <c r="I47" t="s">
        <v>2163</v>
      </c>
      <c r="K47" t="s">
        <v>409</v>
      </c>
      <c r="N47" t="s">
        <v>2164</v>
      </c>
      <c r="O47" t="s">
        <v>2165</v>
      </c>
      <c r="AC47" t="s">
        <v>2166</v>
      </c>
      <c r="AD47" t="s">
        <v>2167</v>
      </c>
      <c r="AP47" t="s">
        <v>2168</v>
      </c>
      <c r="AW47" t="s">
        <v>1662</v>
      </c>
      <c r="BY47" t="s">
        <v>2169</v>
      </c>
      <c r="CA47" t="s">
        <v>2170</v>
      </c>
    </row>
    <row r="48" spans="8:83" x14ac:dyDescent="0.2">
      <c r="H48" t="s">
        <v>2171</v>
      </c>
      <c r="I48" t="s">
        <v>518</v>
      </c>
      <c r="K48" t="s">
        <v>2172</v>
      </c>
      <c r="N48" t="s">
        <v>582</v>
      </c>
      <c r="O48" t="s">
        <v>2173</v>
      </c>
      <c r="AC48" t="s">
        <v>2174</v>
      </c>
      <c r="AD48" t="s">
        <v>1720</v>
      </c>
      <c r="AP48" t="s">
        <v>741</v>
      </c>
      <c r="AW48" t="s">
        <v>2041</v>
      </c>
      <c r="BY48" t="s">
        <v>2175</v>
      </c>
      <c r="CA48" t="s">
        <v>1538</v>
      </c>
    </row>
    <row r="49" spans="8:79" x14ac:dyDescent="0.2">
      <c r="H49" t="s">
        <v>2176</v>
      </c>
      <c r="I49" t="s">
        <v>2177</v>
      </c>
      <c r="K49" t="s">
        <v>2178</v>
      </c>
      <c r="N49" t="s">
        <v>2179</v>
      </c>
      <c r="O49" t="s">
        <v>2180</v>
      </c>
      <c r="AC49" t="s">
        <v>2181</v>
      </c>
      <c r="AD49" t="s">
        <v>2182</v>
      </c>
      <c r="AP49" t="s">
        <v>2183</v>
      </c>
      <c r="AW49" t="s">
        <v>2184</v>
      </c>
      <c r="BY49" t="s">
        <v>2185</v>
      </c>
      <c r="CA49" t="s">
        <v>2186</v>
      </c>
    </row>
    <row r="50" spans="8:79" x14ac:dyDescent="0.2">
      <c r="H50" t="s">
        <v>2187</v>
      </c>
      <c r="I50" t="s">
        <v>532</v>
      </c>
      <c r="K50" t="s">
        <v>1431</v>
      </c>
      <c r="N50" t="s">
        <v>1224</v>
      </c>
      <c r="O50" t="s">
        <v>2188</v>
      </c>
      <c r="AD50" t="s">
        <v>2174</v>
      </c>
      <c r="AP50" t="s">
        <v>575</v>
      </c>
      <c r="AW50" t="s">
        <v>2189</v>
      </c>
      <c r="BY50" t="s">
        <v>2190</v>
      </c>
      <c r="CA50" t="s">
        <v>2191</v>
      </c>
    </row>
    <row r="51" spans="8:79" x14ac:dyDescent="0.2">
      <c r="H51" t="s">
        <v>2192</v>
      </c>
      <c r="I51" t="s">
        <v>2193</v>
      </c>
      <c r="K51" t="s">
        <v>1307</v>
      </c>
      <c r="N51" t="s">
        <v>1333</v>
      </c>
      <c r="O51" t="s">
        <v>2194</v>
      </c>
      <c r="AD51" t="s">
        <v>1734</v>
      </c>
      <c r="AP51" t="s">
        <v>839</v>
      </c>
      <c r="AW51" t="s">
        <v>2195</v>
      </c>
      <c r="BY51" t="s">
        <v>2196</v>
      </c>
      <c r="CA51" t="s">
        <v>2197</v>
      </c>
    </row>
    <row r="52" spans="8:79" x14ac:dyDescent="0.2">
      <c r="H52" t="s">
        <v>2198</v>
      </c>
      <c r="I52" t="s">
        <v>2199</v>
      </c>
      <c r="K52" t="s">
        <v>200</v>
      </c>
      <c r="N52" t="s">
        <v>451</v>
      </c>
      <c r="O52" t="s">
        <v>2200</v>
      </c>
      <c r="AD52" t="s">
        <v>2181</v>
      </c>
      <c r="AP52" t="s">
        <v>2201</v>
      </c>
      <c r="AW52" t="s">
        <v>2202</v>
      </c>
      <c r="BY52" t="s">
        <v>2203</v>
      </c>
      <c r="CA52" t="s">
        <v>2204</v>
      </c>
    </row>
    <row r="53" spans="8:79" x14ac:dyDescent="0.2">
      <c r="H53" t="s">
        <v>2205</v>
      </c>
      <c r="I53" t="s">
        <v>564</v>
      </c>
      <c r="K53" t="s">
        <v>2206</v>
      </c>
      <c r="N53" t="s">
        <v>383</v>
      </c>
      <c r="O53" t="s">
        <v>2207</v>
      </c>
      <c r="AP53" t="s">
        <v>1217</v>
      </c>
      <c r="AW53" t="s">
        <v>2050</v>
      </c>
      <c r="BY53" t="s">
        <v>2208</v>
      </c>
      <c r="CA53" t="s">
        <v>2209</v>
      </c>
    </row>
    <row r="54" spans="8:79" x14ac:dyDescent="0.2">
      <c r="H54" t="s">
        <v>2210</v>
      </c>
      <c r="I54" t="s">
        <v>537</v>
      </c>
      <c r="K54" t="s">
        <v>430</v>
      </c>
      <c r="N54" t="s">
        <v>2211</v>
      </c>
      <c r="O54" t="s">
        <v>2212</v>
      </c>
      <c r="AP54" t="s">
        <v>2213</v>
      </c>
      <c r="AW54" t="s">
        <v>2214</v>
      </c>
      <c r="BY54" t="s">
        <v>2215</v>
      </c>
      <c r="CA54" t="s">
        <v>2216</v>
      </c>
    </row>
    <row r="55" spans="8:79" x14ac:dyDescent="0.2">
      <c r="H55" t="s">
        <v>2217</v>
      </c>
      <c r="I55" t="s">
        <v>2218</v>
      </c>
      <c r="K55" t="s">
        <v>441</v>
      </c>
      <c r="N55" t="s">
        <v>606</v>
      </c>
      <c r="O55" t="s">
        <v>2219</v>
      </c>
      <c r="AP55" t="s">
        <v>1427</v>
      </c>
      <c r="AW55" t="s">
        <v>2220</v>
      </c>
      <c r="BY55" t="s">
        <v>2221</v>
      </c>
      <c r="CA55" t="s">
        <v>2222</v>
      </c>
    </row>
    <row r="56" spans="8:79" x14ac:dyDescent="0.2">
      <c r="H56" t="s">
        <v>2223</v>
      </c>
      <c r="I56" t="s">
        <v>2224</v>
      </c>
      <c r="K56" t="s">
        <v>2225</v>
      </c>
      <c r="N56" t="s">
        <v>2226</v>
      </c>
      <c r="O56" t="s">
        <v>2227</v>
      </c>
      <c r="AP56" t="s">
        <v>279</v>
      </c>
      <c r="AW56" t="s">
        <v>1682</v>
      </c>
      <c r="BY56" t="s">
        <v>2228</v>
      </c>
      <c r="CA56" t="s">
        <v>1516</v>
      </c>
    </row>
    <row r="57" spans="8:79" x14ac:dyDescent="0.2">
      <c r="H57" t="s">
        <v>2229</v>
      </c>
      <c r="I57" t="s">
        <v>2230</v>
      </c>
      <c r="K57" t="s">
        <v>207</v>
      </c>
      <c r="N57" t="s">
        <v>2231</v>
      </c>
      <c r="O57" t="s">
        <v>2232</v>
      </c>
      <c r="AP57" t="s">
        <v>2233</v>
      </c>
      <c r="AW57" t="s">
        <v>2081</v>
      </c>
      <c r="BY57" t="s">
        <v>2234</v>
      </c>
      <c r="CA57" t="s">
        <v>2235</v>
      </c>
    </row>
    <row r="58" spans="8:79" x14ac:dyDescent="0.2">
      <c r="H58" t="s">
        <v>2236</v>
      </c>
      <c r="I58" t="s">
        <v>2237</v>
      </c>
      <c r="K58" t="s">
        <v>1024</v>
      </c>
      <c r="N58" t="s">
        <v>2238</v>
      </c>
      <c r="O58" t="s">
        <v>2239</v>
      </c>
      <c r="AP58" t="s">
        <v>2240</v>
      </c>
      <c r="AW58" t="s">
        <v>2241</v>
      </c>
      <c r="BY58" t="s">
        <v>2242</v>
      </c>
      <c r="CA58" t="s">
        <v>2243</v>
      </c>
    </row>
    <row r="59" spans="8:79" x14ac:dyDescent="0.2">
      <c r="H59" t="s">
        <v>2244</v>
      </c>
      <c r="I59" t="s">
        <v>2245</v>
      </c>
      <c r="K59" t="s">
        <v>2246</v>
      </c>
      <c r="N59" t="s">
        <v>2247</v>
      </c>
      <c r="O59" t="s">
        <v>2248</v>
      </c>
      <c r="AP59" t="s">
        <v>2249</v>
      </c>
      <c r="AW59" t="s">
        <v>2250</v>
      </c>
      <c r="BY59" t="s">
        <v>2251</v>
      </c>
      <c r="CA59" t="s">
        <v>2252</v>
      </c>
    </row>
    <row r="60" spans="8:79" x14ac:dyDescent="0.2">
      <c r="H60" t="s">
        <v>2253</v>
      </c>
      <c r="I60" t="s">
        <v>2254</v>
      </c>
      <c r="K60" t="s">
        <v>2255</v>
      </c>
      <c r="N60" t="s">
        <v>2256</v>
      </c>
      <c r="O60" t="s">
        <v>2257</v>
      </c>
      <c r="AP60" t="s">
        <v>2258</v>
      </c>
      <c r="AW60" t="s">
        <v>2102</v>
      </c>
      <c r="BY60" t="s">
        <v>2259</v>
      </c>
      <c r="CA60" t="s">
        <v>2260</v>
      </c>
    </row>
    <row r="61" spans="8:79" x14ac:dyDescent="0.2">
      <c r="H61" t="s">
        <v>2261</v>
      </c>
      <c r="I61" t="s">
        <v>2262</v>
      </c>
      <c r="K61" t="s">
        <v>218</v>
      </c>
      <c r="N61" t="s">
        <v>2263</v>
      </c>
      <c r="O61" t="s">
        <v>2264</v>
      </c>
      <c r="AP61" t="s">
        <v>2265</v>
      </c>
      <c r="AW61" t="s">
        <v>2266</v>
      </c>
      <c r="BY61" t="s">
        <v>2267</v>
      </c>
      <c r="CA61" t="s">
        <v>2268</v>
      </c>
    </row>
    <row r="62" spans="8:79" x14ac:dyDescent="0.2">
      <c r="H62" t="s">
        <v>2269</v>
      </c>
      <c r="I62" t="s">
        <v>2270</v>
      </c>
      <c r="K62" t="s">
        <v>454</v>
      </c>
      <c r="N62" t="s">
        <v>2271</v>
      </c>
      <c r="O62" t="s">
        <v>2272</v>
      </c>
      <c r="AP62" t="s">
        <v>2273</v>
      </c>
      <c r="AW62" t="s">
        <v>2274</v>
      </c>
      <c r="BY62" t="s">
        <v>2275</v>
      </c>
      <c r="CA62" t="s">
        <v>2276</v>
      </c>
    </row>
    <row r="63" spans="8:79" x14ac:dyDescent="0.2">
      <c r="H63" t="s">
        <v>2277</v>
      </c>
      <c r="I63" t="s">
        <v>2278</v>
      </c>
      <c r="K63" t="s">
        <v>460</v>
      </c>
      <c r="N63" t="s">
        <v>2279</v>
      </c>
      <c r="O63" t="s">
        <v>2280</v>
      </c>
      <c r="AP63" t="s">
        <v>2281</v>
      </c>
      <c r="AW63" t="s">
        <v>1714</v>
      </c>
      <c r="BY63" t="s">
        <v>2282</v>
      </c>
      <c r="CA63" t="s">
        <v>2283</v>
      </c>
    </row>
    <row r="64" spans="8:79" x14ac:dyDescent="0.2">
      <c r="H64" t="s">
        <v>2284</v>
      </c>
      <c r="I64" t="s">
        <v>2285</v>
      </c>
      <c r="K64" t="s">
        <v>472</v>
      </c>
      <c r="N64" t="s">
        <v>2286</v>
      </c>
      <c r="O64" t="s">
        <v>2287</v>
      </c>
      <c r="AP64" t="s">
        <v>1419</v>
      </c>
      <c r="AW64" t="s">
        <v>2288</v>
      </c>
      <c r="BY64" t="s">
        <v>2289</v>
      </c>
      <c r="CA64" t="s">
        <v>2290</v>
      </c>
    </row>
    <row r="65" spans="8:79" x14ac:dyDescent="0.2">
      <c r="H65" t="s">
        <v>2291</v>
      </c>
      <c r="I65" t="s">
        <v>2292</v>
      </c>
      <c r="K65" t="s">
        <v>2293</v>
      </c>
      <c r="N65" t="s">
        <v>245</v>
      </c>
      <c r="O65" t="s">
        <v>2294</v>
      </c>
      <c r="AP65" t="s">
        <v>716</v>
      </c>
      <c r="AW65" t="s">
        <v>1683</v>
      </c>
      <c r="BY65" t="s">
        <v>2295</v>
      </c>
      <c r="CA65" t="s">
        <v>2296</v>
      </c>
    </row>
    <row r="66" spans="8:79" x14ac:dyDescent="0.2">
      <c r="H66" t="s">
        <v>2297</v>
      </c>
      <c r="I66" t="s">
        <v>2298</v>
      </c>
      <c r="K66" t="s">
        <v>229</v>
      </c>
      <c r="N66" t="s">
        <v>1338</v>
      </c>
      <c r="AP66" t="s">
        <v>2299</v>
      </c>
      <c r="AW66" t="s">
        <v>1701</v>
      </c>
      <c r="BY66" t="s">
        <v>1537</v>
      </c>
      <c r="CA66" t="s">
        <v>2300</v>
      </c>
    </row>
    <row r="67" spans="8:79" x14ac:dyDescent="0.2">
      <c r="H67" t="s">
        <v>2301</v>
      </c>
      <c r="I67" t="s">
        <v>2302</v>
      </c>
      <c r="K67" t="s">
        <v>1046</v>
      </c>
      <c r="N67" t="s">
        <v>881</v>
      </c>
      <c r="AP67" t="s">
        <v>2303</v>
      </c>
      <c r="AW67" t="s">
        <v>2304</v>
      </c>
      <c r="BY67" t="s">
        <v>1540</v>
      </c>
      <c r="CA67" t="s">
        <v>2305</v>
      </c>
    </row>
    <row r="68" spans="8:79" x14ac:dyDescent="0.2">
      <c r="H68" t="s">
        <v>2306</v>
      </c>
      <c r="I68" t="s">
        <v>2307</v>
      </c>
      <c r="K68" t="s">
        <v>615</v>
      </c>
      <c r="N68" t="s">
        <v>2308</v>
      </c>
      <c r="AP68" t="s">
        <v>2309</v>
      </c>
      <c r="AW68" t="s">
        <v>2310</v>
      </c>
      <c r="BY68" t="s">
        <v>2311</v>
      </c>
      <c r="CA68" t="s">
        <v>2312</v>
      </c>
    </row>
    <row r="69" spans="8:79" x14ac:dyDescent="0.2">
      <c r="H69" t="s">
        <v>2313</v>
      </c>
      <c r="I69" t="s">
        <v>2314</v>
      </c>
      <c r="K69" t="s">
        <v>243</v>
      </c>
      <c r="N69" t="s">
        <v>2315</v>
      </c>
      <c r="AP69" t="s">
        <v>2316</v>
      </c>
      <c r="AW69" t="s">
        <v>1720</v>
      </c>
      <c r="BY69" t="s">
        <v>2317</v>
      </c>
      <c r="CA69" t="s">
        <v>2318</v>
      </c>
    </row>
    <row r="70" spans="8:79" x14ac:dyDescent="0.2">
      <c r="H70" t="s">
        <v>2319</v>
      </c>
      <c r="I70" t="s">
        <v>2320</v>
      </c>
      <c r="K70" t="s">
        <v>621</v>
      </c>
      <c r="N70" t="s">
        <v>2321</v>
      </c>
      <c r="AP70" t="s">
        <v>2322</v>
      </c>
      <c r="AW70" t="s">
        <v>2323</v>
      </c>
      <c r="BY70" t="s">
        <v>1515</v>
      </c>
      <c r="CA70" t="s">
        <v>2324</v>
      </c>
    </row>
    <row r="71" spans="8:79" x14ac:dyDescent="0.2">
      <c r="H71" t="s">
        <v>2325</v>
      </c>
      <c r="I71" t="s">
        <v>2326</v>
      </c>
      <c r="K71" t="s">
        <v>628</v>
      </c>
      <c r="N71" t="s">
        <v>791</v>
      </c>
      <c r="AP71" t="s">
        <v>2327</v>
      </c>
      <c r="AW71" t="s">
        <v>2151</v>
      </c>
      <c r="BY71" t="s">
        <v>2328</v>
      </c>
      <c r="CA71" t="s">
        <v>2329</v>
      </c>
    </row>
    <row r="72" spans="8:79" x14ac:dyDescent="0.2">
      <c r="H72" t="s">
        <v>2330</v>
      </c>
      <c r="I72" t="s">
        <v>2331</v>
      </c>
      <c r="K72" t="s">
        <v>2332</v>
      </c>
      <c r="N72" t="s">
        <v>1122</v>
      </c>
      <c r="AP72" t="s">
        <v>2333</v>
      </c>
      <c r="AW72" t="s">
        <v>2334</v>
      </c>
      <c r="BY72" t="s">
        <v>2335</v>
      </c>
      <c r="CA72" t="s">
        <v>2336</v>
      </c>
    </row>
    <row r="73" spans="8:79" x14ac:dyDescent="0.2">
      <c r="H73" t="s">
        <v>2337</v>
      </c>
      <c r="I73" t="s">
        <v>2338</v>
      </c>
      <c r="K73" t="s">
        <v>1569</v>
      </c>
      <c r="N73" t="s">
        <v>2339</v>
      </c>
      <c r="AP73" t="s">
        <v>2340</v>
      </c>
      <c r="AW73" t="s">
        <v>2341</v>
      </c>
      <c r="BY73" t="s">
        <v>2342</v>
      </c>
      <c r="CA73" t="s">
        <v>2343</v>
      </c>
    </row>
    <row r="74" spans="8:79" x14ac:dyDescent="0.2">
      <c r="H74" t="s">
        <v>2344</v>
      </c>
      <c r="I74" t="s">
        <v>2345</v>
      </c>
      <c r="K74" t="s">
        <v>2346</v>
      </c>
      <c r="N74" t="s">
        <v>2347</v>
      </c>
      <c r="AP74" t="s">
        <v>2348</v>
      </c>
      <c r="AW74" t="s">
        <v>2349</v>
      </c>
      <c r="BY74" t="s">
        <v>2350</v>
      </c>
      <c r="CA74" t="s">
        <v>2351</v>
      </c>
    </row>
    <row r="75" spans="8:79" x14ac:dyDescent="0.2">
      <c r="H75" t="s">
        <v>563</v>
      </c>
      <c r="I75" t="s">
        <v>2352</v>
      </c>
      <c r="K75" t="s">
        <v>2353</v>
      </c>
      <c r="N75" t="s">
        <v>2354</v>
      </c>
      <c r="AP75" t="s">
        <v>2355</v>
      </c>
      <c r="AW75" t="s">
        <v>2356</v>
      </c>
      <c r="BY75" t="s">
        <v>2357</v>
      </c>
      <c r="CA75" t="s">
        <v>2358</v>
      </c>
    </row>
    <row r="76" spans="8:79" x14ac:dyDescent="0.2">
      <c r="H76" t="s">
        <v>2359</v>
      </c>
      <c r="I76" t="s">
        <v>2360</v>
      </c>
      <c r="K76" t="s">
        <v>2361</v>
      </c>
      <c r="N76" t="s">
        <v>1413</v>
      </c>
      <c r="AP76" t="s">
        <v>2362</v>
      </c>
      <c r="AW76" t="s">
        <v>2182</v>
      </c>
      <c r="BY76" t="s">
        <v>2363</v>
      </c>
      <c r="CA76" t="s">
        <v>2364</v>
      </c>
    </row>
    <row r="77" spans="8:79" x14ac:dyDescent="0.2">
      <c r="H77" t="s">
        <v>2365</v>
      </c>
      <c r="I77" t="s">
        <v>2366</v>
      </c>
      <c r="K77" t="s">
        <v>1505</v>
      </c>
      <c r="N77" t="s">
        <v>2367</v>
      </c>
      <c r="AP77" t="s">
        <v>2368</v>
      </c>
      <c r="AW77" t="s">
        <v>2369</v>
      </c>
      <c r="BY77" t="s">
        <v>2370</v>
      </c>
      <c r="CA77" t="s">
        <v>1541</v>
      </c>
    </row>
    <row r="78" spans="8:79" x14ac:dyDescent="0.2">
      <c r="H78" t="s">
        <v>536</v>
      </c>
      <c r="I78" t="s">
        <v>2371</v>
      </c>
      <c r="K78" t="s">
        <v>484</v>
      </c>
      <c r="N78" t="s">
        <v>1047</v>
      </c>
      <c r="AP78" t="s">
        <v>2372</v>
      </c>
      <c r="AW78" t="s">
        <v>2373</v>
      </c>
    </row>
    <row r="79" spans="8:79" x14ac:dyDescent="0.2">
      <c r="H79" t="s">
        <v>2374</v>
      </c>
      <c r="I79" t="s">
        <v>2375</v>
      </c>
      <c r="K79" t="s">
        <v>2376</v>
      </c>
      <c r="N79" t="s">
        <v>2377</v>
      </c>
      <c r="AP79" t="s">
        <v>2378</v>
      </c>
      <c r="AW79" t="s">
        <v>2379</v>
      </c>
    </row>
    <row r="80" spans="8:79" x14ac:dyDescent="0.2">
      <c r="H80" t="s">
        <v>2380</v>
      </c>
      <c r="I80" t="s">
        <v>2381</v>
      </c>
      <c r="K80" t="s">
        <v>2382</v>
      </c>
      <c r="N80" t="s">
        <v>616</v>
      </c>
      <c r="AP80" t="s">
        <v>320</v>
      </c>
      <c r="AW80" t="s">
        <v>1734</v>
      </c>
    </row>
    <row r="81" spans="8:49" x14ac:dyDescent="0.2">
      <c r="H81" t="s">
        <v>2383</v>
      </c>
      <c r="I81" t="s">
        <v>2384</v>
      </c>
      <c r="K81" t="s">
        <v>2385</v>
      </c>
      <c r="N81" t="s">
        <v>609</v>
      </c>
      <c r="AP81" t="s">
        <v>2386</v>
      </c>
      <c r="AW81" t="s">
        <v>2387</v>
      </c>
    </row>
    <row r="82" spans="8:49" x14ac:dyDescent="0.2">
      <c r="H82" t="s">
        <v>2388</v>
      </c>
      <c r="I82" t="s">
        <v>2389</v>
      </c>
      <c r="K82" t="s">
        <v>647</v>
      </c>
      <c r="N82" t="s">
        <v>2390</v>
      </c>
      <c r="AP82" t="s">
        <v>334</v>
      </c>
    </row>
    <row r="83" spans="8:49" x14ac:dyDescent="0.2">
      <c r="H83" t="s">
        <v>2391</v>
      </c>
      <c r="I83" t="s">
        <v>2392</v>
      </c>
      <c r="K83" t="s">
        <v>2393</v>
      </c>
      <c r="N83" t="s">
        <v>2394</v>
      </c>
      <c r="AP83" t="s">
        <v>2395</v>
      </c>
    </row>
    <row r="84" spans="8:49" x14ac:dyDescent="0.2">
      <c r="H84" t="s">
        <v>2396</v>
      </c>
      <c r="I84" t="s">
        <v>2397</v>
      </c>
      <c r="K84" t="s">
        <v>493</v>
      </c>
      <c r="N84" t="s">
        <v>1512</v>
      </c>
      <c r="AP84" t="s">
        <v>2398</v>
      </c>
    </row>
    <row r="85" spans="8:49" x14ac:dyDescent="0.2">
      <c r="H85" t="s">
        <v>2399</v>
      </c>
      <c r="I85" t="s">
        <v>2400</v>
      </c>
      <c r="K85" t="s">
        <v>498</v>
      </c>
      <c r="N85" t="s">
        <v>2401</v>
      </c>
      <c r="AP85" t="s">
        <v>2402</v>
      </c>
    </row>
    <row r="86" spans="8:49" x14ac:dyDescent="0.2">
      <c r="H86" t="s">
        <v>2403</v>
      </c>
      <c r="I86" t="s">
        <v>2404</v>
      </c>
      <c r="K86" t="s">
        <v>263</v>
      </c>
      <c r="N86" t="s">
        <v>2405</v>
      </c>
      <c r="AP86" t="s">
        <v>2406</v>
      </c>
    </row>
    <row r="87" spans="8:49" x14ac:dyDescent="0.2">
      <c r="H87" t="s">
        <v>2407</v>
      </c>
      <c r="I87" t="s">
        <v>2408</v>
      </c>
      <c r="K87" t="s">
        <v>267</v>
      </c>
      <c r="N87" t="s">
        <v>2409</v>
      </c>
      <c r="AP87" t="s">
        <v>2410</v>
      </c>
    </row>
    <row r="88" spans="8:49" x14ac:dyDescent="0.2">
      <c r="H88" t="s">
        <v>2411</v>
      </c>
      <c r="I88" t="s">
        <v>2412</v>
      </c>
      <c r="K88" t="s">
        <v>668</v>
      </c>
      <c r="N88" t="s">
        <v>2413</v>
      </c>
      <c r="AP88" t="s">
        <v>2414</v>
      </c>
    </row>
    <row r="89" spans="8:49" x14ac:dyDescent="0.2">
      <c r="H89" t="s">
        <v>2415</v>
      </c>
      <c r="I89" t="s">
        <v>2416</v>
      </c>
      <c r="K89" t="s">
        <v>288</v>
      </c>
      <c r="N89" t="s">
        <v>2417</v>
      </c>
      <c r="AP89" t="s">
        <v>2418</v>
      </c>
    </row>
    <row r="90" spans="8:49" x14ac:dyDescent="0.2">
      <c r="H90" t="s">
        <v>2419</v>
      </c>
      <c r="I90" t="s">
        <v>2420</v>
      </c>
      <c r="K90" t="s">
        <v>305</v>
      </c>
      <c r="N90" t="s">
        <v>2421</v>
      </c>
      <c r="AP90" t="s">
        <v>588</v>
      </c>
    </row>
    <row r="91" spans="8:49" x14ac:dyDescent="0.2">
      <c r="H91" t="s">
        <v>2422</v>
      </c>
      <c r="I91" t="s">
        <v>2423</v>
      </c>
      <c r="K91" t="s">
        <v>314</v>
      </c>
      <c r="N91" t="s">
        <v>1148</v>
      </c>
      <c r="AP91" t="s">
        <v>159</v>
      </c>
    </row>
    <row r="92" spans="8:49" x14ac:dyDescent="0.2">
      <c r="H92" t="s">
        <v>2424</v>
      </c>
      <c r="I92" t="s">
        <v>2425</v>
      </c>
      <c r="K92" t="s">
        <v>323</v>
      </c>
      <c r="N92" t="s">
        <v>502</v>
      </c>
      <c r="AP92" t="s">
        <v>546</v>
      </c>
    </row>
    <row r="93" spans="8:49" x14ac:dyDescent="0.2">
      <c r="H93" t="s">
        <v>2426</v>
      </c>
      <c r="I93" t="s">
        <v>2427</v>
      </c>
      <c r="K93" t="s">
        <v>1450</v>
      </c>
      <c r="N93" t="s">
        <v>661</v>
      </c>
      <c r="AP93" t="s">
        <v>2428</v>
      </c>
    </row>
    <row r="94" spans="8:49" x14ac:dyDescent="0.2">
      <c r="H94" t="s">
        <v>2429</v>
      </c>
      <c r="I94" t="s">
        <v>2430</v>
      </c>
      <c r="K94" t="s">
        <v>879</v>
      </c>
      <c r="N94" t="s">
        <v>648</v>
      </c>
      <c r="AP94" t="s">
        <v>2431</v>
      </c>
    </row>
    <row r="95" spans="8:49" x14ac:dyDescent="0.2">
      <c r="H95" t="s">
        <v>2432</v>
      </c>
      <c r="I95" t="s">
        <v>2433</v>
      </c>
      <c r="K95" t="s">
        <v>682</v>
      </c>
      <c r="N95" t="s">
        <v>695</v>
      </c>
      <c r="AP95" t="s">
        <v>679</v>
      </c>
    </row>
    <row r="96" spans="8:49" x14ac:dyDescent="0.2">
      <c r="H96" t="s">
        <v>2434</v>
      </c>
      <c r="I96" t="s">
        <v>2435</v>
      </c>
      <c r="K96" t="s">
        <v>762</v>
      </c>
      <c r="N96" t="s">
        <v>2436</v>
      </c>
      <c r="AP96" t="s">
        <v>2437</v>
      </c>
    </row>
    <row r="97" spans="8:42" x14ac:dyDescent="0.2">
      <c r="H97" t="s">
        <v>2438</v>
      </c>
      <c r="I97" t="s">
        <v>2439</v>
      </c>
      <c r="K97" t="s">
        <v>238</v>
      </c>
      <c r="N97" t="s">
        <v>683</v>
      </c>
      <c r="AP97" t="s">
        <v>2440</v>
      </c>
    </row>
    <row r="98" spans="8:42" x14ac:dyDescent="0.2">
      <c r="H98" t="s">
        <v>2441</v>
      </c>
      <c r="I98" t="s">
        <v>2442</v>
      </c>
      <c r="K98" t="s">
        <v>1102</v>
      </c>
      <c r="N98" t="s">
        <v>691</v>
      </c>
      <c r="AP98" t="s">
        <v>2443</v>
      </c>
    </row>
    <row r="99" spans="8:42" x14ac:dyDescent="0.2">
      <c r="H99" t="s">
        <v>2444</v>
      </c>
      <c r="I99" t="s">
        <v>2445</v>
      </c>
      <c r="K99" t="s">
        <v>690</v>
      </c>
      <c r="N99" t="s">
        <v>1203</v>
      </c>
      <c r="AP99" t="s">
        <v>2446</v>
      </c>
    </row>
    <row r="100" spans="8:42" x14ac:dyDescent="0.2">
      <c r="H100" t="s">
        <v>2447</v>
      </c>
      <c r="I100" t="s">
        <v>2448</v>
      </c>
      <c r="K100" t="s">
        <v>509</v>
      </c>
      <c r="N100" t="s">
        <v>2449</v>
      </c>
      <c r="AP100" t="s">
        <v>2450</v>
      </c>
    </row>
    <row r="101" spans="8:42" x14ac:dyDescent="0.2">
      <c r="H101" t="s">
        <v>2451</v>
      </c>
      <c r="I101" t="s">
        <v>2452</v>
      </c>
      <c r="K101" t="s">
        <v>514</v>
      </c>
      <c r="N101" t="s">
        <v>654</v>
      </c>
      <c r="AP101" t="s">
        <v>1057</v>
      </c>
    </row>
    <row r="102" spans="8:42" x14ac:dyDescent="0.2">
      <c r="H102" t="s">
        <v>2453</v>
      </c>
      <c r="I102" t="s">
        <v>2454</v>
      </c>
      <c r="N102" t="s">
        <v>2455</v>
      </c>
      <c r="AP102" t="s">
        <v>2456</v>
      </c>
    </row>
    <row r="103" spans="8:42" x14ac:dyDescent="0.2">
      <c r="H103" t="s">
        <v>2457</v>
      </c>
      <c r="I103" t="s">
        <v>2458</v>
      </c>
      <c r="N103" t="s">
        <v>1389</v>
      </c>
      <c r="AP103" t="s">
        <v>2459</v>
      </c>
    </row>
    <row r="104" spans="8:42" x14ac:dyDescent="0.2">
      <c r="H104" t="s">
        <v>2460</v>
      </c>
      <c r="I104" t="s">
        <v>2461</v>
      </c>
      <c r="N104" t="s">
        <v>2462</v>
      </c>
      <c r="AP104" t="s">
        <v>2463</v>
      </c>
    </row>
    <row r="105" spans="8:42" x14ac:dyDescent="0.2">
      <c r="H105" t="s">
        <v>2464</v>
      </c>
      <c r="I105" t="s">
        <v>2465</v>
      </c>
      <c r="N105" t="s">
        <v>2466</v>
      </c>
      <c r="AP105" t="s">
        <v>2467</v>
      </c>
    </row>
    <row r="106" spans="8:42" x14ac:dyDescent="0.2">
      <c r="H106" t="s">
        <v>2468</v>
      </c>
      <c r="I106" t="s">
        <v>2469</v>
      </c>
      <c r="N106" t="s">
        <v>2470</v>
      </c>
      <c r="AP106" t="s">
        <v>2471</v>
      </c>
    </row>
    <row r="107" spans="8:42" x14ac:dyDescent="0.2">
      <c r="H107" t="s">
        <v>2472</v>
      </c>
      <c r="I107" t="s">
        <v>2473</v>
      </c>
      <c r="N107" t="s">
        <v>2474</v>
      </c>
      <c r="AP107" t="s">
        <v>557</v>
      </c>
    </row>
    <row r="108" spans="8:42" x14ac:dyDescent="0.2">
      <c r="H108" t="s">
        <v>2475</v>
      </c>
      <c r="I108" t="s">
        <v>2476</v>
      </c>
      <c r="N108" t="s">
        <v>1556</v>
      </c>
      <c r="AP108" t="s">
        <v>2477</v>
      </c>
    </row>
    <row r="109" spans="8:42" x14ac:dyDescent="0.2">
      <c r="H109" t="s">
        <v>2478</v>
      </c>
      <c r="I109" t="s">
        <v>2479</v>
      </c>
      <c r="N109" t="s">
        <v>2480</v>
      </c>
      <c r="AP109" t="s">
        <v>1407</v>
      </c>
    </row>
    <row r="110" spans="8:42" x14ac:dyDescent="0.2">
      <c r="H110" t="s">
        <v>2481</v>
      </c>
      <c r="I110" t="s">
        <v>2482</v>
      </c>
      <c r="N110" t="s">
        <v>2483</v>
      </c>
      <c r="AP110" t="s">
        <v>248</v>
      </c>
    </row>
    <row r="111" spans="8:42" x14ac:dyDescent="0.2">
      <c r="H111" t="s">
        <v>2484</v>
      </c>
      <c r="I111" t="s">
        <v>2485</v>
      </c>
      <c r="N111" t="s">
        <v>2486</v>
      </c>
      <c r="AP111" t="s">
        <v>2487</v>
      </c>
    </row>
    <row r="112" spans="8:42" x14ac:dyDescent="0.2">
      <c r="H112" t="s">
        <v>2488</v>
      </c>
      <c r="I112" t="s">
        <v>2489</v>
      </c>
      <c r="N112" t="s">
        <v>594</v>
      </c>
      <c r="AP112" t="s">
        <v>2490</v>
      </c>
    </row>
    <row r="113" spans="8:42" x14ac:dyDescent="0.2">
      <c r="H113" t="s">
        <v>2491</v>
      </c>
      <c r="I113" t="s">
        <v>2492</v>
      </c>
      <c r="N113" t="s">
        <v>2493</v>
      </c>
      <c r="AP113" t="s">
        <v>2494</v>
      </c>
    </row>
    <row r="114" spans="8:42" x14ac:dyDescent="0.2">
      <c r="H114" t="s">
        <v>2495</v>
      </c>
      <c r="I114" t="s">
        <v>2496</v>
      </c>
      <c r="N114" t="s">
        <v>622</v>
      </c>
      <c r="AP114" t="s">
        <v>2497</v>
      </c>
    </row>
    <row r="115" spans="8:42" x14ac:dyDescent="0.2">
      <c r="H115" t="s">
        <v>2498</v>
      </c>
      <c r="I115" t="s">
        <v>2499</v>
      </c>
      <c r="N115" t="s">
        <v>1397</v>
      </c>
      <c r="AP115" t="s">
        <v>771</v>
      </c>
    </row>
    <row r="116" spans="8:42" x14ac:dyDescent="0.2">
      <c r="H116" t="s">
        <v>2500</v>
      </c>
      <c r="I116" t="s">
        <v>2501</v>
      </c>
      <c r="N116" t="s">
        <v>2502</v>
      </c>
      <c r="AP116" t="s">
        <v>2503</v>
      </c>
    </row>
    <row r="117" spans="8:42" x14ac:dyDescent="0.2">
      <c r="H117" t="s">
        <v>2504</v>
      </c>
      <c r="I117" t="s">
        <v>2505</v>
      </c>
      <c r="N117" t="s">
        <v>2506</v>
      </c>
      <c r="AP117" t="s">
        <v>2507</v>
      </c>
    </row>
    <row r="118" spans="8:42" x14ac:dyDescent="0.2">
      <c r="H118" t="s">
        <v>2508</v>
      </c>
      <c r="I118" t="s">
        <v>2509</v>
      </c>
      <c r="N118" t="s">
        <v>2510</v>
      </c>
      <c r="AP118" t="s">
        <v>2511</v>
      </c>
    </row>
    <row r="119" spans="8:42" x14ac:dyDescent="0.2">
      <c r="H119" t="s">
        <v>2512</v>
      </c>
      <c r="I119" t="s">
        <v>2513</v>
      </c>
      <c r="N119" t="s">
        <v>2514</v>
      </c>
      <c r="AP119" t="s">
        <v>2515</v>
      </c>
    </row>
    <row r="120" spans="8:42" x14ac:dyDescent="0.2">
      <c r="H120" t="s">
        <v>2516</v>
      </c>
      <c r="I120" t="s">
        <v>2517</v>
      </c>
      <c r="N120" t="s">
        <v>1000</v>
      </c>
      <c r="AP120" t="s">
        <v>2518</v>
      </c>
    </row>
    <row r="121" spans="8:42" x14ac:dyDescent="0.2">
      <c r="H121" t="s">
        <v>2519</v>
      </c>
      <c r="I121" t="s">
        <v>2520</v>
      </c>
      <c r="N121" t="s">
        <v>227</v>
      </c>
      <c r="AP121" t="s">
        <v>2521</v>
      </c>
    </row>
    <row r="122" spans="8:42" x14ac:dyDescent="0.2">
      <c r="H122" t="s">
        <v>2522</v>
      </c>
      <c r="I122" t="s">
        <v>2523</v>
      </c>
      <c r="N122" t="s">
        <v>2524</v>
      </c>
      <c r="AP122" t="s">
        <v>2525</v>
      </c>
    </row>
    <row r="123" spans="8:42" x14ac:dyDescent="0.2">
      <c r="H123" t="s">
        <v>2526</v>
      </c>
      <c r="I123" t="s">
        <v>2527</v>
      </c>
      <c r="N123" t="s">
        <v>2528</v>
      </c>
      <c r="AP123" t="s">
        <v>2529</v>
      </c>
    </row>
    <row r="124" spans="8:42" x14ac:dyDescent="0.2">
      <c r="H124" t="s">
        <v>2530</v>
      </c>
      <c r="I124" t="s">
        <v>2531</v>
      </c>
      <c r="N124" t="s">
        <v>1564</v>
      </c>
      <c r="AP124" t="s">
        <v>676</v>
      </c>
    </row>
    <row r="125" spans="8:42" x14ac:dyDescent="0.2">
      <c r="H125" t="s">
        <v>2532</v>
      </c>
      <c r="I125" t="s">
        <v>2533</v>
      </c>
      <c r="N125" t="s">
        <v>2534</v>
      </c>
      <c r="AP125" t="s">
        <v>2535</v>
      </c>
    </row>
    <row r="126" spans="8:42" x14ac:dyDescent="0.2">
      <c r="H126" t="s">
        <v>2536</v>
      </c>
      <c r="I126" t="s">
        <v>2537</v>
      </c>
      <c r="N126" t="s">
        <v>2538</v>
      </c>
      <c r="AP126" t="s">
        <v>341</v>
      </c>
    </row>
    <row r="127" spans="8:42" x14ac:dyDescent="0.2">
      <c r="H127" t="s">
        <v>2539</v>
      </c>
      <c r="I127" t="s">
        <v>2540</v>
      </c>
      <c r="N127" t="s">
        <v>1560</v>
      </c>
      <c r="AP127" t="s">
        <v>179</v>
      </c>
    </row>
    <row r="128" spans="8:42" x14ac:dyDescent="0.2">
      <c r="H128" t="s">
        <v>2541</v>
      </c>
      <c r="I128" t="s">
        <v>2542</v>
      </c>
      <c r="N128" t="s">
        <v>2543</v>
      </c>
      <c r="AP128" t="s">
        <v>259</v>
      </c>
    </row>
    <row r="129" spans="8:42" x14ac:dyDescent="0.2">
      <c r="H129" t="s">
        <v>2544</v>
      </c>
      <c r="I129" t="s">
        <v>2545</v>
      </c>
      <c r="N129" t="s">
        <v>2546</v>
      </c>
      <c r="AP129" t="s">
        <v>374</v>
      </c>
    </row>
    <row r="130" spans="8:42" x14ac:dyDescent="0.2">
      <c r="H130" t="s">
        <v>2547</v>
      </c>
      <c r="I130" t="s">
        <v>2548</v>
      </c>
      <c r="N130" t="s">
        <v>2549</v>
      </c>
      <c r="AP130" t="s">
        <v>2550</v>
      </c>
    </row>
    <row r="131" spans="8:42" x14ac:dyDescent="0.2">
      <c r="H131" t="s">
        <v>2551</v>
      </c>
      <c r="I131" t="s">
        <v>2552</v>
      </c>
      <c r="N131" t="s">
        <v>2553</v>
      </c>
      <c r="AP131" t="s">
        <v>2554</v>
      </c>
    </row>
    <row r="132" spans="8:42" x14ac:dyDescent="0.2">
      <c r="H132" t="s">
        <v>2555</v>
      </c>
      <c r="I132" t="s">
        <v>2556</v>
      </c>
      <c r="N132" t="s">
        <v>2557</v>
      </c>
      <c r="AP132" t="s">
        <v>2558</v>
      </c>
    </row>
    <row r="133" spans="8:42" x14ac:dyDescent="0.2">
      <c r="H133" t="s">
        <v>2559</v>
      </c>
      <c r="I133" t="s">
        <v>2560</v>
      </c>
      <c r="N133" t="s">
        <v>629</v>
      </c>
      <c r="AP133" t="s">
        <v>769</v>
      </c>
    </row>
    <row r="134" spans="8:42" x14ac:dyDescent="0.2">
      <c r="H134" t="s">
        <v>2561</v>
      </c>
      <c r="I134" t="s">
        <v>2562</v>
      </c>
      <c r="N134" t="s">
        <v>2563</v>
      </c>
      <c r="AP134" t="s">
        <v>2564</v>
      </c>
    </row>
    <row r="135" spans="8:42" x14ac:dyDescent="0.2">
      <c r="H135" t="s">
        <v>2565</v>
      </c>
      <c r="I135" t="s">
        <v>2566</v>
      </c>
      <c r="N135" t="s">
        <v>455</v>
      </c>
      <c r="AP135" t="s">
        <v>2567</v>
      </c>
    </row>
    <row r="136" spans="8:42" x14ac:dyDescent="0.2">
      <c r="H136" t="s">
        <v>2568</v>
      </c>
      <c r="I136" t="s">
        <v>2569</v>
      </c>
      <c r="N136" t="s">
        <v>274</v>
      </c>
      <c r="AP136" t="s">
        <v>2570</v>
      </c>
    </row>
    <row r="137" spans="8:42" x14ac:dyDescent="0.2">
      <c r="H137" t="s">
        <v>2571</v>
      </c>
      <c r="I137" t="s">
        <v>2572</v>
      </c>
      <c r="N137" t="s">
        <v>264</v>
      </c>
      <c r="AP137" t="s">
        <v>2573</v>
      </c>
    </row>
    <row r="138" spans="8:42" x14ac:dyDescent="0.2">
      <c r="H138" t="s">
        <v>2574</v>
      </c>
      <c r="I138" t="s">
        <v>2575</v>
      </c>
      <c r="N138" t="s">
        <v>2576</v>
      </c>
      <c r="AP138" t="s">
        <v>2577</v>
      </c>
    </row>
    <row r="139" spans="8:42" x14ac:dyDescent="0.2">
      <c r="H139" t="s">
        <v>2578</v>
      </c>
      <c r="I139" t="s">
        <v>2579</v>
      </c>
      <c r="N139" t="s">
        <v>2580</v>
      </c>
      <c r="AP139" t="s">
        <v>685</v>
      </c>
    </row>
    <row r="140" spans="8:42" x14ac:dyDescent="0.2">
      <c r="H140" t="s">
        <v>2581</v>
      </c>
      <c r="I140" t="s">
        <v>2582</v>
      </c>
      <c r="N140" t="s">
        <v>1136</v>
      </c>
      <c r="AP140" t="s">
        <v>2583</v>
      </c>
    </row>
    <row r="141" spans="8:42" x14ac:dyDescent="0.2">
      <c r="H141" t="s">
        <v>2584</v>
      </c>
      <c r="I141" t="s">
        <v>2585</v>
      </c>
      <c r="AP141" t="s">
        <v>2586</v>
      </c>
    </row>
    <row r="142" spans="8:42" x14ac:dyDescent="0.2">
      <c r="H142" t="s">
        <v>2587</v>
      </c>
      <c r="I142" t="s">
        <v>2588</v>
      </c>
      <c r="AP142" t="s">
        <v>2589</v>
      </c>
    </row>
    <row r="143" spans="8:42" x14ac:dyDescent="0.2">
      <c r="H143" t="s">
        <v>2590</v>
      </c>
      <c r="I143" t="s">
        <v>2591</v>
      </c>
      <c r="AP143" t="s">
        <v>2592</v>
      </c>
    </row>
    <row r="144" spans="8:42" x14ac:dyDescent="0.2">
      <c r="H144" t="s">
        <v>2593</v>
      </c>
      <c r="I144" t="s">
        <v>2594</v>
      </c>
      <c r="AP144" t="s">
        <v>1238</v>
      </c>
    </row>
    <row r="145" spans="8:42" x14ac:dyDescent="0.2">
      <c r="H145" t="s">
        <v>2595</v>
      </c>
      <c r="I145" t="s">
        <v>2596</v>
      </c>
      <c r="AP145" t="s">
        <v>2597</v>
      </c>
    </row>
    <row r="146" spans="8:42" x14ac:dyDescent="0.2">
      <c r="H146" t="s">
        <v>2598</v>
      </c>
      <c r="I146" t="s">
        <v>2599</v>
      </c>
      <c r="AP146" t="s">
        <v>2600</v>
      </c>
    </row>
    <row r="147" spans="8:42" x14ac:dyDescent="0.2">
      <c r="H147" t="s">
        <v>2601</v>
      </c>
      <c r="I147" t="s">
        <v>2602</v>
      </c>
      <c r="AP147" t="s">
        <v>2603</v>
      </c>
    </row>
    <row r="148" spans="8:42" x14ac:dyDescent="0.2">
      <c r="H148" t="s">
        <v>2604</v>
      </c>
      <c r="I148" t="s">
        <v>2605</v>
      </c>
      <c r="AP148" t="s">
        <v>2606</v>
      </c>
    </row>
    <row r="149" spans="8:42" x14ac:dyDescent="0.2">
      <c r="H149" t="s">
        <v>2607</v>
      </c>
      <c r="I149" t="s">
        <v>2608</v>
      </c>
      <c r="AP149" t="s">
        <v>2609</v>
      </c>
    </row>
    <row r="150" spans="8:42" x14ac:dyDescent="0.2">
      <c r="H150" t="s">
        <v>2610</v>
      </c>
      <c r="I150" t="s">
        <v>2611</v>
      </c>
      <c r="AP150" t="s">
        <v>2612</v>
      </c>
    </row>
    <row r="151" spans="8:42" x14ac:dyDescent="0.2">
      <c r="H151" t="s">
        <v>2613</v>
      </c>
      <c r="I151" t="s">
        <v>2614</v>
      </c>
      <c r="AP151" t="s">
        <v>1247</v>
      </c>
    </row>
    <row r="152" spans="8:42" x14ac:dyDescent="0.2">
      <c r="H152" t="s">
        <v>2615</v>
      </c>
      <c r="I152" t="s">
        <v>2616</v>
      </c>
      <c r="AP152" t="s">
        <v>2617</v>
      </c>
    </row>
    <row r="153" spans="8:42" x14ac:dyDescent="0.2">
      <c r="H153" t="s">
        <v>2618</v>
      </c>
      <c r="I153" t="s">
        <v>2619</v>
      </c>
      <c r="AP153" t="s">
        <v>2620</v>
      </c>
    </row>
    <row r="154" spans="8:42" x14ac:dyDescent="0.2">
      <c r="H154" t="s">
        <v>2621</v>
      </c>
      <c r="I154" t="s">
        <v>2622</v>
      </c>
      <c r="AP154" t="s">
        <v>462</v>
      </c>
    </row>
    <row r="155" spans="8:42" x14ac:dyDescent="0.2">
      <c r="H155" t="s">
        <v>2623</v>
      </c>
      <c r="I155" t="s">
        <v>2624</v>
      </c>
      <c r="AP155" t="s">
        <v>2625</v>
      </c>
    </row>
    <row r="156" spans="8:42" x14ac:dyDescent="0.2">
      <c r="H156" t="s">
        <v>2626</v>
      </c>
      <c r="I156" t="s">
        <v>2627</v>
      </c>
      <c r="AP156" t="s">
        <v>2628</v>
      </c>
    </row>
    <row r="157" spans="8:42" x14ac:dyDescent="0.2">
      <c r="H157" t="s">
        <v>2629</v>
      </c>
      <c r="I157" t="s">
        <v>2630</v>
      </c>
      <c r="AP157" t="s">
        <v>2631</v>
      </c>
    </row>
    <row r="158" spans="8:42" x14ac:dyDescent="0.2">
      <c r="H158" t="s">
        <v>2632</v>
      </c>
      <c r="I158" t="s">
        <v>2633</v>
      </c>
      <c r="AP158" t="s">
        <v>2634</v>
      </c>
    </row>
    <row r="159" spans="8:42" x14ac:dyDescent="0.2">
      <c r="H159" t="s">
        <v>2635</v>
      </c>
      <c r="I159" t="s">
        <v>2636</v>
      </c>
      <c r="AP159" t="s">
        <v>2637</v>
      </c>
    </row>
    <row r="160" spans="8:42" x14ac:dyDescent="0.2">
      <c r="H160" t="s">
        <v>2638</v>
      </c>
      <c r="I160" t="s">
        <v>2639</v>
      </c>
      <c r="AP160" t="s">
        <v>1231</v>
      </c>
    </row>
    <row r="161" spans="8:42" x14ac:dyDescent="0.2">
      <c r="H161" t="s">
        <v>2640</v>
      </c>
      <c r="I161" t="s">
        <v>2641</v>
      </c>
      <c r="AP161" t="s">
        <v>2642</v>
      </c>
    </row>
    <row r="162" spans="8:42" x14ac:dyDescent="0.2">
      <c r="H162" t="s">
        <v>2643</v>
      </c>
      <c r="I162" t="s">
        <v>2644</v>
      </c>
      <c r="AP162" t="s">
        <v>2645</v>
      </c>
    </row>
    <row r="163" spans="8:42" x14ac:dyDescent="0.2">
      <c r="H163" t="s">
        <v>2646</v>
      </c>
      <c r="I163" t="s">
        <v>2647</v>
      </c>
      <c r="AP163" t="s">
        <v>2648</v>
      </c>
    </row>
    <row r="164" spans="8:42" x14ac:dyDescent="0.2">
      <c r="H164" t="s">
        <v>2649</v>
      </c>
      <c r="I164" t="s">
        <v>549</v>
      </c>
      <c r="AP164" t="s">
        <v>2650</v>
      </c>
    </row>
    <row r="165" spans="8:42" x14ac:dyDescent="0.2">
      <c r="H165" t="s">
        <v>2651</v>
      </c>
      <c r="I165" t="s">
        <v>2652</v>
      </c>
      <c r="AP165" t="s">
        <v>2653</v>
      </c>
    </row>
    <row r="166" spans="8:42" x14ac:dyDescent="0.2">
      <c r="H166" t="s">
        <v>2654</v>
      </c>
      <c r="I166" t="s">
        <v>2655</v>
      </c>
      <c r="AP166" t="s">
        <v>2656</v>
      </c>
    </row>
    <row r="167" spans="8:42" x14ac:dyDescent="0.2">
      <c r="H167" t="s">
        <v>2657</v>
      </c>
      <c r="I167" t="s">
        <v>2658</v>
      </c>
      <c r="AP167" t="s">
        <v>2659</v>
      </c>
    </row>
    <row r="168" spans="8:42" x14ac:dyDescent="0.2">
      <c r="H168" t="s">
        <v>2660</v>
      </c>
      <c r="I168" t="s">
        <v>1314</v>
      </c>
      <c r="AP168" t="s">
        <v>2661</v>
      </c>
    </row>
    <row r="169" spans="8:42" x14ac:dyDescent="0.2">
      <c r="H169" t="s">
        <v>2662</v>
      </c>
      <c r="I169" t="s">
        <v>2663</v>
      </c>
      <c r="AP169" t="s">
        <v>2664</v>
      </c>
    </row>
    <row r="170" spans="8:42" x14ac:dyDescent="0.2">
      <c r="H170" t="s">
        <v>2665</v>
      </c>
      <c r="I170" t="s">
        <v>2666</v>
      </c>
      <c r="AP170" t="s">
        <v>2667</v>
      </c>
    </row>
    <row r="171" spans="8:42" x14ac:dyDescent="0.2">
      <c r="H171" t="s">
        <v>2668</v>
      </c>
      <c r="I171" t="s">
        <v>2669</v>
      </c>
      <c r="AP171" t="s">
        <v>1561</v>
      </c>
    </row>
    <row r="172" spans="8:42" x14ac:dyDescent="0.2">
      <c r="H172" t="s">
        <v>2670</v>
      </c>
      <c r="I172" t="s">
        <v>2671</v>
      </c>
      <c r="AP172" t="s">
        <v>2672</v>
      </c>
    </row>
    <row r="173" spans="8:42" x14ac:dyDescent="0.2">
      <c r="H173" t="s">
        <v>2673</v>
      </c>
      <c r="I173" t="s">
        <v>2674</v>
      </c>
      <c r="AP173" t="s">
        <v>2675</v>
      </c>
    </row>
    <row r="174" spans="8:42" x14ac:dyDescent="0.2">
      <c r="H174" t="s">
        <v>2676</v>
      </c>
      <c r="I174" t="s">
        <v>2049</v>
      </c>
      <c r="AP174" t="s">
        <v>2677</v>
      </c>
    </row>
    <row r="175" spans="8:42" x14ac:dyDescent="0.2">
      <c r="H175" t="s">
        <v>2678</v>
      </c>
      <c r="I175" t="s">
        <v>2679</v>
      </c>
      <c r="AP175" t="s">
        <v>2680</v>
      </c>
    </row>
    <row r="176" spans="8:42" x14ac:dyDescent="0.2">
      <c r="H176" t="s">
        <v>2681</v>
      </c>
      <c r="I176" t="s">
        <v>2682</v>
      </c>
      <c r="AP176" t="s">
        <v>285</v>
      </c>
    </row>
    <row r="177" spans="8:42" x14ac:dyDescent="0.2">
      <c r="H177" t="s">
        <v>2683</v>
      </c>
      <c r="I177" t="s">
        <v>2684</v>
      </c>
      <c r="AP177" t="s">
        <v>2685</v>
      </c>
    </row>
    <row r="178" spans="8:42" x14ac:dyDescent="0.2">
      <c r="H178" t="s">
        <v>2686</v>
      </c>
      <c r="I178" t="s">
        <v>2687</v>
      </c>
      <c r="AP178" t="s">
        <v>2688</v>
      </c>
    </row>
    <row r="179" spans="8:42" x14ac:dyDescent="0.2">
      <c r="H179" t="s">
        <v>2689</v>
      </c>
      <c r="I179" t="s">
        <v>712</v>
      </c>
      <c r="AP179" t="s">
        <v>2690</v>
      </c>
    </row>
    <row r="180" spans="8:42" x14ac:dyDescent="0.2">
      <c r="H180" t="s">
        <v>2691</v>
      </c>
      <c r="I180" t="s">
        <v>2692</v>
      </c>
      <c r="AP180" t="s">
        <v>2693</v>
      </c>
    </row>
    <row r="181" spans="8:42" x14ac:dyDescent="0.2">
      <c r="H181" t="s">
        <v>2694</v>
      </c>
      <c r="I181" t="s">
        <v>719</v>
      </c>
      <c r="AP181" t="s">
        <v>2695</v>
      </c>
    </row>
    <row r="182" spans="8:42" x14ac:dyDescent="0.2">
      <c r="H182" t="s">
        <v>2696</v>
      </c>
      <c r="I182" t="s">
        <v>728</v>
      </c>
      <c r="AP182" t="s">
        <v>1347</v>
      </c>
    </row>
    <row r="183" spans="8:42" x14ac:dyDescent="0.2">
      <c r="H183" t="s">
        <v>2697</v>
      </c>
      <c r="I183" t="s">
        <v>2698</v>
      </c>
      <c r="AP183" t="s">
        <v>2699</v>
      </c>
    </row>
    <row r="184" spans="8:42" x14ac:dyDescent="0.2">
      <c r="H184" t="s">
        <v>2700</v>
      </c>
      <c r="I184" t="s">
        <v>2701</v>
      </c>
      <c r="AP184" t="s">
        <v>213</v>
      </c>
    </row>
    <row r="185" spans="8:42" x14ac:dyDescent="0.2">
      <c r="H185" t="s">
        <v>2702</v>
      </c>
      <c r="I185" t="s">
        <v>2060</v>
      </c>
      <c r="AP185" t="s">
        <v>950</v>
      </c>
    </row>
    <row r="186" spans="8:42" x14ac:dyDescent="0.2">
      <c r="H186" t="s">
        <v>2703</v>
      </c>
      <c r="I186" t="s">
        <v>2704</v>
      </c>
      <c r="AP186" t="s">
        <v>2705</v>
      </c>
    </row>
    <row r="187" spans="8:42" x14ac:dyDescent="0.2">
      <c r="H187" t="s">
        <v>2706</v>
      </c>
      <c r="I187" t="s">
        <v>2707</v>
      </c>
      <c r="AP187" t="s">
        <v>2708</v>
      </c>
    </row>
    <row r="188" spans="8:42" x14ac:dyDescent="0.2">
      <c r="H188" t="s">
        <v>2709</v>
      </c>
      <c r="I188" t="s">
        <v>2710</v>
      </c>
      <c r="AP188" t="s">
        <v>2711</v>
      </c>
    </row>
    <row r="189" spans="8:42" x14ac:dyDescent="0.2">
      <c r="H189" t="s">
        <v>2712</v>
      </c>
      <c r="I189" t="s">
        <v>2713</v>
      </c>
      <c r="AP189" t="s">
        <v>2714</v>
      </c>
    </row>
    <row r="190" spans="8:42" x14ac:dyDescent="0.2">
      <c r="H190" t="s">
        <v>2715</v>
      </c>
      <c r="I190" t="s">
        <v>2716</v>
      </c>
      <c r="AP190" t="s">
        <v>2717</v>
      </c>
    </row>
    <row r="191" spans="8:42" x14ac:dyDescent="0.2">
      <c r="H191" t="s">
        <v>2718</v>
      </c>
      <c r="I191" t="s">
        <v>2719</v>
      </c>
      <c r="AP191" t="s">
        <v>2720</v>
      </c>
    </row>
    <row r="192" spans="8:42" x14ac:dyDescent="0.2">
      <c r="H192" t="s">
        <v>2721</v>
      </c>
      <c r="I192" t="s">
        <v>2722</v>
      </c>
      <c r="AP192" t="s">
        <v>2723</v>
      </c>
    </row>
    <row r="193" spans="8:42" x14ac:dyDescent="0.2">
      <c r="H193" t="s">
        <v>2724</v>
      </c>
      <c r="I193" t="s">
        <v>2725</v>
      </c>
      <c r="AP193" t="s">
        <v>2726</v>
      </c>
    </row>
    <row r="194" spans="8:42" x14ac:dyDescent="0.2">
      <c r="H194" t="s">
        <v>2727</v>
      </c>
      <c r="I194" t="s">
        <v>2728</v>
      </c>
      <c r="AP194" t="s">
        <v>359</v>
      </c>
    </row>
    <row r="195" spans="8:42" x14ac:dyDescent="0.2">
      <c r="H195" t="s">
        <v>2729</v>
      </c>
      <c r="I195" t="s">
        <v>2730</v>
      </c>
      <c r="AP195" t="s">
        <v>2731</v>
      </c>
    </row>
    <row r="196" spans="8:42" x14ac:dyDescent="0.2">
      <c r="H196" t="s">
        <v>2732</v>
      </c>
      <c r="I196" t="s">
        <v>2070</v>
      </c>
      <c r="AP196" t="s">
        <v>2733</v>
      </c>
    </row>
    <row r="197" spans="8:42" x14ac:dyDescent="0.2">
      <c r="H197" t="s">
        <v>2734</v>
      </c>
      <c r="I197" t="s">
        <v>2735</v>
      </c>
      <c r="AP197" t="s">
        <v>1386</v>
      </c>
    </row>
    <row r="198" spans="8:42" x14ac:dyDescent="0.2">
      <c r="H198" t="s">
        <v>2736</v>
      </c>
      <c r="I198" t="s">
        <v>2737</v>
      </c>
      <c r="AP198" t="s">
        <v>2738</v>
      </c>
    </row>
    <row r="199" spans="8:42" x14ac:dyDescent="0.2">
      <c r="H199" t="s">
        <v>2739</v>
      </c>
      <c r="I199" t="s">
        <v>2740</v>
      </c>
      <c r="AP199" t="s">
        <v>2741</v>
      </c>
    </row>
    <row r="200" spans="8:42" x14ac:dyDescent="0.2">
      <c r="H200" t="s">
        <v>2742</v>
      </c>
      <c r="I200" t="s">
        <v>2743</v>
      </c>
      <c r="AP200" t="s">
        <v>2744</v>
      </c>
    </row>
    <row r="201" spans="8:42" x14ac:dyDescent="0.2">
      <c r="H201" t="s">
        <v>2745</v>
      </c>
      <c r="I201" t="s">
        <v>2746</v>
      </c>
      <c r="AP201" t="s">
        <v>2747</v>
      </c>
    </row>
    <row r="202" spans="8:42" x14ac:dyDescent="0.2">
      <c r="H202" t="s">
        <v>2748</v>
      </c>
      <c r="I202" t="s">
        <v>2749</v>
      </c>
      <c r="AP202" t="s">
        <v>2750</v>
      </c>
    </row>
    <row r="203" spans="8:42" x14ac:dyDescent="0.2">
      <c r="H203" t="s">
        <v>2751</v>
      </c>
      <c r="I203" t="s">
        <v>2752</v>
      </c>
      <c r="AP203" t="s">
        <v>2753</v>
      </c>
    </row>
    <row r="204" spans="8:42" x14ac:dyDescent="0.2">
      <c r="H204" t="s">
        <v>2754</v>
      </c>
      <c r="I204" t="s">
        <v>2755</v>
      </c>
      <c r="AP204" t="s">
        <v>2756</v>
      </c>
    </row>
    <row r="205" spans="8:42" x14ac:dyDescent="0.2">
      <c r="H205" t="s">
        <v>2757</v>
      </c>
      <c r="I205" t="s">
        <v>2758</v>
      </c>
      <c r="AP205" t="s">
        <v>2759</v>
      </c>
    </row>
    <row r="206" spans="8:42" x14ac:dyDescent="0.2">
      <c r="H206" t="s">
        <v>2760</v>
      </c>
      <c r="I206" t="s">
        <v>2761</v>
      </c>
      <c r="AP206" t="s">
        <v>2762</v>
      </c>
    </row>
    <row r="207" spans="8:42" x14ac:dyDescent="0.2">
      <c r="H207" t="s">
        <v>2763</v>
      </c>
      <c r="I207" t="s">
        <v>2080</v>
      </c>
      <c r="AP207" t="s">
        <v>2764</v>
      </c>
    </row>
    <row r="208" spans="8:42" x14ac:dyDescent="0.2">
      <c r="H208" t="s">
        <v>2765</v>
      </c>
      <c r="I208" t="s">
        <v>2766</v>
      </c>
      <c r="AP208" t="s">
        <v>2767</v>
      </c>
    </row>
    <row r="209" spans="8:42" x14ac:dyDescent="0.2">
      <c r="H209" t="s">
        <v>2768</v>
      </c>
      <c r="I209" t="s">
        <v>440</v>
      </c>
      <c r="AP209" t="s">
        <v>2769</v>
      </c>
    </row>
    <row r="210" spans="8:42" x14ac:dyDescent="0.2">
      <c r="H210" t="s">
        <v>2770</v>
      </c>
      <c r="I210" t="s">
        <v>2771</v>
      </c>
      <c r="AP210" t="s">
        <v>2772</v>
      </c>
    </row>
    <row r="211" spans="8:42" x14ac:dyDescent="0.2">
      <c r="H211" t="s">
        <v>2773</v>
      </c>
      <c r="I211" t="s">
        <v>2774</v>
      </c>
      <c r="AP211" t="s">
        <v>799</v>
      </c>
    </row>
    <row r="212" spans="8:42" x14ac:dyDescent="0.2">
      <c r="H212" t="s">
        <v>2775</v>
      </c>
      <c r="I212" t="s">
        <v>2090</v>
      </c>
      <c r="AP212" t="s">
        <v>2776</v>
      </c>
    </row>
    <row r="213" spans="8:42" x14ac:dyDescent="0.2">
      <c r="H213" t="s">
        <v>2777</v>
      </c>
      <c r="I213" t="s">
        <v>2101</v>
      </c>
      <c r="AP213" t="s">
        <v>2778</v>
      </c>
    </row>
    <row r="214" spans="8:42" x14ac:dyDescent="0.2">
      <c r="H214" t="s">
        <v>2779</v>
      </c>
      <c r="I214" t="s">
        <v>2109</v>
      </c>
      <c r="AP214" t="s">
        <v>120</v>
      </c>
    </row>
    <row r="215" spans="8:42" x14ac:dyDescent="0.2">
      <c r="H215" t="s">
        <v>2780</v>
      </c>
      <c r="I215" t="s">
        <v>2120</v>
      </c>
      <c r="AP215" t="s">
        <v>2781</v>
      </c>
    </row>
    <row r="216" spans="8:42" x14ac:dyDescent="0.2">
      <c r="H216" t="s">
        <v>2782</v>
      </c>
      <c r="I216" t="s">
        <v>2783</v>
      </c>
      <c r="AP216" t="s">
        <v>2784</v>
      </c>
    </row>
    <row r="217" spans="8:42" x14ac:dyDescent="0.2">
      <c r="H217" t="s">
        <v>2785</v>
      </c>
      <c r="I217" t="s">
        <v>2786</v>
      </c>
      <c r="AP217" t="s">
        <v>1211</v>
      </c>
    </row>
    <row r="218" spans="8:42" x14ac:dyDescent="0.2">
      <c r="H218" t="s">
        <v>2787</v>
      </c>
      <c r="I218" t="s">
        <v>2788</v>
      </c>
      <c r="AP218" t="s">
        <v>2789</v>
      </c>
    </row>
    <row r="219" spans="8:42" x14ac:dyDescent="0.2">
      <c r="H219" t="s">
        <v>2790</v>
      </c>
      <c r="I219" t="s">
        <v>2791</v>
      </c>
      <c r="AP219" t="s">
        <v>2792</v>
      </c>
    </row>
    <row r="220" spans="8:42" x14ac:dyDescent="0.2">
      <c r="H220" t="s">
        <v>2793</v>
      </c>
      <c r="I220" t="s">
        <v>2794</v>
      </c>
      <c r="AP220" t="s">
        <v>2795</v>
      </c>
    </row>
    <row r="221" spans="8:42" x14ac:dyDescent="0.2">
      <c r="H221" t="s">
        <v>2796</v>
      </c>
      <c r="I221" t="s">
        <v>2797</v>
      </c>
      <c r="AP221" t="s">
        <v>1430</v>
      </c>
    </row>
    <row r="222" spans="8:42" x14ac:dyDescent="0.2">
      <c r="H222" t="s">
        <v>2798</v>
      </c>
      <c r="I222" t="s">
        <v>2799</v>
      </c>
      <c r="AP222" t="s">
        <v>204</v>
      </c>
    </row>
    <row r="223" spans="8:42" x14ac:dyDescent="0.2">
      <c r="H223" t="s">
        <v>2800</v>
      </c>
      <c r="I223" t="s">
        <v>2801</v>
      </c>
      <c r="AP223" t="s">
        <v>1241</v>
      </c>
    </row>
    <row r="224" spans="8:42" x14ac:dyDescent="0.2">
      <c r="H224" t="s">
        <v>2802</v>
      </c>
      <c r="I224" t="s">
        <v>2129</v>
      </c>
      <c r="AP224" t="s">
        <v>2803</v>
      </c>
    </row>
    <row r="225" spans="8:42" x14ac:dyDescent="0.2">
      <c r="H225" t="s">
        <v>2804</v>
      </c>
      <c r="I225" t="s">
        <v>2805</v>
      </c>
      <c r="AP225" t="s">
        <v>2806</v>
      </c>
    </row>
    <row r="226" spans="8:42" x14ac:dyDescent="0.2">
      <c r="H226" t="s">
        <v>2807</v>
      </c>
      <c r="I226" t="s">
        <v>2808</v>
      </c>
      <c r="AP226" t="s">
        <v>2809</v>
      </c>
    </row>
    <row r="227" spans="8:42" x14ac:dyDescent="0.2">
      <c r="H227" t="s">
        <v>2810</v>
      </c>
      <c r="I227" t="s">
        <v>2811</v>
      </c>
      <c r="AP227" t="s">
        <v>562</v>
      </c>
    </row>
    <row r="228" spans="8:42" x14ac:dyDescent="0.2">
      <c r="H228" t="s">
        <v>2812</v>
      </c>
      <c r="I228" t="s">
        <v>2813</v>
      </c>
      <c r="AP228" t="s">
        <v>2814</v>
      </c>
    </row>
    <row r="229" spans="8:42" x14ac:dyDescent="0.2">
      <c r="H229" t="s">
        <v>2815</v>
      </c>
      <c r="I229" t="s">
        <v>2816</v>
      </c>
      <c r="AP229" t="s">
        <v>2817</v>
      </c>
    </row>
    <row r="230" spans="8:42" x14ac:dyDescent="0.2">
      <c r="H230" t="s">
        <v>2818</v>
      </c>
      <c r="I230" t="s">
        <v>2819</v>
      </c>
      <c r="AP230" t="s">
        <v>2820</v>
      </c>
    </row>
    <row r="231" spans="8:42" x14ac:dyDescent="0.2">
      <c r="H231" t="s">
        <v>2821</v>
      </c>
      <c r="I231" t="s">
        <v>2822</v>
      </c>
      <c r="AP231" t="s">
        <v>2823</v>
      </c>
    </row>
    <row r="232" spans="8:42" x14ac:dyDescent="0.2">
      <c r="H232" t="s">
        <v>2824</v>
      </c>
      <c r="I232" t="s">
        <v>2825</v>
      </c>
      <c r="AP232" t="s">
        <v>1536</v>
      </c>
    </row>
    <row r="233" spans="8:42" x14ac:dyDescent="0.2">
      <c r="H233" t="s">
        <v>2826</v>
      </c>
      <c r="I233" t="s">
        <v>2827</v>
      </c>
      <c r="AP233" t="s">
        <v>844</v>
      </c>
    </row>
    <row r="234" spans="8:42" x14ac:dyDescent="0.2">
      <c r="H234" t="s">
        <v>2828</v>
      </c>
      <c r="I234" t="s">
        <v>2136</v>
      </c>
      <c r="AP234" t="s">
        <v>1539</v>
      </c>
    </row>
    <row r="235" spans="8:42" x14ac:dyDescent="0.2">
      <c r="H235" t="s">
        <v>2829</v>
      </c>
      <c r="I235" t="s">
        <v>2830</v>
      </c>
      <c r="AP235" t="s">
        <v>552</v>
      </c>
    </row>
    <row r="236" spans="8:42" x14ac:dyDescent="0.2">
      <c r="H236" t="s">
        <v>2831</v>
      </c>
      <c r="I236" t="s">
        <v>2832</v>
      </c>
      <c r="AP236" t="s">
        <v>2833</v>
      </c>
    </row>
    <row r="237" spans="8:42" x14ac:dyDescent="0.2">
      <c r="H237" t="s">
        <v>2834</v>
      </c>
      <c r="I237" t="s">
        <v>378</v>
      </c>
      <c r="AP237" t="s">
        <v>823</v>
      </c>
    </row>
    <row r="238" spans="8:42" x14ac:dyDescent="0.2">
      <c r="H238" t="s">
        <v>2835</v>
      </c>
      <c r="I238" t="s">
        <v>2836</v>
      </c>
      <c r="AP238" t="s">
        <v>166</v>
      </c>
    </row>
    <row r="239" spans="8:42" x14ac:dyDescent="0.2">
      <c r="H239" t="s">
        <v>2837</v>
      </c>
      <c r="I239" t="s">
        <v>2838</v>
      </c>
      <c r="AP239" t="s">
        <v>2839</v>
      </c>
    </row>
    <row r="240" spans="8:42" x14ac:dyDescent="0.2">
      <c r="H240" t="s">
        <v>2840</v>
      </c>
      <c r="I240" t="s">
        <v>2841</v>
      </c>
      <c r="AP240" t="s">
        <v>2842</v>
      </c>
    </row>
    <row r="241" spans="8:42" x14ac:dyDescent="0.2">
      <c r="H241" t="s">
        <v>2843</v>
      </c>
      <c r="I241" t="s">
        <v>2844</v>
      </c>
      <c r="AP241" t="s">
        <v>2845</v>
      </c>
    </row>
    <row r="242" spans="8:42" x14ac:dyDescent="0.2">
      <c r="H242" t="s">
        <v>2846</v>
      </c>
      <c r="I242" t="s">
        <v>2847</v>
      </c>
      <c r="AP242" t="s">
        <v>2848</v>
      </c>
    </row>
    <row r="243" spans="8:42" x14ac:dyDescent="0.2">
      <c r="H243" t="s">
        <v>2849</v>
      </c>
      <c r="I243" t="s">
        <v>2850</v>
      </c>
      <c r="AP243" t="s">
        <v>2851</v>
      </c>
    </row>
    <row r="244" spans="8:42" x14ac:dyDescent="0.2">
      <c r="H244" t="s">
        <v>2852</v>
      </c>
      <c r="I244" t="s">
        <v>2853</v>
      </c>
      <c r="AP244" t="s">
        <v>2854</v>
      </c>
    </row>
    <row r="245" spans="8:42" x14ac:dyDescent="0.2">
      <c r="H245" t="s">
        <v>2855</v>
      </c>
      <c r="I245" t="s">
        <v>2144</v>
      </c>
      <c r="AP245" t="s">
        <v>2856</v>
      </c>
    </row>
    <row r="246" spans="8:42" x14ac:dyDescent="0.2">
      <c r="H246" t="s">
        <v>2857</v>
      </c>
      <c r="I246" t="s">
        <v>2858</v>
      </c>
      <c r="AP246" t="s">
        <v>738</v>
      </c>
    </row>
    <row r="247" spans="8:42" x14ac:dyDescent="0.2">
      <c r="H247" t="s">
        <v>2859</v>
      </c>
      <c r="I247" t="s">
        <v>2860</v>
      </c>
      <c r="AP247" t="s">
        <v>2861</v>
      </c>
    </row>
    <row r="248" spans="8:42" x14ac:dyDescent="0.2">
      <c r="H248" t="s">
        <v>2862</v>
      </c>
      <c r="I248" t="s">
        <v>2863</v>
      </c>
      <c r="AP248" t="s">
        <v>2864</v>
      </c>
    </row>
    <row r="249" spans="8:42" x14ac:dyDescent="0.2">
      <c r="H249" t="s">
        <v>2865</v>
      </c>
      <c r="I249" t="s">
        <v>2866</v>
      </c>
      <c r="AP249" t="s">
        <v>2867</v>
      </c>
    </row>
    <row r="250" spans="8:42" x14ac:dyDescent="0.2">
      <c r="H250" t="s">
        <v>2868</v>
      </c>
      <c r="I250" t="s">
        <v>2869</v>
      </c>
      <c r="AP250" t="s">
        <v>2870</v>
      </c>
    </row>
    <row r="251" spans="8:42" x14ac:dyDescent="0.2">
      <c r="H251" t="s">
        <v>2871</v>
      </c>
      <c r="I251" t="s">
        <v>2872</v>
      </c>
      <c r="AP251" t="s">
        <v>2873</v>
      </c>
    </row>
    <row r="252" spans="8:42" x14ac:dyDescent="0.2">
      <c r="H252" t="s">
        <v>2874</v>
      </c>
      <c r="I252" t="s">
        <v>2875</v>
      </c>
      <c r="AP252" t="s">
        <v>2876</v>
      </c>
    </row>
    <row r="253" spans="8:42" x14ac:dyDescent="0.2">
      <c r="H253" t="s">
        <v>2877</v>
      </c>
      <c r="I253" t="s">
        <v>1439</v>
      </c>
      <c r="AP253" t="s">
        <v>612</v>
      </c>
    </row>
    <row r="254" spans="8:42" x14ac:dyDescent="0.2">
      <c r="H254" t="s">
        <v>2878</v>
      </c>
      <c r="I254" t="s">
        <v>1449</v>
      </c>
      <c r="AP254" t="s">
        <v>2879</v>
      </c>
    </row>
    <row r="255" spans="8:42" x14ac:dyDescent="0.2">
      <c r="H255" t="s">
        <v>2880</v>
      </c>
      <c r="I255" t="s">
        <v>2881</v>
      </c>
      <c r="AP255" t="s">
        <v>2882</v>
      </c>
    </row>
    <row r="256" spans="8:42" x14ac:dyDescent="0.2">
      <c r="H256" t="s">
        <v>2883</v>
      </c>
      <c r="I256" t="s">
        <v>2884</v>
      </c>
      <c r="AP256" t="s">
        <v>379</v>
      </c>
    </row>
    <row r="257" spans="8:42" x14ac:dyDescent="0.2">
      <c r="H257" t="s">
        <v>2885</v>
      </c>
      <c r="I257" t="s">
        <v>746</v>
      </c>
      <c r="AP257" t="s">
        <v>2886</v>
      </c>
    </row>
    <row r="258" spans="8:42" x14ac:dyDescent="0.2">
      <c r="H258" t="s">
        <v>2887</v>
      </c>
      <c r="I258" t="s">
        <v>2888</v>
      </c>
      <c r="AP258" t="s">
        <v>2889</v>
      </c>
    </row>
    <row r="259" spans="8:42" x14ac:dyDescent="0.2">
      <c r="H259" t="s">
        <v>2890</v>
      </c>
      <c r="I259" t="s">
        <v>2891</v>
      </c>
      <c r="AP259" t="s">
        <v>2892</v>
      </c>
    </row>
    <row r="260" spans="8:42" x14ac:dyDescent="0.2">
      <c r="H260" t="s">
        <v>548</v>
      </c>
      <c r="I260" t="s">
        <v>2893</v>
      </c>
      <c r="AP260" t="s">
        <v>2894</v>
      </c>
    </row>
    <row r="261" spans="8:42" x14ac:dyDescent="0.2">
      <c r="H261" t="s">
        <v>2895</v>
      </c>
      <c r="I261" t="s">
        <v>2896</v>
      </c>
      <c r="AP261" t="s">
        <v>2897</v>
      </c>
    </row>
    <row r="262" spans="8:42" x14ac:dyDescent="0.2">
      <c r="H262" t="s">
        <v>2898</v>
      </c>
      <c r="I262" t="s">
        <v>2899</v>
      </c>
      <c r="AP262" t="s">
        <v>2900</v>
      </c>
    </row>
    <row r="263" spans="8:42" x14ac:dyDescent="0.2">
      <c r="H263" t="s">
        <v>2901</v>
      </c>
      <c r="I263" t="s">
        <v>2902</v>
      </c>
      <c r="AP263" t="s">
        <v>233</v>
      </c>
    </row>
    <row r="264" spans="8:42" x14ac:dyDescent="0.2">
      <c r="H264" t="s">
        <v>2903</v>
      </c>
      <c r="I264" t="s">
        <v>2904</v>
      </c>
      <c r="AP264" t="s">
        <v>535</v>
      </c>
    </row>
    <row r="265" spans="8:42" x14ac:dyDescent="0.2">
      <c r="H265" t="s">
        <v>2905</v>
      </c>
      <c r="I265" t="s">
        <v>2906</v>
      </c>
      <c r="AP265" t="s">
        <v>2907</v>
      </c>
    </row>
    <row r="266" spans="8:42" x14ac:dyDescent="0.2">
      <c r="H266" t="s">
        <v>2908</v>
      </c>
      <c r="I266" t="s">
        <v>2909</v>
      </c>
      <c r="AP266" t="s">
        <v>2910</v>
      </c>
    </row>
    <row r="267" spans="8:42" x14ac:dyDescent="0.2">
      <c r="H267" t="s">
        <v>2911</v>
      </c>
      <c r="I267" t="s">
        <v>1008</v>
      </c>
      <c r="AP267" t="s">
        <v>2912</v>
      </c>
    </row>
    <row r="268" spans="8:42" x14ac:dyDescent="0.2">
      <c r="H268" t="s">
        <v>2913</v>
      </c>
      <c r="I268" t="s">
        <v>2914</v>
      </c>
      <c r="AP268" t="s">
        <v>2915</v>
      </c>
    </row>
    <row r="269" spans="8:42" x14ac:dyDescent="0.2">
      <c r="H269" t="s">
        <v>1313</v>
      </c>
      <c r="I269" t="s">
        <v>2916</v>
      </c>
      <c r="AP269" t="s">
        <v>652</v>
      </c>
    </row>
    <row r="270" spans="8:42" x14ac:dyDescent="0.2">
      <c r="H270" t="s">
        <v>2917</v>
      </c>
      <c r="I270" t="s">
        <v>2918</v>
      </c>
      <c r="AP270" t="s">
        <v>2919</v>
      </c>
    </row>
    <row r="271" spans="8:42" x14ac:dyDescent="0.2">
      <c r="H271" t="s">
        <v>2920</v>
      </c>
      <c r="I271" t="s">
        <v>2921</v>
      </c>
      <c r="AP271" t="s">
        <v>2922</v>
      </c>
    </row>
    <row r="272" spans="8:42" x14ac:dyDescent="0.2">
      <c r="H272" t="s">
        <v>2923</v>
      </c>
      <c r="I272" t="s">
        <v>2924</v>
      </c>
      <c r="AP272" t="s">
        <v>2925</v>
      </c>
    </row>
    <row r="273" spans="8:42" x14ac:dyDescent="0.2">
      <c r="H273" t="s">
        <v>2926</v>
      </c>
      <c r="I273" t="s">
        <v>2927</v>
      </c>
      <c r="AP273" t="s">
        <v>2928</v>
      </c>
    </row>
    <row r="274" spans="8:42" x14ac:dyDescent="0.2">
      <c r="H274" t="s">
        <v>2929</v>
      </c>
      <c r="I274" t="s">
        <v>2150</v>
      </c>
      <c r="AP274" t="s">
        <v>2930</v>
      </c>
    </row>
    <row r="275" spans="8:42" x14ac:dyDescent="0.2">
      <c r="H275" t="s">
        <v>2931</v>
      </c>
      <c r="I275" t="s">
        <v>2932</v>
      </c>
    </row>
    <row r="276" spans="8:42" x14ac:dyDescent="0.2">
      <c r="H276" t="s">
        <v>2933</v>
      </c>
      <c r="I276" t="s">
        <v>2934</v>
      </c>
    </row>
    <row r="277" spans="8:42" x14ac:dyDescent="0.2">
      <c r="H277" t="s">
        <v>2935</v>
      </c>
      <c r="I277" t="s">
        <v>2936</v>
      </c>
    </row>
    <row r="278" spans="8:42" x14ac:dyDescent="0.2">
      <c r="H278" t="s">
        <v>2937</v>
      </c>
      <c r="I278" t="s">
        <v>2938</v>
      </c>
    </row>
    <row r="279" spans="8:42" x14ac:dyDescent="0.2">
      <c r="H279" t="s">
        <v>2939</v>
      </c>
      <c r="I279" t="s">
        <v>2940</v>
      </c>
    </row>
    <row r="280" spans="8:42" x14ac:dyDescent="0.2">
      <c r="H280" t="s">
        <v>2941</v>
      </c>
      <c r="I280" t="s">
        <v>2942</v>
      </c>
    </row>
    <row r="281" spans="8:42" x14ac:dyDescent="0.2">
      <c r="H281" t="s">
        <v>2943</v>
      </c>
      <c r="I281" t="s">
        <v>2944</v>
      </c>
    </row>
    <row r="282" spans="8:42" x14ac:dyDescent="0.2">
      <c r="H282" t="s">
        <v>2945</v>
      </c>
      <c r="I282" t="s">
        <v>2946</v>
      </c>
    </row>
    <row r="283" spans="8:42" x14ac:dyDescent="0.2">
      <c r="H283" t="s">
        <v>2947</v>
      </c>
      <c r="I283" t="s">
        <v>2948</v>
      </c>
    </row>
    <row r="284" spans="8:42" x14ac:dyDescent="0.2">
      <c r="H284" t="s">
        <v>2949</v>
      </c>
      <c r="I284" t="s">
        <v>2950</v>
      </c>
    </row>
    <row r="285" spans="8:42" x14ac:dyDescent="0.2">
      <c r="H285" t="s">
        <v>2951</v>
      </c>
      <c r="I285" t="s">
        <v>2952</v>
      </c>
    </row>
    <row r="286" spans="8:42" x14ac:dyDescent="0.2">
      <c r="H286" t="s">
        <v>2953</v>
      </c>
      <c r="I286" t="s">
        <v>2954</v>
      </c>
    </row>
    <row r="287" spans="8:42" x14ac:dyDescent="0.2">
      <c r="H287" t="s">
        <v>2955</v>
      </c>
      <c r="I287" t="s">
        <v>2956</v>
      </c>
    </row>
    <row r="288" spans="8:42" x14ac:dyDescent="0.2">
      <c r="H288" t="s">
        <v>2957</v>
      </c>
      <c r="I288" t="s">
        <v>2958</v>
      </c>
    </row>
    <row r="289" spans="8:9" x14ac:dyDescent="0.2">
      <c r="H289" t="s">
        <v>2959</v>
      </c>
      <c r="I289" t="s">
        <v>1125</v>
      </c>
    </row>
    <row r="290" spans="8:9" x14ac:dyDescent="0.2">
      <c r="H290" t="s">
        <v>2960</v>
      </c>
      <c r="I290" t="s">
        <v>1276</v>
      </c>
    </row>
    <row r="291" spans="8:9" x14ac:dyDescent="0.2">
      <c r="H291" t="s">
        <v>2961</v>
      </c>
      <c r="I291" t="s">
        <v>1281</v>
      </c>
    </row>
    <row r="292" spans="8:9" x14ac:dyDescent="0.2">
      <c r="H292" t="s">
        <v>2962</v>
      </c>
      <c r="I292" t="s">
        <v>767</v>
      </c>
    </row>
    <row r="293" spans="8:9" x14ac:dyDescent="0.2">
      <c r="H293" t="s">
        <v>2963</v>
      </c>
      <c r="I293" t="s">
        <v>2964</v>
      </c>
    </row>
    <row r="294" spans="8:9" x14ac:dyDescent="0.2">
      <c r="H294" t="s">
        <v>2965</v>
      </c>
      <c r="I294" t="s">
        <v>1310</v>
      </c>
    </row>
    <row r="295" spans="8:9" x14ac:dyDescent="0.2">
      <c r="H295" t="s">
        <v>2966</v>
      </c>
      <c r="I295" t="s">
        <v>2967</v>
      </c>
    </row>
    <row r="296" spans="8:9" x14ac:dyDescent="0.2">
      <c r="H296" t="s">
        <v>2968</v>
      </c>
      <c r="I296" t="s">
        <v>819</v>
      </c>
    </row>
    <row r="297" spans="8:9" x14ac:dyDescent="0.2">
      <c r="H297" t="s">
        <v>2969</v>
      </c>
      <c r="I297" t="s">
        <v>830</v>
      </c>
    </row>
    <row r="298" spans="8:9" x14ac:dyDescent="0.2">
      <c r="H298" t="s">
        <v>711</v>
      </c>
      <c r="I298" t="s">
        <v>2970</v>
      </c>
    </row>
    <row r="299" spans="8:9" x14ac:dyDescent="0.2">
      <c r="H299" t="s">
        <v>2971</v>
      </c>
      <c r="I299" t="s">
        <v>2972</v>
      </c>
    </row>
    <row r="300" spans="8:9" x14ac:dyDescent="0.2">
      <c r="H300" t="s">
        <v>2973</v>
      </c>
      <c r="I300" t="s">
        <v>2974</v>
      </c>
    </row>
    <row r="301" spans="8:9" x14ac:dyDescent="0.2">
      <c r="H301" t="s">
        <v>2975</v>
      </c>
      <c r="I301" t="s">
        <v>1317</v>
      </c>
    </row>
    <row r="302" spans="8:9" x14ac:dyDescent="0.2">
      <c r="H302" t="s">
        <v>718</v>
      </c>
      <c r="I302" t="s">
        <v>430</v>
      </c>
    </row>
    <row r="303" spans="8:9" x14ac:dyDescent="0.2">
      <c r="H303" t="s">
        <v>2976</v>
      </c>
      <c r="I303" t="s">
        <v>441</v>
      </c>
    </row>
    <row r="304" spans="8:9" x14ac:dyDescent="0.2">
      <c r="H304" t="s">
        <v>727</v>
      </c>
      <c r="I304" t="s">
        <v>2977</v>
      </c>
    </row>
    <row r="305" spans="8:9" x14ac:dyDescent="0.2">
      <c r="H305" t="s">
        <v>2978</v>
      </c>
      <c r="I305" t="s">
        <v>2225</v>
      </c>
    </row>
    <row r="306" spans="8:9" x14ac:dyDescent="0.2">
      <c r="H306" t="s">
        <v>2979</v>
      </c>
      <c r="I306" t="s">
        <v>1415</v>
      </c>
    </row>
    <row r="307" spans="8:9" x14ac:dyDescent="0.2">
      <c r="H307" t="s">
        <v>2980</v>
      </c>
      <c r="I307" t="s">
        <v>207</v>
      </c>
    </row>
    <row r="308" spans="8:9" x14ac:dyDescent="0.2">
      <c r="H308" t="s">
        <v>2981</v>
      </c>
      <c r="I308" t="s">
        <v>2982</v>
      </c>
    </row>
    <row r="309" spans="8:9" x14ac:dyDescent="0.2">
      <c r="H309" t="s">
        <v>2983</v>
      </c>
      <c r="I309" t="s">
        <v>1024</v>
      </c>
    </row>
    <row r="310" spans="8:9" x14ac:dyDescent="0.2">
      <c r="H310" t="s">
        <v>2984</v>
      </c>
      <c r="I310" t="s">
        <v>2985</v>
      </c>
    </row>
    <row r="311" spans="8:9" x14ac:dyDescent="0.2">
      <c r="H311" t="s">
        <v>2986</v>
      </c>
      <c r="I311" t="s">
        <v>2987</v>
      </c>
    </row>
    <row r="312" spans="8:9" x14ac:dyDescent="0.2">
      <c r="H312" t="s">
        <v>2988</v>
      </c>
      <c r="I312" t="s">
        <v>729</v>
      </c>
    </row>
    <row r="313" spans="8:9" x14ac:dyDescent="0.2">
      <c r="H313" t="s">
        <v>2989</v>
      </c>
      <c r="I313" t="s">
        <v>2246</v>
      </c>
    </row>
    <row r="314" spans="8:9" x14ac:dyDescent="0.2">
      <c r="H314" t="s">
        <v>2990</v>
      </c>
      <c r="I314" t="s">
        <v>2991</v>
      </c>
    </row>
    <row r="315" spans="8:9" x14ac:dyDescent="0.2">
      <c r="H315" t="s">
        <v>2992</v>
      </c>
      <c r="I315" t="s">
        <v>2255</v>
      </c>
    </row>
    <row r="316" spans="8:9" x14ac:dyDescent="0.2">
      <c r="H316" t="s">
        <v>2993</v>
      </c>
      <c r="I316" t="s">
        <v>2994</v>
      </c>
    </row>
    <row r="317" spans="8:9" x14ac:dyDescent="0.2">
      <c r="H317" t="s">
        <v>2995</v>
      </c>
      <c r="I317" t="s">
        <v>2996</v>
      </c>
    </row>
    <row r="318" spans="8:9" x14ac:dyDescent="0.2">
      <c r="H318" t="s">
        <v>2997</v>
      </c>
      <c r="I318" t="s">
        <v>2998</v>
      </c>
    </row>
    <row r="319" spans="8:9" x14ac:dyDescent="0.2">
      <c r="H319" t="s">
        <v>2999</v>
      </c>
      <c r="I319" t="s">
        <v>218</v>
      </c>
    </row>
    <row r="320" spans="8:9" x14ac:dyDescent="0.2">
      <c r="H320" t="s">
        <v>3000</v>
      </c>
      <c r="I320" t="s">
        <v>1041</v>
      </c>
    </row>
    <row r="321" spans="8:9" x14ac:dyDescent="0.2">
      <c r="H321" t="s">
        <v>3001</v>
      </c>
      <c r="I321" t="s">
        <v>454</v>
      </c>
    </row>
    <row r="322" spans="8:9" x14ac:dyDescent="0.2">
      <c r="H322" t="s">
        <v>3002</v>
      </c>
      <c r="I322" t="s">
        <v>3003</v>
      </c>
    </row>
    <row r="323" spans="8:9" x14ac:dyDescent="0.2">
      <c r="H323" t="s">
        <v>3004</v>
      </c>
      <c r="I323" t="s">
        <v>460</v>
      </c>
    </row>
    <row r="324" spans="8:9" x14ac:dyDescent="0.2">
      <c r="H324" t="s">
        <v>3005</v>
      </c>
      <c r="I324" t="s">
        <v>3006</v>
      </c>
    </row>
    <row r="325" spans="8:9" x14ac:dyDescent="0.2">
      <c r="H325" t="s">
        <v>3007</v>
      </c>
      <c r="I325" t="s">
        <v>472</v>
      </c>
    </row>
    <row r="326" spans="8:9" x14ac:dyDescent="0.2">
      <c r="H326" t="s">
        <v>3008</v>
      </c>
      <c r="I326" t="s">
        <v>476</v>
      </c>
    </row>
    <row r="327" spans="8:9" x14ac:dyDescent="0.2">
      <c r="H327" t="s">
        <v>3009</v>
      </c>
      <c r="I327" t="s">
        <v>3010</v>
      </c>
    </row>
    <row r="328" spans="8:9" x14ac:dyDescent="0.2">
      <c r="H328" t="s">
        <v>3011</v>
      </c>
      <c r="I328" t="s">
        <v>628</v>
      </c>
    </row>
    <row r="329" spans="8:9" x14ac:dyDescent="0.2">
      <c r="H329" t="s">
        <v>3012</v>
      </c>
      <c r="I329" t="s">
        <v>3013</v>
      </c>
    </row>
    <row r="330" spans="8:9" x14ac:dyDescent="0.2">
      <c r="H330" t="s">
        <v>3014</v>
      </c>
      <c r="I330" t="s">
        <v>1358</v>
      </c>
    </row>
    <row r="331" spans="8:9" x14ac:dyDescent="0.2">
      <c r="H331" t="s">
        <v>3015</v>
      </c>
      <c r="I331" t="s">
        <v>1306</v>
      </c>
    </row>
    <row r="332" spans="8:9" x14ac:dyDescent="0.2">
      <c r="H332" t="s">
        <v>3016</v>
      </c>
      <c r="I332" t="s">
        <v>1368</v>
      </c>
    </row>
    <row r="333" spans="8:9" x14ac:dyDescent="0.2">
      <c r="H333" t="s">
        <v>3017</v>
      </c>
      <c r="I333" t="s">
        <v>3018</v>
      </c>
    </row>
    <row r="334" spans="8:9" x14ac:dyDescent="0.2">
      <c r="H334" t="s">
        <v>3019</v>
      </c>
      <c r="I334" t="s">
        <v>1337</v>
      </c>
    </row>
    <row r="335" spans="8:9" x14ac:dyDescent="0.2">
      <c r="H335" t="s">
        <v>3020</v>
      </c>
      <c r="I335" t="s">
        <v>3021</v>
      </c>
    </row>
    <row r="336" spans="8:9" x14ac:dyDescent="0.2">
      <c r="H336" t="s">
        <v>3022</v>
      </c>
      <c r="I336" t="s">
        <v>1342</v>
      </c>
    </row>
    <row r="337" spans="8:9" x14ac:dyDescent="0.2">
      <c r="H337" t="s">
        <v>3023</v>
      </c>
      <c r="I337" t="s">
        <v>1364</v>
      </c>
    </row>
    <row r="338" spans="8:9" x14ac:dyDescent="0.2">
      <c r="H338" t="s">
        <v>3024</v>
      </c>
      <c r="I338" t="s">
        <v>3025</v>
      </c>
    </row>
    <row r="339" spans="8:9" x14ac:dyDescent="0.2">
      <c r="H339" t="s">
        <v>3026</v>
      </c>
      <c r="I339" t="s">
        <v>3027</v>
      </c>
    </row>
    <row r="340" spans="8:9" x14ac:dyDescent="0.2">
      <c r="H340" t="s">
        <v>3028</v>
      </c>
      <c r="I340" t="s">
        <v>3029</v>
      </c>
    </row>
    <row r="341" spans="8:9" x14ac:dyDescent="0.2">
      <c r="H341" t="s">
        <v>3030</v>
      </c>
      <c r="I341" t="s">
        <v>3031</v>
      </c>
    </row>
    <row r="342" spans="8:9" x14ac:dyDescent="0.2">
      <c r="H342" t="s">
        <v>3032</v>
      </c>
      <c r="I342" t="s">
        <v>3033</v>
      </c>
    </row>
    <row r="343" spans="8:9" x14ac:dyDescent="0.2">
      <c r="H343" t="s">
        <v>3034</v>
      </c>
      <c r="I343" t="s">
        <v>3035</v>
      </c>
    </row>
    <row r="344" spans="8:9" x14ac:dyDescent="0.2">
      <c r="H344" t="s">
        <v>3036</v>
      </c>
      <c r="I344" t="s">
        <v>3037</v>
      </c>
    </row>
    <row r="345" spans="8:9" x14ac:dyDescent="0.2">
      <c r="H345" t="s">
        <v>3038</v>
      </c>
      <c r="I345" t="s">
        <v>3039</v>
      </c>
    </row>
    <row r="346" spans="8:9" x14ac:dyDescent="0.2">
      <c r="H346" t="s">
        <v>3040</v>
      </c>
      <c r="I346" t="s">
        <v>3041</v>
      </c>
    </row>
    <row r="347" spans="8:9" x14ac:dyDescent="0.2">
      <c r="H347" t="s">
        <v>3042</v>
      </c>
      <c r="I347" t="s">
        <v>3043</v>
      </c>
    </row>
    <row r="348" spans="8:9" x14ac:dyDescent="0.2">
      <c r="H348" t="s">
        <v>3044</v>
      </c>
      <c r="I348" t="s">
        <v>3045</v>
      </c>
    </row>
    <row r="349" spans="8:9" x14ac:dyDescent="0.2">
      <c r="H349" t="s">
        <v>3046</v>
      </c>
      <c r="I349" t="s">
        <v>3047</v>
      </c>
    </row>
    <row r="350" spans="8:9" x14ac:dyDescent="0.2">
      <c r="H350" t="s">
        <v>3048</v>
      </c>
      <c r="I350" t="s">
        <v>3049</v>
      </c>
    </row>
    <row r="351" spans="8:9" x14ac:dyDescent="0.2">
      <c r="H351" t="s">
        <v>3050</v>
      </c>
      <c r="I351" t="s">
        <v>2393</v>
      </c>
    </row>
    <row r="352" spans="8:9" x14ac:dyDescent="0.2">
      <c r="H352" t="s">
        <v>3051</v>
      </c>
      <c r="I352" t="s">
        <v>3052</v>
      </c>
    </row>
    <row r="353" spans="8:8" x14ac:dyDescent="0.2">
      <c r="H353" t="s">
        <v>3053</v>
      </c>
    </row>
    <row r="354" spans="8:8" x14ac:dyDescent="0.2">
      <c r="H354" t="s">
        <v>3054</v>
      </c>
    </row>
    <row r="355" spans="8:8" x14ac:dyDescent="0.2">
      <c r="H355" t="s">
        <v>3055</v>
      </c>
    </row>
    <row r="356" spans="8:8" x14ac:dyDescent="0.2">
      <c r="H356" t="s">
        <v>3056</v>
      </c>
    </row>
    <row r="357" spans="8:8" x14ac:dyDescent="0.2">
      <c r="H357" t="s">
        <v>3057</v>
      </c>
    </row>
    <row r="358" spans="8:8" x14ac:dyDescent="0.2">
      <c r="H358" t="s">
        <v>3058</v>
      </c>
    </row>
    <row r="359" spans="8:8" x14ac:dyDescent="0.2">
      <c r="H359" t="s">
        <v>3059</v>
      </c>
    </row>
    <row r="360" spans="8:8" x14ac:dyDescent="0.2">
      <c r="H360" t="s">
        <v>3060</v>
      </c>
    </row>
    <row r="361" spans="8:8" x14ac:dyDescent="0.2">
      <c r="H361" t="s">
        <v>3061</v>
      </c>
    </row>
    <row r="362" spans="8:8" x14ac:dyDescent="0.2">
      <c r="H362" t="s">
        <v>439</v>
      </c>
    </row>
    <row r="363" spans="8:8" x14ac:dyDescent="0.2">
      <c r="H363" t="s">
        <v>3062</v>
      </c>
    </row>
    <row r="364" spans="8:8" x14ac:dyDescent="0.2">
      <c r="H364" t="s">
        <v>3063</v>
      </c>
    </row>
    <row r="365" spans="8:8" x14ac:dyDescent="0.2">
      <c r="H365" t="s">
        <v>3064</v>
      </c>
    </row>
    <row r="366" spans="8:8" x14ac:dyDescent="0.2">
      <c r="H366" t="s">
        <v>3065</v>
      </c>
    </row>
    <row r="367" spans="8:8" x14ac:dyDescent="0.2">
      <c r="H367" t="s">
        <v>3066</v>
      </c>
    </row>
    <row r="368" spans="8:8" x14ac:dyDescent="0.2">
      <c r="H368" t="s">
        <v>3067</v>
      </c>
    </row>
    <row r="369" spans="8:8" x14ac:dyDescent="0.2">
      <c r="H369" t="s">
        <v>3068</v>
      </c>
    </row>
    <row r="370" spans="8:8" x14ac:dyDescent="0.2">
      <c r="H370" t="s">
        <v>3069</v>
      </c>
    </row>
    <row r="371" spans="8:8" x14ac:dyDescent="0.2">
      <c r="H371" t="s">
        <v>3070</v>
      </c>
    </row>
    <row r="372" spans="8:8" x14ac:dyDescent="0.2">
      <c r="H372" t="s">
        <v>3071</v>
      </c>
    </row>
    <row r="373" spans="8:8" x14ac:dyDescent="0.2">
      <c r="H373" t="s">
        <v>3072</v>
      </c>
    </row>
    <row r="374" spans="8:8" x14ac:dyDescent="0.2">
      <c r="H374" t="s">
        <v>3073</v>
      </c>
    </row>
    <row r="375" spans="8:8" x14ac:dyDescent="0.2">
      <c r="H375" t="s">
        <v>3074</v>
      </c>
    </row>
    <row r="376" spans="8:8" x14ac:dyDescent="0.2">
      <c r="H376" t="s">
        <v>3075</v>
      </c>
    </row>
    <row r="377" spans="8:8" x14ac:dyDescent="0.2">
      <c r="H377" t="s">
        <v>3076</v>
      </c>
    </row>
    <row r="378" spans="8:8" x14ac:dyDescent="0.2">
      <c r="H378" t="s">
        <v>3077</v>
      </c>
    </row>
    <row r="379" spans="8:8" x14ac:dyDescent="0.2">
      <c r="H379" t="s">
        <v>3078</v>
      </c>
    </row>
    <row r="380" spans="8:8" x14ac:dyDescent="0.2">
      <c r="H380" t="s">
        <v>3079</v>
      </c>
    </row>
    <row r="381" spans="8:8" x14ac:dyDescent="0.2">
      <c r="H381" t="s">
        <v>3080</v>
      </c>
    </row>
    <row r="382" spans="8:8" x14ac:dyDescent="0.2">
      <c r="H382" t="s">
        <v>3081</v>
      </c>
    </row>
    <row r="383" spans="8:8" x14ac:dyDescent="0.2">
      <c r="H383" t="s">
        <v>3082</v>
      </c>
    </row>
    <row r="384" spans="8:8" x14ac:dyDescent="0.2">
      <c r="H384" t="s">
        <v>3083</v>
      </c>
    </row>
    <row r="385" spans="8:8" x14ac:dyDescent="0.2">
      <c r="H385" t="s">
        <v>3084</v>
      </c>
    </row>
    <row r="386" spans="8:8" x14ac:dyDescent="0.2">
      <c r="H386" t="s">
        <v>3085</v>
      </c>
    </row>
    <row r="387" spans="8:8" x14ac:dyDescent="0.2">
      <c r="H387" t="s">
        <v>3086</v>
      </c>
    </row>
    <row r="388" spans="8:8" x14ac:dyDescent="0.2">
      <c r="H388" t="s">
        <v>3087</v>
      </c>
    </row>
    <row r="389" spans="8:8" x14ac:dyDescent="0.2">
      <c r="H389" t="s">
        <v>3088</v>
      </c>
    </row>
    <row r="390" spans="8:8" x14ac:dyDescent="0.2">
      <c r="H390" t="s">
        <v>3089</v>
      </c>
    </row>
    <row r="391" spans="8:8" x14ac:dyDescent="0.2">
      <c r="H391" t="s">
        <v>3090</v>
      </c>
    </row>
    <row r="392" spans="8:8" x14ac:dyDescent="0.2">
      <c r="H392" t="s">
        <v>3091</v>
      </c>
    </row>
    <row r="393" spans="8:8" x14ac:dyDescent="0.2">
      <c r="H393" t="s">
        <v>3092</v>
      </c>
    </row>
    <row r="394" spans="8:8" x14ac:dyDescent="0.2">
      <c r="H394" t="s">
        <v>3093</v>
      </c>
    </row>
    <row r="395" spans="8:8" x14ac:dyDescent="0.2">
      <c r="H395" t="s">
        <v>3094</v>
      </c>
    </row>
    <row r="396" spans="8:8" x14ac:dyDescent="0.2">
      <c r="H396" t="s">
        <v>3095</v>
      </c>
    </row>
    <row r="397" spans="8:8" x14ac:dyDescent="0.2">
      <c r="H397" t="s">
        <v>3096</v>
      </c>
    </row>
    <row r="398" spans="8:8" x14ac:dyDescent="0.2">
      <c r="H398" t="s">
        <v>3097</v>
      </c>
    </row>
    <row r="399" spans="8:8" x14ac:dyDescent="0.2">
      <c r="H399" t="s">
        <v>3098</v>
      </c>
    </row>
    <row r="400" spans="8:8" x14ac:dyDescent="0.2">
      <c r="H400" t="s">
        <v>3099</v>
      </c>
    </row>
    <row r="401" spans="8:8" x14ac:dyDescent="0.2">
      <c r="H401" t="s">
        <v>3100</v>
      </c>
    </row>
    <row r="402" spans="8:8" x14ac:dyDescent="0.2">
      <c r="H402" t="s">
        <v>3101</v>
      </c>
    </row>
    <row r="403" spans="8:8" x14ac:dyDescent="0.2">
      <c r="H403" t="s">
        <v>3102</v>
      </c>
    </row>
    <row r="404" spans="8:8" x14ac:dyDescent="0.2">
      <c r="H404" t="s">
        <v>3103</v>
      </c>
    </row>
    <row r="405" spans="8:8" x14ac:dyDescent="0.2">
      <c r="H405" t="s">
        <v>3104</v>
      </c>
    </row>
    <row r="406" spans="8:8" x14ac:dyDescent="0.2">
      <c r="H406" t="s">
        <v>3105</v>
      </c>
    </row>
    <row r="407" spans="8:8" x14ac:dyDescent="0.2">
      <c r="H407" t="s">
        <v>3106</v>
      </c>
    </row>
    <row r="408" spans="8:8" x14ac:dyDescent="0.2">
      <c r="H408" t="s">
        <v>3107</v>
      </c>
    </row>
    <row r="409" spans="8:8" x14ac:dyDescent="0.2">
      <c r="H409" t="s">
        <v>3108</v>
      </c>
    </row>
    <row r="410" spans="8:8" x14ac:dyDescent="0.2">
      <c r="H410" t="s">
        <v>3109</v>
      </c>
    </row>
    <row r="411" spans="8:8" x14ac:dyDescent="0.2">
      <c r="H411" t="s">
        <v>3110</v>
      </c>
    </row>
    <row r="412" spans="8:8" x14ac:dyDescent="0.2">
      <c r="H412" t="s">
        <v>3111</v>
      </c>
    </row>
    <row r="413" spans="8:8" x14ac:dyDescent="0.2">
      <c r="H413" t="s">
        <v>3112</v>
      </c>
    </row>
    <row r="414" spans="8:8" x14ac:dyDescent="0.2">
      <c r="H414" t="s">
        <v>3113</v>
      </c>
    </row>
    <row r="415" spans="8:8" x14ac:dyDescent="0.2">
      <c r="H415" t="s">
        <v>3114</v>
      </c>
    </row>
    <row r="416" spans="8:8" x14ac:dyDescent="0.2">
      <c r="H416" t="s">
        <v>3115</v>
      </c>
    </row>
    <row r="417" spans="8:8" x14ac:dyDescent="0.2">
      <c r="H417" t="s">
        <v>3116</v>
      </c>
    </row>
    <row r="418" spans="8:8" x14ac:dyDescent="0.2">
      <c r="H418" t="s">
        <v>3117</v>
      </c>
    </row>
    <row r="419" spans="8:8" x14ac:dyDescent="0.2">
      <c r="H419" t="s">
        <v>3118</v>
      </c>
    </row>
    <row r="420" spans="8:8" x14ac:dyDescent="0.2">
      <c r="H420" t="s">
        <v>3119</v>
      </c>
    </row>
    <row r="421" spans="8:8" x14ac:dyDescent="0.2">
      <c r="H421" t="s">
        <v>3120</v>
      </c>
    </row>
    <row r="422" spans="8:8" x14ac:dyDescent="0.2">
      <c r="H422" t="s">
        <v>3121</v>
      </c>
    </row>
    <row r="423" spans="8:8" x14ac:dyDescent="0.2">
      <c r="H423" t="s">
        <v>3122</v>
      </c>
    </row>
    <row r="424" spans="8:8" x14ac:dyDescent="0.2">
      <c r="H424" t="s">
        <v>1438</v>
      </c>
    </row>
    <row r="425" spans="8:8" x14ac:dyDescent="0.2">
      <c r="H425" t="s">
        <v>3123</v>
      </c>
    </row>
    <row r="426" spans="8:8" x14ac:dyDescent="0.2">
      <c r="H426" t="s">
        <v>1448</v>
      </c>
    </row>
    <row r="427" spans="8:8" x14ac:dyDescent="0.2">
      <c r="H427" t="s">
        <v>3124</v>
      </c>
    </row>
    <row r="428" spans="8:8" x14ac:dyDescent="0.2">
      <c r="H428" t="s">
        <v>3125</v>
      </c>
    </row>
    <row r="429" spans="8:8" x14ac:dyDescent="0.2">
      <c r="H429" t="s">
        <v>3126</v>
      </c>
    </row>
    <row r="430" spans="8:8" x14ac:dyDescent="0.2">
      <c r="H430" t="s">
        <v>3127</v>
      </c>
    </row>
    <row r="431" spans="8:8" x14ac:dyDescent="0.2">
      <c r="H431" t="s">
        <v>3128</v>
      </c>
    </row>
    <row r="432" spans="8:8" x14ac:dyDescent="0.2">
      <c r="H432" t="s">
        <v>3129</v>
      </c>
    </row>
    <row r="433" spans="8:8" x14ac:dyDescent="0.2">
      <c r="H433" t="s">
        <v>3130</v>
      </c>
    </row>
    <row r="434" spans="8:8" x14ac:dyDescent="0.2">
      <c r="H434" t="s">
        <v>3131</v>
      </c>
    </row>
    <row r="435" spans="8:8" x14ac:dyDescent="0.2">
      <c r="H435" t="s">
        <v>3132</v>
      </c>
    </row>
    <row r="436" spans="8:8" x14ac:dyDescent="0.2">
      <c r="H436" t="s">
        <v>3133</v>
      </c>
    </row>
    <row r="437" spans="8:8" x14ac:dyDescent="0.2">
      <c r="H437" t="s">
        <v>3134</v>
      </c>
    </row>
    <row r="438" spans="8:8" x14ac:dyDescent="0.2">
      <c r="H438" t="s">
        <v>3135</v>
      </c>
    </row>
    <row r="439" spans="8:8" x14ac:dyDescent="0.2">
      <c r="H439" t="s">
        <v>3136</v>
      </c>
    </row>
    <row r="440" spans="8:8" x14ac:dyDescent="0.2">
      <c r="H440" t="s">
        <v>3137</v>
      </c>
    </row>
    <row r="441" spans="8:8" x14ac:dyDescent="0.2">
      <c r="H441" t="s">
        <v>3138</v>
      </c>
    </row>
    <row r="442" spans="8:8" x14ac:dyDescent="0.2">
      <c r="H442" t="s">
        <v>3139</v>
      </c>
    </row>
    <row r="443" spans="8:8" x14ac:dyDescent="0.2">
      <c r="H443" t="s">
        <v>3140</v>
      </c>
    </row>
    <row r="444" spans="8:8" x14ac:dyDescent="0.2">
      <c r="H444" t="s">
        <v>3141</v>
      </c>
    </row>
    <row r="445" spans="8:8" x14ac:dyDescent="0.2">
      <c r="H445" t="s">
        <v>3142</v>
      </c>
    </row>
    <row r="446" spans="8:8" x14ac:dyDescent="0.2">
      <c r="H446" t="s">
        <v>3143</v>
      </c>
    </row>
    <row r="447" spans="8:8" x14ac:dyDescent="0.2">
      <c r="H447" t="s">
        <v>3144</v>
      </c>
    </row>
    <row r="448" spans="8:8" x14ac:dyDescent="0.2">
      <c r="H448" t="s">
        <v>3145</v>
      </c>
    </row>
    <row r="449" spans="8:8" x14ac:dyDescent="0.2">
      <c r="H449" t="s">
        <v>3146</v>
      </c>
    </row>
    <row r="450" spans="8:8" x14ac:dyDescent="0.2">
      <c r="H450" t="s">
        <v>3147</v>
      </c>
    </row>
    <row r="451" spans="8:8" x14ac:dyDescent="0.2">
      <c r="H451" t="s">
        <v>3148</v>
      </c>
    </row>
    <row r="452" spans="8:8" x14ac:dyDescent="0.2">
      <c r="H452" t="s">
        <v>3149</v>
      </c>
    </row>
    <row r="453" spans="8:8" x14ac:dyDescent="0.2">
      <c r="H453" t="s">
        <v>3150</v>
      </c>
    </row>
    <row r="454" spans="8:8" x14ac:dyDescent="0.2">
      <c r="H454" t="s">
        <v>3151</v>
      </c>
    </row>
    <row r="455" spans="8:8" x14ac:dyDescent="0.2">
      <c r="H455" t="s">
        <v>3152</v>
      </c>
    </row>
    <row r="456" spans="8:8" x14ac:dyDescent="0.2">
      <c r="H456" t="s">
        <v>3153</v>
      </c>
    </row>
    <row r="457" spans="8:8" x14ac:dyDescent="0.2">
      <c r="H457" t="s">
        <v>3154</v>
      </c>
    </row>
    <row r="458" spans="8:8" x14ac:dyDescent="0.2">
      <c r="H458" t="s">
        <v>3155</v>
      </c>
    </row>
    <row r="459" spans="8:8" x14ac:dyDescent="0.2">
      <c r="H459" t="s">
        <v>3156</v>
      </c>
    </row>
    <row r="460" spans="8:8" x14ac:dyDescent="0.2">
      <c r="H460" t="s">
        <v>3157</v>
      </c>
    </row>
    <row r="461" spans="8:8" x14ac:dyDescent="0.2">
      <c r="H461" t="s">
        <v>3158</v>
      </c>
    </row>
    <row r="462" spans="8:8" x14ac:dyDescent="0.2">
      <c r="H462" t="s">
        <v>3159</v>
      </c>
    </row>
    <row r="463" spans="8:8" x14ac:dyDescent="0.2">
      <c r="H463" t="s">
        <v>3160</v>
      </c>
    </row>
    <row r="464" spans="8:8" x14ac:dyDescent="0.2">
      <c r="H464" t="s">
        <v>3161</v>
      </c>
    </row>
    <row r="465" spans="8:8" x14ac:dyDescent="0.2">
      <c r="H465" t="s">
        <v>3162</v>
      </c>
    </row>
    <row r="466" spans="8:8" x14ac:dyDescent="0.2">
      <c r="H466" t="s">
        <v>3163</v>
      </c>
    </row>
    <row r="467" spans="8:8" x14ac:dyDescent="0.2">
      <c r="H467" t="s">
        <v>3164</v>
      </c>
    </row>
    <row r="468" spans="8:8" x14ac:dyDescent="0.2">
      <c r="H468" t="s">
        <v>3165</v>
      </c>
    </row>
    <row r="469" spans="8:8" x14ac:dyDescent="0.2">
      <c r="H469" t="s">
        <v>3166</v>
      </c>
    </row>
    <row r="470" spans="8:8" x14ac:dyDescent="0.2">
      <c r="H470" t="s">
        <v>3167</v>
      </c>
    </row>
    <row r="471" spans="8:8" x14ac:dyDescent="0.2">
      <c r="H471" t="s">
        <v>3168</v>
      </c>
    </row>
    <row r="472" spans="8:8" x14ac:dyDescent="0.2">
      <c r="H472" t="s">
        <v>3169</v>
      </c>
    </row>
    <row r="473" spans="8:8" x14ac:dyDescent="0.2">
      <c r="H473" t="s">
        <v>3170</v>
      </c>
    </row>
    <row r="474" spans="8:8" x14ac:dyDescent="0.2">
      <c r="H474" t="s">
        <v>3171</v>
      </c>
    </row>
    <row r="475" spans="8:8" x14ac:dyDescent="0.2">
      <c r="H475" t="s">
        <v>3172</v>
      </c>
    </row>
    <row r="476" spans="8:8" x14ac:dyDescent="0.2">
      <c r="H476" t="s">
        <v>3173</v>
      </c>
    </row>
    <row r="477" spans="8:8" x14ac:dyDescent="0.2">
      <c r="H477" t="s">
        <v>3174</v>
      </c>
    </row>
    <row r="478" spans="8:8" x14ac:dyDescent="0.2">
      <c r="H478" t="s">
        <v>3175</v>
      </c>
    </row>
    <row r="479" spans="8:8" x14ac:dyDescent="0.2">
      <c r="H479" t="s">
        <v>3176</v>
      </c>
    </row>
    <row r="480" spans="8:8" x14ac:dyDescent="0.2">
      <c r="H480" t="s">
        <v>3177</v>
      </c>
    </row>
    <row r="481" spans="8:8" x14ac:dyDescent="0.2">
      <c r="H481" t="s">
        <v>3178</v>
      </c>
    </row>
    <row r="482" spans="8:8" x14ac:dyDescent="0.2">
      <c r="H482" t="s">
        <v>3179</v>
      </c>
    </row>
    <row r="483" spans="8:8" x14ac:dyDescent="0.2">
      <c r="H483" t="s">
        <v>3180</v>
      </c>
    </row>
    <row r="484" spans="8:8" x14ac:dyDescent="0.2">
      <c r="H484" t="s">
        <v>3181</v>
      </c>
    </row>
    <row r="485" spans="8:8" x14ac:dyDescent="0.2">
      <c r="H485" t="s">
        <v>3182</v>
      </c>
    </row>
    <row r="486" spans="8:8" x14ac:dyDescent="0.2">
      <c r="H486" t="s">
        <v>3183</v>
      </c>
    </row>
    <row r="487" spans="8:8" x14ac:dyDescent="0.2">
      <c r="H487" t="s">
        <v>3184</v>
      </c>
    </row>
    <row r="488" spans="8:8" x14ac:dyDescent="0.2">
      <c r="H488" t="s">
        <v>3185</v>
      </c>
    </row>
    <row r="489" spans="8:8" x14ac:dyDescent="0.2">
      <c r="H489" t="s">
        <v>3186</v>
      </c>
    </row>
    <row r="490" spans="8:8" x14ac:dyDescent="0.2">
      <c r="H490" t="s">
        <v>3187</v>
      </c>
    </row>
    <row r="491" spans="8:8" x14ac:dyDescent="0.2">
      <c r="H491" t="s">
        <v>3188</v>
      </c>
    </row>
    <row r="492" spans="8:8" x14ac:dyDescent="0.2">
      <c r="H492" t="s">
        <v>3189</v>
      </c>
    </row>
    <row r="493" spans="8:8" x14ac:dyDescent="0.2">
      <c r="H493" t="s">
        <v>3190</v>
      </c>
    </row>
    <row r="494" spans="8:8" x14ac:dyDescent="0.2">
      <c r="H494" t="s">
        <v>3191</v>
      </c>
    </row>
    <row r="495" spans="8:8" x14ac:dyDescent="0.2">
      <c r="H495" t="s">
        <v>3192</v>
      </c>
    </row>
    <row r="496" spans="8:8" x14ac:dyDescent="0.2">
      <c r="H496" t="s">
        <v>3193</v>
      </c>
    </row>
    <row r="497" spans="8:8" x14ac:dyDescent="0.2">
      <c r="H497" t="s">
        <v>3194</v>
      </c>
    </row>
    <row r="498" spans="8:8" x14ac:dyDescent="0.2">
      <c r="H498" t="s">
        <v>3195</v>
      </c>
    </row>
    <row r="499" spans="8:8" x14ac:dyDescent="0.2">
      <c r="H499" t="s">
        <v>3196</v>
      </c>
    </row>
    <row r="500" spans="8:8" x14ac:dyDescent="0.2">
      <c r="H500" t="s">
        <v>3197</v>
      </c>
    </row>
    <row r="501" spans="8:8" x14ac:dyDescent="0.2">
      <c r="H501" t="s">
        <v>3198</v>
      </c>
    </row>
    <row r="502" spans="8:8" x14ac:dyDescent="0.2">
      <c r="H502" t="s">
        <v>3199</v>
      </c>
    </row>
    <row r="503" spans="8:8" x14ac:dyDescent="0.2">
      <c r="H503" t="s">
        <v>3200</v>
      </c>
    </row>
    <row r="504" spans="8:8" x14ac:dyDescent="0.2">
      <c r="H504" t="s">
        <v>3201</v>
      </c>
    </row>
    <row r="505" spans="8:8" x14ac:dyDescent="0.2">
      <c r="H505" t="s">
        <v>3202</v>
      </c>
    </row>
    <row r="506" spans="8:8" x14ac:dyDescent="0.2">
      <c r="H506" t="s">
        <v>3203</v>
      </c>
    </row>
    <row r="507" spans="8:8" x14ac:dyDescent="0.2">
      <c r="H507" t="s">
        <v>3204</v>
      </c>
    </row>
    <row r="508" spans="8:8" x14ac:dyDescent="0.2">
      <c r="H508" t="s">
        <v>3205</v>
      </c>
    </row>
    <row r="509" spans="8:8" x14ac:dyDescent="0.2">
      <c r="H509" t="s">
        <v>3206</v>
      </c>
    </row>
    <row r="510" spans="8:8" x14ac:dyDescent="0.2">
      <c r="H510" t="s">
        <v>3207</v>
      </c>
    </row>
    <row r="511" spans="8:8" x14ac:dyDescent="0.2">
      <c r="H511" t="s">
        <v>3208</v>
      </c>
    </row>
    <row r="512" spans="8:8" x14ac:dyDescent="0.2">
      <c r="H512" t="s">
        <v>3209</v>
      </c>
    </row>
    <row r="513" spans="8:8" x14ac:dyDescent="0.2">
      <c r="H513" t="s">
        <v>3210</v>
      </c>
    </row>
    <row r="514" spans="8:8" x14ac:dyDescent="0.2">
      <c r="H514" t="s">
        <v>3211</v>
      </c>
    </row>
    <row r="515" spans="8:8" x14ac:dyDescent="0.2">
      <c r="H515" t="s">
        <v>3212</v>
      </c>
    </row>
    <row r="516" spans="8:8" x14ac:dyDescent="0.2">
      <c r="H516" t="s">
        <v>3213</v>
      </c>
    </row>
    <row r="517" spans="8:8" x14ac:dyDescent="0.2">
      <c r="H517" t="s">
        <v>3214</v>
      </c>
    </row>
    <row r="518" spans="8:8" x14ac:dyDescent="0.2">
      <c r="H518" t="s">
        <v>3215</v>
      </c>
    </row>
    <row r="519" spans="8:8" x14ac:dyDescent="0.2">
      <c r="H519" t="s">
        <v>3216</v>
      </c>
    </row>
    <row r="520" spans="8:8" x14ac:dyDescent="0.2">
      <c r="H520" t="s">
        <v>3217</v>
      </c>
    </row>
    <row r="521" spans="8:8" x14ac:dyDescent="0.2">
      <c r="H521" t="s">
        <v>3218</v>
      </c>
    </row>
    <row r="522" spans="8:8" x14ac:dyDescent="0.2">
      <c r="H522" t="s">
        <v>3219</v>
      </c>
    </row>
    <row r="523" spans="8:8" x14ac:dyDescent="0.2">
      <c r="H523" t="s">
        <v>3220</v>
      </c>
    </row>
    <row r="524" spans="8:8" x14ac:dyDescent="0.2">
      <c r="H524" t="s">
        <v>3221</v>
      </c>
    </row>
    <row r="525" spans="8:8" x14ac:dyDescent="0.2">
      <c r="H525" t="s">
        <v>3222</v>
      </c>
    </row>
    <row r="526" spans="8:8" x14ac:dyDescent="0.2">
      <c r="H526" t="s">
        <v>3223</v>
      </c>
    </row>
    <row r="527" spans="8:8" x14ac:dyDescent="0.2">
      <c r="H527" t="s">
        <v>3224</v>
      </c>
    </row>
    <row r="528" spans="8:8" x14ac:dyDescent="0.2">
      <c r="H528" t="s">
        <v>3225</v>
      </c>
    </row>
    <row r="529" spans="8:8" x14ac:dyDescent="0.2">
      <c r="H529" t="s">
        <v>1357</v>
      </c>
    </row>
    <row r="530" spans="8:8" x14ac:dyDescent="0.2">
      <c r="H530" t="s">
        <v>3226</v>
      </c>
    </row>
    <row r="531" spans="8:8" x14ac:dyDescent="0.2">
      <c r="H531" t="s">
        <v>1305</v>
      </c>
    </row>
    <row r="532" spans="8:8" x14ac:dyDescent="0.2">
      <c r="H532" t="s">
        <v>3227</v>
      </c>
    </row>
    <row r="533" spans="8:8" x14ac:dyDescent="0.2">
      <c r="H533" t="s">
        <v>3228</v>
      </c>
    </row>
    <row r="534" spans="8:8" x14ac:dyDescent="0.2">
      <c r="H534" t="s">
        <v>3229</v>
      </c>
    </row>
    <row r="535" spans="8:8" x14ac:dyDescent="0.2">
      <c r="H535" t="s">
        <v>1367</v>
      </c>
    </row>
    <row r="536" spans="8:8" x14ac:dyDescent="0.2">
      <c r="H536" t="s">
        <v>3230</v>
      </c>
    </row>
    <row r="537" spans="8:8" x14ac:dyDescent="0.2">
      <c r="H537" t="s">
        <v>3231</v>
      </c>
    </row>
    <row r="538" spans="8:8" x14ac:dyDescent="0.2">
      <c r="H538" t="s">
        <v>3232</v>
      </c>
    </row>
    <row r="539" spans="8:8" x14ac:dyDescent="0.2">
      <c r="H539" t="s">
        <v>1336</v>
      </c>
    </row>
    <row r="540" spans="8:8" x14ac:dyDescent="0.2">
      <c r="H540" t="s">
        <v>3233</v>
      </c>
    </row>
    <row r="541" spans="8:8" x14ac:dyDescent="0.2">
      <c r="H541" t="s">
        <v>3234</v>
      </c>
    </row>
    <row r="542" spans="8:8" x14ac:dyDescent="0.2">
      <c r="H542" t="s">
        <v>3235</v>
      </c>
    </row>
    <row r="543" spans="8:8" x14ac:dyDescent="0.2">
      <c r="H543" t="s">
        <v>1341</v>
      </c>
    </row>
    <row r="544" spans="8:8" x14ac:dyDescent="0.2">
      <c r="H544" t="s">
        <v>3236</v>
      </c>
    </row>
    <row r="545" spans="8:8" x14ac:dyDescent="0.2">
      <c r="H545" t="s">
        <v>3237</v>
      </c>
    </row>
    <row r="546" spans="8:8" x14ac:dyDescent="0.2">
      <c r="H546" t="s">
        <v>3238</v>
      </c>
    </row>
    <row r="547" spans="8:8" x14ac:dyDescent="0.2">
      <c r="H547" t="s">
        <v>1363</v>
      </c>
    </row>
    <row r="548" spans="8:8" x14ac:dyDescent="0.2">
      <c r="H548" t="s">
        <v>3239</v>
      </c>
    </row>
    <row r="549" spans="8:8" x14ac:dyDescent="0.2">
      <c r="H549" t="s">
        <v>3240</v>
      </c>
    </row>
    <row r="550" spans="8:8" x14ac:dyDescent="0.2">
      <c r="H550" t="s">
        <v>3241</v>
      </c>
    </row>
    <row r="551" spans="8:8" x14ac:dyDescent="0.2">
      <c r="H551" t="s">
        <v>3242</v>
      </c>
    </row>
    <row r="552" spans="8:8" x14ac:dyDescent="0.2">
      <c r="H552" t="s">
        <v>3243</v>
      </c>
    </row>
    <row r="553" spans="8:8" x14ac:dyDescent="0.2">
      <c r="H553" t="s">
        <v>3244</v>
      </c>
    </row>
    <row r="554" spans="8:8" x14ac:dyDescent="0.2">
      <c r="H554" t="s">
        <v>3245</v>
      </c>
    </row>
    <row r="555" spans="8:8" x14ac:dyDescent="0.2">
      <c r="H555" t="s">
        <v>3246</v>
      </c>
    </row>
    <row r="556" spans="8:8" x14ac:dyDescent="0.2">
      <c r="H556" t="s">
        <v>3247</v>
      </c>
    </row>
    <row r="557" spans="8:8" x14ac:dyDescent="0.2">
      <c r="H557" t="s">
        <v>3248</v>
      </c>
    </row>
    <row r="558" spans="8:8" x14ac:dyDescent="0.2">
      <c r="H558" t="s">
        <v>3249</v>
      </c>
    </row>
    <row r="559" spans="8:8" x14ac:dyDescent="0.2">
      <c r="H559" t="s">
        <v>3250</v>
      </c>
    </row>
    <row r="560" spans="8:8" x14ac:dyDescent="0.2">
      <c r="H560" t="s">
        <v>3251</v>
      </c>
    </row>
    <row r="561" spans="8:8" x14ac:dyDescent="0.2">
      <c r="H561" t="s">
        <v>3252</v>
      </c>
    </row>
    <row r="562" spans="8:8" x14ac:dyDescent="0.2">
      <c r="H562" t="s">
        <v>3253</v>
      </c>
    </row>
    <row r="563" spans="8:8" x14ac:dyDescent="0.2">
      <c r="H563" t="s">
        <v>3254</v>
      </c>
    </row>
    <row r="564" spans="8:8" x14ac:dyDescent="0.2">
      <c r="H564" t="s">
        <v>3255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258"/>
  <sheetViews>
    <sheetView workbookViewId="0"/>
  </sheetViews>
  <sheetFormatPr baseColWidth="10" defaultColWidth="8.83203125" defaultRowHeight="15" x14ac:dyDescent="0.2"/>
  <sheetData>
    <row r="1" spans="1:3" x14ac:dyDescent="0.2">
      <c r="A1" t="s">
        <v>45</v>
      </c>
      <c r="B1" t="s">
        <v>46</v>
      </c>
      <c r="C1" t="s">
        <v>47</v>
      </c>
    </row>
    <row r="2" spans="1:3" x14ac:dyDescent="0.2">
      <c r="A2" t="s">
        <v>1585</v>
      </c>
      <c r="B2" t="s">
        <v>3256</v>
      </c>
      <c r="C2" t="s">
        <v>3257</v>
      </c>
    </row>
    <row r="3" spans="1:3" x14ac:dyDescent="0.2">
      <c r="A3" t="s">
        <v>1755</v>
      </c>
      <c r="B3" t="s">
        <v>3258</v>
      </c>
      <c r="C3" t="s">
        <v>3259</v>
      </c>
    </row>
    <row r="4" spans="1:3" x14ac:dyDescent="0.2">
      <c r="A4" t="s">
        <v>1799</v>
      </c>
      <c r="B4" t="s">
        <v>3260</v>
      </c>
      <c r="C4" t="s">
        <v>3261</v>
      </c>
    </row>
    <row r="5" spans="1:3" x14ac:dyDescent="0.2">
      <c r="A5" t="s">
        <v>1863</v>
      </c>
      <c r="B5" t="s">
        <v>3262</v>
      </c>
      <c r="C5" t="s">
        <v>3263</v>
      </c>
    </row>
    <row r="6" spans="1:3" x14ac:dyDescent="0.2">
      <c r="A6" t="s">
        <v>1893</v>
      </c>
      <c r="B6" t="s">
        <v>3264</v>
      </c>
      <c r="C6" t="s">
        <v>3265</v>
      </c>
    </row>
    <row r="7" spans="1:3" x14ac:dyDescent="0.2">
      <c r="A7" t="s">
        <v>2062</v>
      </c>
      <c r="B7" t="s">
        <v>1721</v>
      </c>
      <c r="C7" t="s">
        <v>2300</v>
      </c>
    </row>
    <row r="8" spans="1:3" x14ac:dyDescent="0.2">
      <c r="A8" t="s">
        <v>2160</v>
      </c>
      <c r="B8" t="s">
        <v>3266</v>
      </c>
      <c r="C8" t="s">
        <v>3267</v>
      </c>
    </row>
    <row r="9" spans="1:3" x14ac:dyDescent="0.2">
      <c r="A9" t="s">
        <v>2213</v>
      </c>
      <c r="B9" t="s">
        <v>3268</v>
      </c>
      <c r="C9" t="s">
        <v>3269</v>
      </c>
    </row>
    <row r="10" spans="1:3" x14ac:dyDescent="0.2">
      <c r="A10" t="s">
        <v>2378</v>
      </c>
      <c r="B10" t="s">
        <v>3270</v>
      </c>
      <c r="C10" t="s">
        <v>3271</v>
      </c>
    </row>
    <row r="11" spans="1:3" x14ac:dyDescent="0.2">
      <c r="A11" t="s">
        <v>2414</v>
      </c>
      <c r="B11" t="s">
        <v>3272</v>
      </c>
      <c r="C11" t="s">
        <v>3273</v>
      </c>
    </row>
    <row r="12" spans="1:3" x14ac:dyDescent="0.2">
      <c r="A12" t="s">
        <v>159</v>
      </c>
      <c r="B12" t="s">
        <v>2044</v>
      </c>
      <c r="C12" t="s">
        <v>2296</v>
      </c>
    </row>
    <row r="13" spans="1:3" x14ac:dyDescent="0.2">
      <c r="A13" t="s">
        <v>179</v>
      </c>
      <c r="B13" t="s">
        <v>3274</v>
      </c>
      <c r="C13" t="s">
        <v>3275</v>
      </c>
    </row>
    <row r="14" spans="1:3" x14ac:dyDescent="0.2">
      <c r="A14" t="s">
        <v>259</v>
      </c>
      <c r="B14" t="s">
        <v>1853</v>
      </c>
      <c r="C14" t="s">
        <v>2260</v>
      </c>
    </row>
    <row r="15" spans="1:3" x14ac:dyDescent="0.2">
      <c r="A15" t="s">
        <v>2609</v>
      </c>
      <c r="B15" t="s">
        <v>3276</v>
      </c>
      <c r="C15" t="s">
        <v>3277</v>
      </c>
    </row>
    <row r="16" spans="1:3" x14ac:dyDescent="0.2">
      <c r="A16" t="s">
        <v>2731</v>
      </c>
      <c r="B16" t="s">
        <v>3278</v>
      </c>
      <c r="C16" t="s">
        <v>3279</v>
      </c>
    </row>
    <row r="17" spans="1:3" x14ac:dyDescent="0.2">
      <c r="A17" t="s">
        <v>204</v>
      </c>
      <c r="B17" t="s">
        <v>1562</v>
      </c>
      <c r="C17" t="s">
        <v>3280</v>
      </c>
    </row>
    <row r="18" spans="1:3" x14ac:dyDescent="0.2">
      <c r="A18" t="s">
        <v>2806</v>
      </c>
      <c r="B18" t="s">
        <v>3281</v>
      </c>
      <c r="C18" t="s">
        <v>3282</v>
      </c>
    </row>
    <row r="19" spans="1:3" x14ac:dyDescent="0.2">
      <c r="A19" t="s">
        <v>166</v>
      </c>
      <c r="B19" t="s">
        <v>3283</v>
      </c>
      <c r="C19" t="s">
        <v>3284</v>
      </c>
    </row>
    <row r="20" spans="1:3" x14ac:dyDescent="0.2">
      <c r="A20" t="s">
        <v>2864</v>
      </c>
      <c r="B20" t="s">
        <v>3285</v>
      </c>
      <c r="C20" t="s">
        <v>3286</v>
      </c>
    </row>
    <row r="21" spans="1:3" x14ac:dyDescent="0.2">
      <c r="A21" t="s">
        <v>1676</v>
      </c>
      <c r="B21" t="s">
        <v>3287</v>
      </c>
      <c r="C21" t="s">
        <v>3288</v>
      </c>
    </row>
    <row r="22" spans="1:3" x14ac:dyDescent="0.2">
      <c r="A22" t="s">
        <v>1931</v>
      </c>
      <c r="B22" t="s">
        <v>3289</v>
      </c>
      <c r="C22" t="s">
        <v>3290</v>
      </c>
    </row>
    <row r="23" spans="1:3" x14ac:dyDescent="0.2">
      <c r="A23" t="s">
        <v>2183</v>
      </c>
      <c r="B23" t="s">
        <v>3291</v>
      </c>
      <c r="C23" t="s">
        <v>3292</v>
      </c>
    </row>
    <row r="24" spans="1:3" x14ac:dyDescent="0.2">
      <c r="A24" t="s">
        <v>2233</v>
      </c>
      <c r="B24" t="s">
        <v>3293</v>
      </c>
      <c r="C24" t="s">
        <v>3294</v>
      </c>
    </row>
    <row r="25" spans="1:3" x14ac:dyDescent="0.2">
      <c r="A25" t="s">
        <v>2299</v>
      </c>
      <c r="B25" t="s">
        <v>3295</v>
      </c>
      <c r="C25" t="s">
        <v>3296</v>
      </c>
    </row>
    <row r="26" spans="1:3" x14ac:dyDescent="0.2">
      <c r="A26" t="s">
        <v>2340</v>
      </c>
      <c r="B26" t="s">
        <v>3297</v>
      </c>
      <c r="C26" t="s">
        <v>3298</v>
      </c>
    </row>
    <row r="27" spans="1:3" x14ac:dyDescent="0.2">
      <c r="A27" t="s">
        <v>334</v>
      </c>
      <c r="B27" t="s">
        <v>1978</v>
      </c>
      <c r="C27" t="s">
        <v>2252</v>
      </c>
    </row>
    <row r="28" spans="1:3" x14ac:dyDescent="0.2">
      <c r="A28" t="s">
        <v>2395</v>
      </c>
      <c r="B28" t="s">
        <v>3299</v>
      </c>
      <c r="C28" t="s">
        <v>3300</v>
      </c>
    </row>
    <row r="29" spans="1:3" x14ac:dyDescent="0.2">
      <c r="A29" t="s">
        <v>2431</v>
      </c>
      <c r="B29" t="s">
        <v>3301</v>
      </c>
      <c r="C29" t="s">
        <v>3302</v>
      </c>
    </row>
    <row r="30" spans="1:3" x14ac:dyDescent="0.2">
      <c r="A30" t="s">
        <v>2477</v>
      </c>
      <c r="B30" t="s">
        <v>3303</v>
      </c>
      <c r="C30" t="s">
        <v>3304</v>
      </c>
    </row>
    <row r="31" spans="1:3" x14ac:dyDescent="0.2">
      <c r="A31" t="s">
        <v>341</v>
      </c>
      <c r="B31" t="s">
        <v>1664</v>
      </c>
      <c r="C31" t="s">
        <v>2116</v>
      </c>
    </row>
    <row r="32" spans="1:3" x14ac:dyDescent="0.2">
      <c r="A32" t="s">
        <v>462</v>
      </c>
      <c r="B32" t="s">
        <v>3305</v>
      </c>
      <c r="C32" t="s">
        <v>3306</v>
      </c>
    </row>
    <row r="33" spans="1:3" x14ac:dyDescent="0.2">
      <c r="A33" t="s">
        <v>2631</v>
      </c>
      <c r="B33" t="s">
        <v>3307</v>
      </c>
      <c r="C33" t="s">
        <v>3308</v>
      </c>
    </row>
    <row r="34" spans="1:3" x14ac:dyDescent="0.2">
      <c r="A34" t="s">
        <v>2659</v>
      </c>
      <c r="B34" t="s">
        <v>3309</v>
      </c>
      <c r="C34" t="s">
        <v>3310</v>
      </c>
    </row>
    <row r="35" spans="1:3" x14ac:dyDescent="0.2">
      <c r="A35" t="s">
        <v>2772</v>
      </c>
      <c r="B35" t="s">
        <v>2228</v>
      </c>
      <c r="C35" t="s">
        <v>2191</v>
      </c>
    </row>
    <row r="36" spans="1:3" x14ac:dyDescent="0.2">
      <c r="A36" t="s">
        <v>2778</v>
      </c>
      <c r="B36" t="s">
        <v>3311</v>
      </c>
      <c r="C36" t="s">
        <v>3312</v>
      </c>
    </row>
    <row r="37" spans="1:3" x14ac:dyDescent="0.2">
      <c r="A37" t="s">
        <v>2784</v>
      </c>
      <c r="B37" t="s">
        <v>3313</v>
      </c>
      <c r="C37" t="s">
        <v>3314</v>
      </c>
    </row>
    <row r="38" spans="1:3" x14ac:dyDescent="0.2">
      <c r="A38" t="s">
        <v>2823</v>
      </c>
      <c r="B38" t="s">
        <v>3315</v>
      </c>
      <c r="C38" t="s">
        <v>3316</v>
      </c>
    </row>
    <row r="39" spans="1:3" x14ac:dyDescent="0.2">
      <c r="A39" t="s">
        <v>379</v>
      </c>
      <c r="B39" t="s">
        <v>2317</v>
      </c>
      <c r="C39" t="s">
        <v>2107</v>
      </c>
    </row>
    <row r="40" spans="1:3" x14ac:dyDescent="0.2">
      <c r="A40" t="s">
        <v>2355</v>
      </c>
      <c r="B40" t="s">
        <v>3317</v>
      </c>
      <c r="C40" t="s">
        <v>3318</v>
      </c>
    </row>
    <row r="41" spans="1:3" x14ac:dyDescent="0.2">
      <c r="A41" t="s">
        <v>2738</v>
      </c>
      <c r="B41" t="s">
        <v>3319</v>
      </c>
      <c r="C41" t="s">
        <v>3320</v>
      </c>
    </row>
    <row r="42" spans="1:3" x14ac:dyDescent="0.2">
      <c r="A42" t="s">
        <v>2386</v>
      </c>
      <c r="B42" t="s">
        <v>3321</v>
      </c>
      <c r="C42" t="s">
        <v>3322</v>
      </c>
    </row>
    <row r="43" spans="1:3" x14ac:dyDescent="0.2">
      <c r="A43" t="s">
        <v>2606</v>
      </c>
      <c r="B43" t="s">
        <v>3323</v>
      </c>
      <c r="C43" t="s">
        <v>3324</v>
      </c>
    </row>
    <row r="44" spans="1:3" x14ac:dyDescent="0.2">
      <c r="A44" t="s">
        <v>2628</v>
      </c>
      <c r="B44" t="s">
        <v>3325</v>
      </c>
      <c r="C44" t="s">
        <v>3326</v>
      </c>
    </row>
    <row r="45" spans="1:3" x14ac:dyDescent="0.2">
      <c r="A45" t="s">
        <v>2705</v>
      </c>
      <c r="B45" t="s">
        <v>3327</v>
      </c>
      <c r="C45" t="s">
        <v>3328</v>
      </c>
    </row>
    <row r="46" spans="1:3" x14ac:dyDescent="0.2">
      <c r="A46" t="s">
        <v>2708</v>
      </c>
      <c r="B46" t="s">
        <v>3329</v>
      </c>
      <c r="C46" t="s">
        <v>3330</v>
      </c>
    </row>
    <row r="47" spans="1:3" x14ac:dyDescent="0.2">
      <c r="A47" t="s">
        <v>2842</v>
      </c>
      <c r="B47" t="s">
        <v>3331</v>
      </c>
      <c r="C47" t="s">
        <v>3332</v>
      </c>
    </row>
    <row r="48" spans="1:3" x14ac:dyDescent="0.2">
      <c r="A48" t="s">
        <v>2882</v>
      </c>
      <c r="B48" t="s">
        <v>3333</v>
      </c>
      <c r="C48" t="s">
        <v>3334</v>
      </c>
    </row>
    <row r="49" spans="1:3" x14ac:dyDescent="0.2">
      <c r="A49" t="s">
        <v>1610</v>
      </c>
      <c r="B49" t="s">
        <v>3335</v>
      </c>
      <c r="C49" t="s">
        <v>3336</v>
      </c>
    </row>
    <row r="50" spans="1:3" x14ac:dyDescent="0.2">
      <c r="A50" t="s">
        <v>1542</v>
      </c>
      <c r="B50" t="s">
        <v>1640</v>
      </c>
      <c r="C50" t="s">
        <v>2364</v>
      </c>
    </row>
    <row r="51" spans="1:3" x14ac:dyDescent="0.2">
      <c r="A51" t="s">
        <v>1813</v>
      </c>
      <c r="B51" t="s">
        <v>3337</v>
      </c>
      <c r="C51" t="s">
        <v>3338</v>
      </c>
    </row>
    <row r="52" spans="1:3" x14ac:dyDescent="0.2">
      <c r="A52" t="s">
        <v>1998</v>
      </c>
      <c r="B52" t="s">
        <v>3339</v>
      </c>
      <c r="C52" t="s">
        <v>3340</v>
      </c>
    </row>
    <row r="53" spans="1:3" x14ac:dyDescent="0.2">
      <c r="A53" t="s">
        <v>836</v>
      </c>
      <c r="B53" t="s">
        <v>1517</v>
      </c>
      <c r="C53" t="s">
        <v>1518</v>
      </c>
    </row>
    <row r="54" spans="1:3" x14ac:dyDescent="0.2">
      <c r="A54" t="s">
        <v>839</v>
      </c>
      <c r="B54" t="s">
        <v>1955</v>
      </c>
      <c r="C54" t="s">
        <v>2186</v>
      </c>
    </row>
    <row r="55" spans="1:3" x14ac:dyDescent="0.2">
      <c r="A55" t="s">
        <v>2362</v>
      </c>
      <c r="B55" t="s">
        <v>3341</v>
      </c>
      <c r="C55" t="s">
        <v>3342</v>
      </c>
    </row>
    <row r="56" spans="1:3" x14ac:dyDescent="0.2">
      <c r="A56" t="s">
        <v>2372</v>
      </c>
      <c r="B56" t="s">
        <v>3343</v>
      </c>
      <c r="C56" t="s">
        <v>3344</v>
      </c>
    </row>
    <row r="57" spans="1:3" x14ac:dyDescent="0.2">
      <c r="A57" t="s">
        <v>2406</v>
      </c>
      <c r="B57" t="s">
        <v>1988</v>
      </c>
      <c r="C57" t="s">
        <v>2035</v>
      </c>
    </row>
    <row r="58" spans="1:3" x14ac:dyDescent="0.2">
      <c r="A58" t="s">
        <v>2410</v>
      </c>
      <c r="B58" t="s">
        <v>3345</v>
      </c>
      <c r="C58" t="s">
        <v>3346</v>
      </c>
    </row>
    <row r="59" spans="1:3" x14ac:dyDescent="0.2">
      <c r="A59" t="s">
        <v>2463</v>
      </c>
      <c r="B59" t="s">
        <v>3347</v>
      </c>
      <c r="C59" t="s">
        <v>3348</v>
      </c>
    </row>
    <row r="60" spans="1:3" x14ac:dyDescent="0.2">
      <c r="A60" t="s">
        <v>2487</v>
      </c>
      <c r="B60" t="s">
        <v>3349</v>
      </c>
      <c r="C60" t="s">
        <v>3350</v>
      </c>
    </row>
    <row r="61" spans="1:3" x14ac:dyDescent="0.2">
      <c r="A61" t="s">
        <v>771</v>
      </c>
      <c r="B61" t="s">
        <v>2055</v>
      </c>
      <c r="C61" t="s">
        <v>2276</v>
      </c>
    </row>
    <row r="62" spans="1:3" x14ac:dyDescent="0.2">
      <c r="A62" t="s">
        <v>2535</v>
      </c>
      <c r="B62" t="s">
        <v>1702</v>
      </c>
      <c r="C62" t="s">
        <v>1619</v>
      </c>
    </row>
    <row r="63" spans="1:3" x14ac:dyDescent="0.2">
      <c r="A63" t="s">
        <v>769</v>
      </c>
      <c r="B63" t="s">
        <v>2124</v>
      </c>
      <c r="C63" t="s">
        <v>2209</v>
      </c>
    </row>
    <row r="64" spans="1:3" x14ac:dyDescent="0.2">
      <c r="A64" t="s">
        <v>2570</v>
      </c>
      <c r="B64" t="s">
        <v>3351</v>
      </c>
      <c r="C64" t="s">
        <v>3352</v>
      </c>
    </row>
    <row r="65" spans="1:3" x14ac:dyDescent="0.2">
      <c r="A65" t="s">
        <v>2583</v>
      </c>
      <c r="B65" t="s">
        <v>3353</v>
      </c>
      <c r="C65" t="s">
        <v>3354</v>
      </c>
    </row>
    <row r="66" spans="1:3" x14ac:dyDescent="0.2">
      <c r="A66" t="s">
        <v>2589</v>
      </c>
      <c r="B66" t="s">
        <v>3355</v>
      </c>
      <c r="C66" t="s">
        <v>3356</v>
      </c>
    </row>
    <row r="67" spans="1:3" x14ac:dyDescent="0.2">
      <c r="A67" t="s">
        <v>2603</v>
      </c>
      <c r="B67" t="s">
        <v>3357</v>
      </c>
      <c r="C67" t="s">
        <v>3358</v>
      </c>
    </row>
    <row r="68" spans="1:3" x14ac:dyDescent="0.2">
      <c r="A68" t="s">
        <v>2661</v>
      </c>
      <c r="B68" t="s">
        <v>3359</v>
      </c>
      <c r="C68" t="s">
        <v>3360</v>
      </c>
    </row>
    <row r="69" spans="1:3" x14ac:dyDescent="0.2">
      <c r="A69" t="s">
        <v>2672</v>
      </c>
      <c r="B69" t="s">
        <v>2154</v>
      </c>
      <c r="C69" t="s">
        <v>2197</v>
      </c>
    </row>
    <row r="70" spans="1:3" x14ac:dyDescent="0.2">
      <c r="A70" t="s">
        <v>2675</v>
      </c>
      <c r="B70" t="s">
        <v>3361</v>
      </c>
      <c r="C70" t="s">
        <v>3362</v>
      </c>
    </row>
    <row r="71" spans="1:3" x14ac:dyDescent="0.2">
      <c r="A71" t="s">
        <v>2677</v>
      </c>
      <c r="B71" t="s">
        <v>3363</v>
      </c>
      <c r="C71" t="s">
        <v>3364</v>
      </c>
    </row>
    <row r="72" spans="1:3" x14ac:dyDescent="0.2">
      <c r="A72" t="s">
        <v>2699</v>
      </c>
      <c r="B72" t="s">
        <v>3365</v>
      </c>
      <c r="C72" t="s">
        <v>3366</v>
      </c>
    </row>
    <row r="73" spans="1:3" x14ac:dyDescent="0.2">
      <c r="A73" t="s">
        <v>2726</v>
      </c>
      <c r="B73" t="s">
        <v>3367</v>
      </c>
      <c r="C73" t="s">
        <v>3368</v>
      </c>
    </row>
    <row r="74" spans="1:3" x14ac:dyDescent="0.2">
      <c r="A74" t="s">
        <v>2750</v>
      </c>
      <c r="B74" t="s">
        <v>3369</v>
      </c>
      <c r="C74" t="s">
        <v>3370</v>
      </c>
    </row>
    <row r="75" spans="1:3" x14ac:dyDescent="0.2">
      <c r="A75" t="s">
        <v>2781</v>
      </c>
      <c r="B75" t="s">
        <v>3371</v>
      </c>
      <c r="C75" t="s">
        <v>3372</v>
      </c>
    </row>
    <row r="76" spans="1:3" x14ac:dyDescent="0.2">
      <c r="A76" t="s">
        <v>2789</v>
      </c>
      <c r="C76" t="s">
        <v>3373</v>
      </c>
    </row>
    <row r="77" spans="1:3" x14ac:dyDescent="0.2">
      <c r="A77" t="s">
        <v>823</v>
      </c>
      <c r="B77" t="s">
        <v>2234</v>
      </c>
      <c r="C77" t="s">
        <v>1989</v>
      </c>
    </row>
    <row r="78" spans="1:3" x14ac:dyDescent="0.2">
      <c r="A78" t="s">
        <v>612</v>
      </c>
      <c r="B78" t="s">
        <v>1524</v>
      </c>
      <c r="C78" t="s">
        <v>1525</v>
      </c>
    </row>
    <row r="79" spans="1:3" x14ac:dyDescent="0.2">
      <c r="A79" t="s">
        <v>1825</v>
      </c>
      <c r="B79" t="s">
        <v>3374</v>
      </c>
      <c r="C79" t="s">
        <v>3375</v>
      </c>
    </row>
    <row r="80" spans="1:3" x14ac:dyDescent="0.2">
      <c r="A80" t="s">
        <v>1837</v>
      </c>
      <c r="B80" t="s">
        <v>3376</v>
      </c>
      <c r="C80" t="s">
        <v>3377</v>
      </c>
    </row>
    <row r="81" spans="1:3" x14ac:dyDescent="0.2">
      <c r="A81" t="s">
        <v>894</v>
      </c>
      <c r="B81" t="s">
        <v>3378</v>
      </c>
      <c r="C81" t="s">
        <v>3379</v>
      </c>
    </row>
    <row r="82" spans="1:3" x14ac:dyDescent="0.2">
      <c r="A82" t="s">
        <v>1942</v>
      </c>
      <c r="B82" t="s">
        <v>3380</v>
      </c>
      <c r="C82" t="s">
        <v>3381</v>
      </c>
    </row>
    <row r="83" spans="1:3" x14ac:dyDescent="0.2">
      <c r="A83" t="s">
        <v>1953</v>
      </c>
      <c r="C83" t="s">
        <v>3382</v>
      </c>
    </row>
    <row r="84" spans="1:3" x14ac:dyDescent="0.2">
      <c r="A84" t="s">
        <v>2024</v>
      </c>
      <c r="B84" t="s">
        <v>3383</v>
      </c>
      <c r="C84" t="s">
        <v>3384</v>
      </c>
    </row>
    <row r="85" spans="1:3" x14ac:dyDescent="0.2">
      <c r="A85" t="s">
        <v>2033</v>
      </c>
      <c r="B85" t="s">
        <v>3385</v>
      </c>
      <c r="C85" t="s">
        <v>3386</v>
      </c>
    </row>
    <row r="86" spans="1:3" x14ac:dyDescent="0.2">
      <c r="A86" t="s">
        <v>2281</v>
      </c>
      <c r="B86" t="s">
        <v>3387</v>
      </c>
      <c r="C86" t="s">
        <v>3388</v>
      </c>
    </row>
    <row r="87" spans="1:3" x14ac:dyDescent="0.2">
      <c r="A87" t="s">
        <v>2333</v>
      </c>
      <c r="B87" t="s">
        <v>3389</v>
      </c>
      <c r="C87" t="s">
        <v>3390</v>
      </c>
    </row>
    <row r="88" spans="1:3" x14ac:dyDescent="0.2">
      <c r="A88" t="s">
        <v>2418</v>
      </c>
      <c r="B88" t="s">
        <v>3391</v>
      </c>
      <c r="C88" t="s">
        <v>3392</v>
      </c>
    </row>
    <row r="89" spans="1:3" x14ac:dyDescent="0.2">
      <c r="A89" t="s">
        <v>679</v>
      </c>
      <c r="B89" t="s">
        <v>2034</v>
      </c>
      <c r="C89" t="s">
        <v>2324</v>
      </c>
    </row>
    <row r="90" spans="1:3" x14ac:dyDescent="0.2">
      <c r="A90" t="s">
        <v>2440</v>
      </c>
      <c r="B90" t="s">
        <v>3393</v>
      </c>
      <c r="C90" t="s">
        <v>3394</v>
      </c>
    </row>
    <row r="91" spans="1:3" x14ac:dyDescent="0.2">
      <c r="A91" t="s">
        <v>1057</v>
      </c>
      <c r="B91" t="s">
        <v>2221</v>
      </c>
      <c r="C91" t="s">
        <v>1969</v>
      </c>
    </row>
    <row r="92" spans="1:3" x14ac:dyDescent="0.2">
      <c r="A92" t="s">
        <v>2456</v>
      </c>
      <c r="B92" t="s">
        <v>3395</v>
      </c>
      <c r="C92" t="s">
        <v>3396</v>
      </c>
    </row>
    <row r="93" spans="1:3" x14ac:dyDescent="0.2">
      <c r="A93" t="s">
        <v>2494</v>
      </c>
      <c r="B93" t="s">
        <v>3397</v>
      </c>
      <c r="C93" t="s">
        <v>3398</v>
      </c>
    </row>
    <row r="94" spans="1:3" x14ac:dyDescent="0.2">
      <c r="A94" t="s">
        <v>2511</v>
      </c>
      <c r="B94" t="s">
        <v>3399</v>
      </c>
      <c r="C94" t="s">
        <v>3400</v>
      </c>
    </row>
    <row r="95" spans="1:3" x14ac:dyDescent="0.2">
      <c r="A95" t="s">
        <v>2529</v>
      </c>
      <c r="B95" t="s">
        <v>3401</v>
      </c>
      <c r="C95" t="s">
        <v>3402</v>
      </c>
    </row>
    <row r="96" spans="1:3" x14ac:dyDescent="0.2">
      <c r="A96" t="s">
        <v>2637</v>
      </c>
      <c r="B96" t="s">
        <v>3403</v>
      </c>
      <c r="C96" t="s">
        <v>3404</v>
      </c>
    </row>
    <row r="97" spans="1:3" x14ac:dyDescent="0.2">
      <c r="A97" t="s">
        <v>2653</v>
      </c>
      <c r="B97" t="s">
        <v>3405</v>
      </c>
      <c r="C97" t="s">
        <v>3406</v>
      </c>
    </row>
    <row r="98" spans="1:3" x14ac:dyDescent="0.2">
      <c r="A98" t="s">
        <v>2667</v>
      </c>
      <c r="B98" t="s">
        <v>3407</v>
      </c>
      <c r="C98" t="s">
        <v>3408</v>
      </c>
    </row>
    <row r="99" spans="1:3" x14ac:dyDescent="0.2">
      <c r="A99" t="s">
        <v>2685</v>
      </c>
      <c r="C99" t="s">
        <v>3409</v>
      </c>
    </row>
    <row r="100" spans="1:3" x14ac:dyDescent="0.2">
      <c r="A100" t="s">
        <v>2693</v>
      </c>
      <c r="B100" t="s">
        <v>3410</v>
      </c>
      <c r="C100" t="s">
        <v>3411</v>
      </c>
    </row>
    <row r="101" spans="1:3" x14ac:dyDescent="0.2">
      <c r="A101" t="s">
        <v>950</v>
      </c>
      <c r="B101" t="s">
        <v>2203</v>
      </c>
      <c r="C101" t="s">
        <v>2336</v>
      </c>
    </row>
    <row r="102" spans="1:3" x14ac:dyDescent="0.2">
      <c r="A102" t="s">
        <v>2762</v>
      </c>
      <c r="B102" t="s">
        <v>3412</v>
      </c>
      <c r="C102" t="s">
        <v>3413</v>
      </c>
    </row>
    <row r="103" spans="1:3" x14ac:dyDescent="0.2">
      <c r="A103" t="s">
        <v>2795</v>
      </c>
      <c r="B103" t="s">
        <v>3414</v>
      </c>
      <c r="C103" t="s">
        <v>3415</v>
      </c>
    </row>
    <row r="104" spans="1:3" x14ac:dyDescent="0.2">
      <c r="A104" t="s">
        <v>2803</v>
      </c>
      <c r="B104" t="s">
        <v>3416</v>
      </c>
      <c r="C104" t="s">
        <v>3417</v>
      </c>
    </row>
    <row r="105" spans="1:3" x14ac:dyDescent="0.2">
      <c r="A105" t="s">
        <v>2809</v>
      </c>
      <c r="B105" t="s">
        <v>3418</v>
      </c>
      <c r="C105" t="s">
        <v>3419</v>
      </c>
    </row>
    <row r="106" spans="1:3" x14ac:dyDescent="0.2">
      <c r="A106" t="s">
        <v>552</v>
      </c>
      <c r="B106" t="s">
        <v>2311</v>
      </c>
      <c r="C106" t="s">
        <v>2204</v>
      </c>
    </row>
    <row r="107" spans="1:3" x14ac:dyDescent="0.2">
      <c r="A107" t="s">
        <v>2839</v>
      </c>
      <c r="B107" t="s">
        <v>3420</v>
      </c>
      <c r="C107" t="s">
        <v>3421</v>
      </c>
    </row>
    <row r="108" spans="1:3" x14ac:dyDescent="0.2">
      <c r="A108" t="s">
        <v>2856</v>
      </c>
      <c r="B108" t="s">
        <v>3422</v>
      </c>
      <c r="C108" t="s">
        <v>3423</v>
      </c>
    </row>
    <row r="109" spans="1:3" x14ac:dyDescent="0.2">
      <c r="A109" t="s">
        <v>2897</v>
      </c>
      <c r="B109" t="s">
        <v>3424</v>
      </c>
      <c r="C109" t="s">
        <v>3425</v>
      </c>
    </row>
    <row r="110" spans="1:3" x14ac:dyDescent="0.2">
      <c r="A110" t="s">
        <v>1789</v>
      </c>
      <c r="B110" t="s">
        <v>3426</v>
      </c>
      <c r="C110" t="s">
        <v>3427</v>
      </c>
    </row>
    <row r="111" spans="1:3" x14ac:dyDescent="0.2">
      <c r="A111" t="s">
        <v>1966</v>
      </c>
      <c r="B111" t="s">
        <v>3428</v>
      </c>
      <c r="C111" t="s">
        <v>3429</v>
      </c>
    </row>
    <row r="112" spans="1:3" x14ac:dyDescent="0.2">
      <c r="A112" t="s">
        <v>2012</v>
      </c>
      <c r="B112" t="s">
        <v>3430</v>
      </c>
      <c r="C112" t="s">
        <v>3431</v>
      </c>
    </row>
    <row r="113" spans="1:3" x14ac:dyDescent="0.2">
      <c r="A113" t="s">
        <v>2043</v>
      </c>
      <c r="B113" t="s">
        <v>3432</v>
      </c>
      <c r="C113" t="s">
        <v>3433</v>
      </c>
    </row>
    <row r="114" spans="1:3" x14ac:dyDescent="0.2">
      <c r="A114" t="s">
        <v>2094</v>
      </c>
      <c r="B114" t="s">
        <v>3434</v>
      </c>
      <c r="C114" t="s">
        <v>3435</v>
      </c>
    </row>
    <row r="115" spans="1:3" x14ac:dyDescent="0.2">
      <c r="A115" t="s">
        <v>2122</v>
      </c>
      <c r="B115" t="s">
        <v>3436</v>
      </c>
      <c r="C115" t="s">
        <v>3437</v>
      </c>
    </row>
    <row r="116" spans="1:3" x14ac:dyDescent="0.2">
      <c r="A116" t="s">
        <v>2130</v>
      </c>
      <c r="B116" t="s">
        <v>3438</v>
      </c>
      <c r="C116" t="s">
        <v>3439</v>
      </c>
    </row>
    <row r="117" spans="1:3" x14ac:dyDescent="0.2">
      <c r="A117" t="s">
        <v>2138</v>
      </c>
      <c r="B117" t="s">
        <v>3440</v>
      </c>
      <c r="C117" t="s">
        <v>3441</v>
      </c>
    </row>
    <row r="118" spans="1:3" x14ac:dyDescent="0.2">
      <c r="A118" t="s">
        <v>2152</v>
      </c>
      <c r="B118" t="s">
        <v>3442</v>
      </c>
      <c r="C118" t="s">
        <v>3443</v>
      </c>
    </row>
    <row r="119" spans="1:3" x14ac:dyDescent="0.2">
      <c r="A119" t="s">
        <v>2348</v>
      </c>
      <c r="B119" t="s">
        <v>3444</v>
      </c>
      <c r="C119" t="s">
        <v>3445</v>
      </c>
    </row>
    <row r="120" spans="1:3" x14ac:dyDescent="0.2">
      <c r="A120" t="s">
        <v>2597</v>
      </c>
      <c r="B120" t="s">
        <v>3446</v>
      </c>
      <c r="C120" t="s">
        <v>3447</v>
      </c>
    </row>
    <row r="121" spans="1:3" x14ac:dyDescent="0.2">
      <c r="A121" t="s">
        <v>2600</v>
      </c>
      <c r="B121" t="s">
        <v>3448</v>
      </c>
      <c r="C121" t="s">
        <v>3449</v>
      </c>
    </row>
    <row r="122" spans="1:3" x14ac:dyDescent="0.2">
      <c r="A122" t="s">
        <v>2720</v>
      </c>
      <c r="B122" t="s">
        <v>3450</v>
      </c>
      <c r="C122" t="s">
        <v>3451</v>
      </c>
    </row>
    <row r="123" spans="1:3" x14ac:dyDescent="0.2">
      <c r="A123" t="s">
        <v>2733</v>
      </c>
      <c r="B123" t="s">
        <v>3452</v>
      </c>
      <c r="C123" t="s">
        <v>3453</v>
      </c>
    </row>
    <row r="124" spans="1:3" x14ac:dyDescent="0.2">
      <c r="A124" t="s">
        <v>2741</v>
      </c>
      <c r="B124" t="s">
        <v>2215</v>
      </c>
      <c r="C124" t="s">
        <v>1854</v>
      </c>
    </row>
    <row r="125" spans="1:3" x14ac:dyDescent="0.2">
      <c r="A125" t="s">
        <v>2767</v>
      </c>
      <c r="B125" t="s">
        <v>3454</v>
      </c>
      <c r="C125" t="s">
        <v>3455</v>
      </c>
    </row>
    <row r="126" spans="1:3" x14ac:dyDescent="0.2">
      <c r="A126" t="s">
        <v>2792</v>
      </c>
      <c r="B126" t="s">
        <v>3456</v>
      </c>
      <c r="C126" t="s">
        <v>3457</v>
      </c>
    </row>
    <row r="127" spans="1:3" x14ac:dyDescent="0.2">
      <c r="A127" t="s">
        <v>2814</v>
      </c>
      <c r="B127" t="s">
        <v>3458</v>
      </c>
      <c r="C127" t="s">
        <v>3459</v>
      </c>
    </row>
    <row r="128" spans="1:3" x14ac:dyDescent="0.2">
      <c r="A128" t="s">
        <v>2817</v>
      </c>
      <c r="B128" t="s">
        <v>3460</v>
      </c>
      <c r="C128" t="s">
        <v>3461</v>
      </c>
    </row>
    <row r="129" spans="1:3" x14ac:dyDescent="0.2">
      <c r="A129" t="s">
        <v>2833</v>
      </c>
      <c r="B129" t="s">
        <v>3462</v>
      </c>
      <c r="C129" t="s">
        <v>3463</v>
      </c>
    </row>
    <row r="130" spans="1:3" x14ac:dyDescent="0.2">
      <c r="A130" t="s">
        <v>2879</v>
      </c>
      <c r="B130" t="s">
        <v>3464</v>
      </c>
      <c r="C130" t="s">
        <v>3465</v>
      </c>
    </row>
    <row r="131" spans="1:3" x14ac:dyDescent="0.2">
      <c r="A131" t="s">
        <v>535</v>
      </c>
      <c r="B131" t="s">
        <v>2064</v>
      </c>
      <c r="C131" t="s">
        <v>1935</v>
      </c>
    </row>
    <row r="132" spans="1:3" x14ac:dyDescent="0.2">
      <c r="A132" t="s">
        <v>1716</v>
      </c>
      <c r="B132" t="s">
        <v>3466</v>
      </c>
      <c r="C132" t="s">
        <v>3467</v>
      </c>
    </row>
    <row r="133" spans="1:3" x14ac:dyDescent="0.2">
      <c r="A133" t="s">
        <v>1879</v>
      </c>
      <c r="C133" t="s">
        <v>3468</v>
      </c>
    </row>
    <row r="134" spans="1:3" x14ac:dyDescent="0.2">
      <c r="A134" t="s">
        <v>575</v>
      </c>
      <c r="B134" t="s">
        <v>1520</v>
      </c>
      <c r="C134" t="s">
        <v>1521</v>
      </c>
    </row>
    <row r="135" spans="1:3" x14ac:dyDescent="0.2">
      <c r="A135" t="s">
        <v>1217</v>
      </c>
      <c r="B135" t="s">
        <v>1802</v>
      </c>
      <c r="C135" t="s">
        <v>1956</v>
      </c>
    </row>
    <row r="136" spans="1:3" x14ac:dyDescent="0.2">
      <c r="A136" t="s">
        <v>2368</v>
      </c>
      <c r="B136" t="s">
        <v>3469</v>
      </c>
      <c r="C136" t="s">
        <v>3470</v>
      </c>
    </row>
    <row r="137" spans="1:3" x14ac:dyDescent="0.2">
      <c r="A137" t="s">
        <v>2398</v>
      </c>
      <c r="B137" t="s">
        <v>3471</v>
      </c>
      <c r="C137" t="s">
        <v>3472</v>
      </c>
    </row>
    <row r="138" spans="1:3" x14ac:dyDescent="0.2">
      <c r="A138" t="s">
        <v>2446</v>
      </c>
      <c r="B138" t="s">
        <v>3473</v>
      </c>
      <c r="C138" t="s">
        <v>3474</v>
      </c>
    </row>
    <row r="139" spans="1:3" x14ac:dyDescent="0.2">
      <c r="A139" t="s">
        <v>2459</v>
      </c>
      <c r="B139" t="s">
        <v>3475</v>
      </c>
      <c r="C139" t="s">
        <v>3476</v>
      </c>
    </row>
    <row r="140" spans="1:3" x14ac:dyDescent="0.2">
      <c r="A140" t="s">
        <v>2518</v>
      </c>
      <c r="B140" t="s">
        <v>3477</v>
      </c>
      <c r="C140" t="s">
        <v>3478</v>
      </c>
    </row>
    <row r="141" spans="1:3" x14ac:dyDescent="0.2">
      <c r="A141" t="s">
        <v>2554</v>
      </c>
      <c r="B141" t="s">
        <v>1944</v>
      </c>
      <c r="C141" t="s">
        <v>1742</v>
      </c>
    </row>
    <row r="142" spans="1:3" x14ac:dyDescent="0.2">
      <c r="A142" t="s">
        <v>2592</v>
      </c>
      <c r="B142" t="s">
        <v>3479</v>
      </c>
      <c r="C142" t="s">
        <v>3480</v>
      </c>
    </row>
    <row r="143" spans="1:3" x14ac:dyDescent="0.2">
      <c r="A143" t="s">
        <v>1238</v>
      </c>
      <c r="B143" t="s">
        <v>2161</v>
      </c>
      <c r="C143" t="s">
        <v>2155</v>
      </c>
    </row>
    <row r="144" spans="1:3" x14ac:dyDescent="0.2">
      <c r="A144" t="s">
        <v>1247</v>
      </c>
      <c r="B144" t="s">
        <v>2169</v>
      </c>
      <c r="C144" t="s">
        <v>2065</v>
      </c>
    </row>
    <row r="145" spans="1:3" x14ac:dyDescent="0.2">
      <c r="A145" t="s">
        <v>2620</v>
      </c>
      <c r="C145" t="s">
        <v>3481</v>
      </c>
    </row>
    <row r="146" spans="1:3" x14ac:dyDescent="0.2">
      <c r="A146" t="s">
        <v>1231</v>
      </c>
      <c r="B146" t="s">
        <v>3482</v>
      </c>
      <c r="C146" t="s">
        <v>3483</v>
      </c>
    </row>
    <row r="147" spans="1:3" x14ac:dyDescent="0.2">
      <c r="A147" t="s">
        <v>2650</v>
      </c>
      <c r="B147" t="s">
        <v>3484</v>
      </c>
      <c r="C147" t="s">
        <v>3485</v>
      </c>
    </row>
    <row r="148" spans="1:3" x14ac:dyDescent="0.2">
      <c r="A148" t="s">
        <v>2664</v>
      </c>
      <c r="B148" t="s">
        <v>3486</v>
      </c>
      <c r="C148" t="s">
        <v>3487</v>
      </c>
    </row>
    <row r="149" spans="1:3" x14ac:dyDescent="0.2">
      <c r="A149" t="s">
        <v>2769</v>
      </c>
      <c r="B149" t="s">
        <v>3488</v>
      </c>
      <c r="C149" t="s">
        <v>3489</v>
      </c>
    </row>
    <row r="150" spans="1:3" x14ac:dyDescent="0.2">
      <c r="A150" t="s">
        <v>1241</v>
      </c>
      <c r="B150" t="s">
        <v>1920</v>
      </c>
      <c r="C150" t="s">
        <v>2146</v>
      </c>
    </row>
    <row r="151" spans="1:3" x14ac:dyDescent="0.2">
      <c r="A151" t="s">
        <v>2848</v>
      </c>
      <c r="B151" t="s">
        <v>3490</v>
      </c>
      <c r="C151" t="s">
        <v>3491</v>
      </c>
    </row>
    <row r="152" spans="1:3" x14ac:dyDescent="0.2">
      <c r="A152" t="s">
        <v>2854</v>
      </c>
      <c r="B152" t="s">
        <v>3492</v>
      </c>
      <c r="C152" t="s">
        <v>3493</v>
      </c>
    </row>
    <row r="153" spans="1:3" x14ac:dyDescent="0.2">
      <c r="A153" t="s">
        <v>2867</v>
      </c>
      <c r="B153" t="s">
        <v>3494</v>
      </c>
      <c r="C153" t="s">
        <v>3495</v>
      </c>
    </row>
    <row r="154" spans="1:3" x14ac:dyDescent="0.2">
      <c r="A154" t="s">
        <v>2870</v>
      </c>
      <c r="B154" t="s">
        <v>2350</v>
      </c>
      <c r="C154" t="s">
        <v>2216</v>
      </c>
    </row>
    <row r="155" spans="1:3" x14ac:dyDescent="0.2">
      <c r="A155" t="s">
        <v>2876</v>
      </c>
      <c r="B155" t="s">
        <v>3496</v>
      </c>
      <c r="C155" t="s">
        <v>3497</v>
      </c>
    </row>
    <row r="156" spans="1:3" x14ac:dyDescent="0.2">
      <c r="A156" t="s">
        <v>2886</v>
      </c>
      <c r="B156" t="s">
        <v>3498</v>
      </c>
      <c r="C156" t="s">
        <v>3499</v>
      </c>
    </row>
    <row r="157" spans="1:3" x14ac:dyDescent="0.2">
      <c r="A157" t="s">
        <v>2907</v>
      </c>
      <c r="B157" t="s">
        <v>3500</v>
      </c>
      <c r="C157" t="s">
        <v>3501</v>
      </c>
    </row>
    <row r="158" spans="1:3" x14ac:dyDescent="0.2">
      <c r="A158" t="s">
        <v>2912</v>
      </c>
      <c r="B158" t="s">
        <v>3502</v>
      </c>
      <c r="C158" t="s">
        <v>3503</v>
      </c>
    </row>
    <row r="159" spans="1:3" x14ac:dyDescent="0.2">
      <c r="A159" t="s">
        <v>1656</v>
      </c>
      <c r="B159" t="s">
        <v>3504</v>
      </c>
      <c r="C159" t="s">
        <v>3505</v>
      </c>
    </row>
    <row r="160" spans="1:3" x14ac:dyDescent="0.2">
      <c r="A160" t="s">
        <v>1737</v>
      </c>
      <c r="B160" t="s">
        <v>3506</v>
      </c>
      <c r="C160" t="s">
        <v>3507</v>
      </c>
    </row>
    <row r="161" spans="1:3" x14ac:dyDescent="0.2">
      <c r="A161" t="s">
        <v>1773</v>
      </c>
      <c r="B161" t="s">
        <v>3508</v>
      </c>
      <c r="C161" t="s">
        <v>3509</v>
      </c>
    </row>
    <row r="162" spans="1:3" x14ac:dyDescent="0.2">
      <c r="A162" t="s">
        <v>1849</v>
      </c>
      <c r="B162" t="s">
        <v>3510</v>
      </c>
      <c r="C162" t="s">
        <v>3511</v>
      </c>
    </row>
    <row r="163" spans="1:3" x14ac:dyDescent="0.2">
      <c r="A163" t="s">
        <v>1976</v>
      </c>
      <c r="B163" t="s">
        <v>3512</v>
      </c>
      <c r="C163" t="s">
        <v>3513</v>
      </c>
    </row>
    <row r="164" spans="1:3" x14ac:dyDescent="0.2">
      <c r="A164" t="s">
        <v>2083</v>
      </c>
      <c r="B164" t="s">
        <v>3514</v>
      </c>
      <c r="C164" t="s">
        <v>3515</v>
      </c>
    </row>
    <row r="165" spans="1:3" x14ac:dyDescent="0.2">
      <c r="A165" t="s">
        <v>2201</v>
      </c>
      <c r="B165" t="s">
        <v>3516</v>
      </c>
      <c r="C165" t="s">
        <v>3517</v>
      </c>
    </row>
    <row r="166" spans="1:3" x14ac:dyDescent="0.2">
      <c r="A166" t="s">
        <v>2249</v>
      </c>
      <c r="B166" t="s">
        <v>3518</v>
      </c>
      <c r="C166" t="s">
        <v>3519</v>
      </c>
    </row>
    <row r="167" spans="1:3" x14ac:dyDescent="0.2">
      <c r="A167" t="s">
        <v>1419</v>
      </c>
      <c r="B167" t="s">
        <v>1866</v>
      </c>
      <c r="C167" t="s">
        <v>1883</v>
      </c>
    </row>
    <row r="168" spans="1:3" x14ac:dyDescent="0.2">
      <c r="A168" t="s">
        <v>2309</v>
      </c>
      <c r="B168" t="s">
        <v>3520</v>
      </c>
      <c r="C168" t="s">
        <v>3521</v>
      </c>
    </row>
    <row r="169" spans="1:3" x14ac:dyDescent="0.2">
      <c r="A169" t="s">
        <v>2316</v>
      </c>
      <c r="B169" t="s">
        <v>3522</v>
      </c>
      <c r="C169" t="s">
        <v>3523</v>
      </c>
    </row>
    <row r="170" spans="1:3" x14ac:dyDescent="0.2">
      <c r="A170" t="s">
        <v>2428</v>
      </c>
      <c r="B170" t="s">
        <v>2014</v>
      </c>
      <c r="C170" t="s">
        <v>2290</v>
      </c>
    </row>
    <row r="171" spans="1:3" x14ac:dyDescent="0.2">
      <c r="A171" t="s">
        <v>1407</v>
      </c>
      <c r="B171" t="s">
        <v>2185</v>
      </c>
      <c r="C171" t="s">
        <v>1979</v>
      </c>
    </row>
    <row r="172" spans="1:3" x14ac:dyDescent="0.2">
      <c r="A172" t="s">
        <v>2521</v>
      </c>
      <c r="B172" t="s">
        <v>3524</v>
      </c>
      <c r="C172" t="s">
        <v>3525</v>
      </c>
    </row>
    <row r="173" spans="1:3" x14ac:dyDescent="0.2">
      <c r="A173" t="s">
        <v>2550</v>
      </c>
      <c r="C173" t="s">
        <v>3526</v>
      </c>
    </row>
    <row r="174" spans="1:3" x14ac:dyDescent="0.2">
      <c r="A174" t="s">
        <v>2567</v>
      </c>
      <c r="B174" t="s">
        <v>3527</v>
      </c>
      <c r="C174" t="s">
        <v>3528</v>
      </c>
    </row>
    <row r="175" spans="1:3" x14ac:dyDescent="0.2">
      <c r="A175" t="s">
        <v>2573</v>
      </c>
      <c r="B175" t="s">
        <v>2131</v>
      </c>
      <c r="C175" t="s">
        <v>2329</v>
      </c>
    </row>
    <row r="176" spans="1:3" x14ac:dyDescent="0.2">
      <c r="A176" t="s">
        <v>1386</v>
      </c>
      <c r="B176" t="s">
        <v>3529</v>
      </c>
      <c r="C176" t="s">
        <v>3530</v>
      </c>
    </row>
    <row r="177" spans="1:3" x14ac:dyDescent="0.2">
      <c r="A177" t="s">
        <v>2756</v>
      </c>
      <c r="B177" t="s">
        <v>3531</v>
      </c>
      <c r="C177" t="s">
        <v>3532</v>
      </c>
    </row>
    <row r="178" spans="1:3" x14ac:dyDescent="0.2">
      <c r="A178" t="s">
        <v>2776</v>
      </c>
      <c r="B178" t="s">
        <v>2251</v>
      </c>
      <c r="C178" t="s">
        <v>2125</v>
      </c>
    </row>
    <row r="179" spans="1:3" x14ac:dyDescent="0.2">
      <c r="A179" t="s">
        <v>1430</v>
      </c>
      <c r="B179" t="s">
        <v>1618</v>
      </c>
      <c r="C179" t="s">
        <v>2283</v>
      </c>
    </row>
    <row r="180" spans="1:3" x14ac:dyDescent="0.2">
      <c r="A180" t="s">
        <v>2820</v>
      </c>
      <c r="B180" t="s">
        <v>2295</v>
      </c>
      <c r="C180" t="s">
        <v>2268</v>
      </c>
    </row>
    <row r="181" spans="1:3" x14ac:dyDescent="0.2">
      <c r="A181" t="s">
        <v>2845</v>
      </c>
      <c r="B181" t="s">
        <v>3533</v>
      </c>
      <c r="C181" t="s">
        <v>3534</v>
      </c>
    </row>
    <row r="182" spans="1:3" x14ac:dyDescent="0.2">
      <c r="A182" t="s">
        <v>2851</v>
      </c>
      <c r="B182" t="s">
        <v>3535</v>
      </c>
      <c r="C182" t="s">
        <v>3536</v>
      </c>
    </row>
    <row r="183" spans="1:3" x14ac:dyDescent="0.2">
      <c r="A183" t="s">
        <v>2861</v>
      </c>
      <c r="B183" t="s">
        <v>2335</v>
      </c>
      <c r="C183" t="s">
        <v>2343</v>
      </c>
    </row>
    <row r="184" spans="1:3" x14ac:dyDescent="0.2">
      <c r="A184" t="s">
        <v>2889</v>
      </c>
      <c r="B184" t="s">
        <v>3537</v>
      </c>
      <c r="C184" t="s">
        <v>3538</v>
      </c>
    </row>
    <row r="185" spans="1:3" x14ac:dyDescent="0.2">
      <c r="A185" t="s">
        <v>2919</v>
      </c>
      <c r="B185" t="s">
        <v>1934</v>
      </c>
      <c r="C185" t="s">
        <v>2002</v>
      </c>
    </row>
    <row r="186" spans="1:3" x14ac:dyDescent="0.2">
      <c r="A186" t="s">
        <v>1916</v>
      </c>
      <c r="B186" t="s">
        <v>1685</v>
      </c>
      <c r="C186" t="s">
        <v>1595</v>
      </c>
    </row>
    <row r="187" spans="1:3" x14ac:dyDescent="0.2">
      <c r="A187" t="s">
        <v>741</v>
      </c>
      <c r="B187" t="s">
        <v>1776</v>
      </c>
      <c r="C187" t="s">
        <v>2086</v>
      </c>
    </row>
    <row r="188" spans="1:3" x14ac:dyDescent="0.2">
      <c r="A188" t="s">
        <v>2258</v>
      </c>
      <c r="B188" t="s">
        <v>1838</v>
      </c>
      <c r="C188" t="s">
        <v>2222</v>
      </c>
    </row>
    <row r="189" spans="1:3" x14ac:dyDescent="0.2">
      <c r="A189" t="s">
        <v>2265</v>
      </c>
      <c r="B189" t="s">
        <v>3539</v>
      </c>
      <c r="C189" t="s">
        <v>3540</v>
      </c>
    </row>
    <row r="190" spans="1:3" x14ac:dyDescent="0.2">
      <c r="A190" t="s">
        <v>2273</v>
      </c>
      <c r="B190" t="s">
        <v>3541</v>
      </c>
      <c r="C190" t="s">
        <v>3542</v>
      </c>
    </row>
    <row r="191" spans="1:3" x14ac:dyDescent="0.2">
      <c r="A191" t="s">
        <v>716</v>
      </c>
      <c r="B191" t="s">
        <v>1882</v>
      </c>
      <c r="C191" t="s">
        <v>2132</v>
      </c>
    </row>
    <row r="192" spans="1:3" x14ac:dyDescent="0.2">
      <c r="A192" t="s">
        <v>2303</v>
      </c>
      <c r="B192" t="s">
        <v>1897</v>
      </c>
      <c r="C192" t="s">
        <v>2312</v>
      </c>
    </row>
    <row r="193" spans="1:3" x14ac:dyDescent="0.2">
      <c r="A193" t="s">
        <v>2322</v>
      </c>
      <c r="B193" t="s">
        <v>3543</v>
      </c>
      <c r="C193" t="s">
        <v>3544</v>
      </c>
    </row>
    <row r="194" spans="1:3" x14ac:dyDescent="0.2">
      <c r="A194" t="s">
        <v>2327</v>
      </c>
      <c r="B194" t="s">
        <v>3545</v>
      </c>
      <c r="C194" t="s">
        <v>3546</v>
      </c>
    </row>
    <row r="195" spans="1:3" x14ac:dyDescent="0.2">
      <c r="A195" t="s">
        <v>2443</v>
      </c>
      <c r="B195" t="s">
        <v>3547</v>
      </c>
      <c r="C195" t="s">
        <v>3548</v>
      </c>
    </row>
    <row r="196" spans="1:3" x14ac:dyDescent="0.2">
      <c r="A196" t="s">
        <v>2467</v>
      </c>
      <c r="B196" t="s">
        <v>3549</v>
      </c>
      <c r="C196" t="s">
        <v>3550</v>
      </c>
    </row>
    <row r="197" spans="1:3" x14ac:dyDescent="0.2">
      <c r="A197" t="s">
        <v>2471</v>
      </c>
      <c r="B197" t="s">
        <v>3551</v>
      </c>
      <c r="C197" t="s">
        <v>3552</v>
      </c>
    </row>
    <row r="198" spans="1:3" x14ac:dyDescent="0.2">
      <c r="A198" t="s">
        <v>2497</v>
      </c>
      <c r="B198" t="s">
        <v>3553</v>
      </c>
      <c r="C198" t="s">
        <v>3554</v>
      </c>
    </row>
    <row r="199" spans="1:3" x14ac:dyDescent="0.2">
      <c r="A199" t="s">
        <v>2503</v>
      </c>
      <c r="B199" t="s">
        <v>2363</v>
      </c>
      <c r="C199" t="s">
        <v>2235</v>
      </c>
    </row>
    <row r="200" spans="1:3" x14ac:dyDescent="0.2">
      <c r="A200" t="s">
        <v>2507</v>
      </c>
      <c r="B200" t="s">
        <v>3555</v>
      </c>
      <c r="C200" t="s">
        <v>3556</v>
      </c>
    </row>
    <row r="201" spans="1:3" x14ac:dyDescent="0.2">
      <c r="A201" t="s">
        <v>2577</v>
      </c>
      <c r="B201" t="s">
        <v>2025</v>
      </c>
      <c r="C201" t="s">
        <v>2358</v>
      </c>
    </row>
    <row r="202" spans="1:3" x14ac:dyDescent="0.2">
      <c r="A202" t="s">
        <v>685</v>
      </c>
      <c r="B202" t="s">
        <v>2140</v>
      </c>
      <c r="C202" t="s">
        <v>2026</v>
      </c>
    </row>
    <row r="203" spans="1:3" x14ac:dyDescent="0.2">
      <c r="A203" t="s">
        <v>2617</v>
      </c>
      <c r="B203" t="s">
        <v>3557</v>
      </c>
      <c r="C203" t="s">
        <v>3558</v>
      </c>
    </row>
    <row r="204" spans="1:3" x14ac:dyDescent="0.2">
      <c r="A204" t="s">
        <v>2634</v>
      </c>
      <c r="B204" t="s">
        <v>3559</v>
      </c>
      <c r="C204" t="s">
        <v>3560</v>
      </c>
    </row>
    <row r="205" spans="1:3" x14ac:dyDescent="0.2">
      <c r="A205" t="s">
        <v>2642</v>
      </c>
      <c r="B205" t="s">
        <v>3561</v>
      </c>
      <c r="C205" t="s">
        <v>3562</v>
      </c>
    </row>
    <row r="206" spans="1:3" x14ac:dyDescent="0.2">
      <c r="A206" t="s">
        <v>2645</v>
      </c>
      <c r="B206" t="s">
        <v>3563</v>
      </c>
      <c r="C206" t="s">
        <v>3564</v>
      </c>
    </row>
    <row r="207" spans="1:3" x14ac:dyDescent="0.2">
      <c r="A207" t="s">
        <v>2688</v>
      </c>
      <c r="B207" t="s">
        <v>3565</v>
      </c>
      <c r="C207" t="s">
        <v>3566</v>
      </c>
    </row>
    <row r="208" spans="1:3" x14ac:dyDescent="0.2">
      <c r="A208" t="s">
        <v>2711</v>
      </c>
      <c r="B208" t="s">
        <v>3567</v>
      </c>
      <c r="C208" t="s">
        <v>3568</v>
      </c>
    </row>
    <row r="209" spans="1:3" x14ac:dyDescent="0.2">
      <c r="A209" t="s">
        <v>2717</v>
      </c>
      <c r="B209" t="s">
        <v>3569</v>
      </c>
      <c r="C209" t="s">
        <v>3570</v>
      </c>
    </row>
    <row r="210" spans="1:3" x14ac:dyDescent="0.2">
      <c r="A210" t="s">
        <v>2753</v>
      </c>
      <c r="B210" t="s">
        <v>3571</v>
      </c>
      <c r="C210" t="s">
        <v>3572</v>
      </c>
    </row>
    <row r="211" spans="1:3" x14ac:dyDescent="0.2">
      <c r="A211" t="s">
        <v>738</v>
      </c>
      <c r="B211" t="s">
        <v>1515</v>
      </c>
      <c r="C211" t="s">
        <v>1516</v>
      </c>
    </row>
    <row r="212" spans="1:3" x14ac:dyDescent="0.2">
      <c r="A212" t="s">
        <v>2900</v>
      </c>
      <c r="B212" t="s">
        <v>3573</v>
      </c>
      <c r="C212" t="s">
        <v>3574</v>
      </c>
    </row>
    <row r="213" spans="1:3" x14ac:dyDescent="0.2">
      <c r="A213" t="s">
        <v>2925</v>
      </c>
      <c r="B213" t="s">
        <v>2175</v>
      </c>
      <c r="C213" t="s">
        <v>2318</v>
      </c>
    </row>
    <row r="214" spans="1:3" x14ac:dyDescent="0.2">
      <c r="A214" t="s">
        <v>2930</v>
      </c>
      <c r="B214" t="s">
        <v>3575</v>
      </c>
      <c r="C214" t="s">
        <v>3576</v>
      </c>
    </row>
    <row r="215" spans="1:3" x14ac:dyDescent="0.2">
      <c r="A215" t="s">
        <v>1987</v>
      </c>
      <c r="B215" t="s">
        <v>3577</v>
      </c>
      <c r="C215" t="s">
        <v>3578</v>
      </c>
    </row>
    <row r="216" spans="1:3" x14ac:dyDescent="0.2">
      <c r="A216" t="s">
        <v>2053</v>
      </c>
      <c r="B216" t="s">
        <v>3579</v>
      </c>
      <c r="C216" t="s">
        <v>3580</v>
      </c>
    </row>
    <row r="217" spans="1:3" x14ac:dyDescent="0.2">
      <c r="A217" t="s">
        <v>2073</v>
      </c>
      <c r="B217" t="s">
        <v>1741</v>
      </c>
      <c r="C217" t="s">
        <v>1803</v>
      </c>
    </row>
    <row r="218" spans="1:3" x14ac:dyDescent="0.2">
      <c r="A218" t="s">
        <v>2104</v>
      </c>
      <c r="B218" t="s">
        <v>3581</v>
      </c>
      <c r="C218" t="s">
        <v>3582</v>
      </c>
    </row>
    <row r="219" spans="1:3" x14ac:dyDescent="0.2">
      <c r="A219" t="s">
        <v>1427</v>
      </c>
      <c r="B219" t="s">
        <v>2074</v>
      </c>
      <c r="C219" t="s">
        <v>1686</v>
      </c>
    </row>
    <row r="220" spans="1:3" x14ac:dyDescent="0.2">
      <c r="A220" t="s">
        <v>279</v>
      </c>
      <c r="B220" t="s">
        <v>1827</v>
      </c>
      <c r="C220" t="s">
        <v>1665</v>
      </c>
    </row>
    <row r="221" spans="1:3" x14ac:dyDescent="0.2">
      <c r="A221" t="s">
        <v>320</v>
      </c>
      <c r="B221" t="s">
        <v>1968</v>
      </c>
      <c r="C221" t="s">
        <v>1898</v>
      </c>
    </row>
    <row r="222" spans="1:3" x14ac:dyDescent="0.2">
      <c r="A222" t="s">
        <v>2402</v>
      </c>
      <c r="B222" t="s">
        <v>3583</v>
      </c>
      <c r="C222" t="s">
        <v>3584</v>
      </c>
    </row>
    <row r="223" spans="1:3" x14ac:dyDescent="0.2">
      <c r="A223" t="s">
        <v>588</v>
      </c>
      <c r="B223" t="s">
        <v>2001</v>
      </c>
      <c r="C223" t="s">
        <v>1641</v>
      </c>
    </row>
    <row r="224" spans="1:3" x14ac:dyDescent="0.2">
      <c r="A224" t="s">
        <v>546</v>
      </c>
      <c r="B224" t="s">
        <v>2275</v>
      </c>
      <c r="C224" t="s">
        <v>1906</v>
      </c>
    </row>
    <row r="225" spans="1:3" x14ac:dyDescent="0.2">
      <c r="A225" t="s">
        <v>2437</v>
      </c>
      <c r="B225" t="s">
        <v>3585</v>
      </c>
      <c r="C225" t="s">
        <v>3586</v>
      </c>
    </row>
    <row r="226" spans="1:3" x14ac:dyDescent="0.2">
      <c r="A226" t="s">
        <v>2450</v>
      </c>
      <c r="B226" t="s">
        <v>3587</v>
      </c>
      <c r="C226" t="s">
        <v>3588</v>
      </c>
    </row>
    <row r="227" spans="1:3" x14ac:dyDescent="0.2">
      <c r="A227" t="s">
        <v>557</v>
      </c>
      <c r="B227" t="s">
        <v>2106</v>
      </c>
      <c r="C227" t="s">
        <v>2056</v>
      </c>
    </row>
    <row r="228" spans="1:3" x14ac:dyDescent="0.2">
      <c r="A228" t="s">
        <v>248</v>
      </c>
      <c r="B228" t="s">
        <v>1565</v>
      </c>
      <c r="C228" t="s">
        <v>2305</v>
      </c>
    </row>
    <row r="229" spans="1:3" x14ac:dyDescent="0.2">
      <c r="A229" t="s">
        <v>2490</v>
      </c>
      <c r="B229" t="s">
        <v>3589</v>
      </c>
      <c r="C229" t="s">
        <v>3590</v>
      </c>
    </row>
    <row r="230" spans="1:3" x14ac:dyDescent="0.2">
      <c r="A230" t="s">
        <v>2515</v>
      </c>
      <c r="B230" t="s">
        <v>3591</v>
      </c>
      <c r="C230" t="s">
        <v>3592</v>
      </c>
    </row>
    <row r="231" spans="1:3" x14ac:dyDescent="0.2">
      <c r="A231" t="s">
        <v>676</v>
      </c>
      <c r="B231" t="s">
        <v>2085</v>
      </c>
      <c r="C231" t="s">
        <v>2015</v>
      </c>
    </row>
    <row r="232" spans="1:3" x14ac:dyDescent="0.2">
      <c r="A232" t="s">
        <v>374</v>
      </c>
      <c r="B232" t="s">
        <v>2115</v>
      </c>
      <c r="C232" t="s">
        <v>1839</v>
      </c>
    </row>
    <row r="233" spans="1:3" x14ac:dyDescent="0.2">
      <c r="A233" t="s">
        <v>2564</v>
      </c>
      <c r="B233" t="s">
        <v>3593</v>
      </c>
      <c r="C233" t="s">
        <v>3594</v>
      </c>
    </row>
    <row r="234" spans="1:3" x14ac:dyDescent="0.2">
      <c r="A234" t="s">
        <v>2586</v>
      </c>
      <c r="B234" t="s">
        <v>2145</v>
      </c>
      <c r="C234" t="s">
        <v>2075</v>
      </c>
    </row>
    <row r="235" spans="1:3" x14ac:dyDescent="0.2">
      <c r="A235" t="s">
        <v>2612</v>
      </c>
      <c r="B235" t="s">
        <v>3595</v>
      </c>
      <c r="C235" t="s">
        <v>3596</v>
      </c>
    </row>
    <row r="236" spans="1:3" x14ac:dyDescent="0.2">
      <c r="A236" t="s">
        <v>2625</v>
      </c>
      <c r="B236" t="s">
        <v>3597</v>
      </c>
      <c r="C236" t="s">
        <v>3598</v>
      </c>
    </row>
    <row r="237" spans="1:3" x14ac:dyDescent="0.2">
      <c r="A237" t="s">
        <v>2648</v>
      </c>
      <c r="B237" t="s">
        <v>2196</v>
      </c>
      <c r="C237" t="s">
        <v>1945</v>
      </c>
    </row>
    <row r="238" spans="1:3" x14ac:dyDescent="0.2">
      <c r="A238" t="s">
        <v>2656</v>
      </c>
      <c r="B238" t="s">
        <v>3599</v>
      </c>
      <c r="C238" t="s">
        <v>3600</v>
      </c>
    </row>
    <row r="239" spans="1:3" x14ac:dyDescent="0.2">
      <c r="A239" t="s">
        <v>1561</v>
      </c>
      <c r="B239" t="s">
        <v>2190</v>
      </c>
      <c r="C239" t="s">
        <v>1563</v>
      </c>
    </row>
    <row r="240" spans="1:3" x14ac:dyDescent="0.2">
      <c r="A240" t="s">
        <v>2680</v>
      </c>
      <c r="B240" t="s">
        <v>3601</v>
      </c>
      <c r="C240" t="s">
        <v>3602</v>
      </c>
    </row>
    <row r="241" spans="1:3" x14ac:dyDescent="0.2">
      <c r="A241" t="s">
        <v>2695</v>
      </c>
      <c r="B241" t="s">
        <v>3603</v>
      </c>
      <c r="C241" t="s">
        <v>3604</v>
      </c>
    </row>
    <row r="242" spans="1:3" x14ac:dyDescent="0.2">
      <c r="A242" t="s">
        <v>1347</v>
      </c>
      <c r="B242" t="s">
        <v>2259</v>
      </c>
      <c r="C242" t="s">
        <v>1777</v>
      </c>
    </row>
    <row r="243" spans="1:3" x14ac:dyDescent="0.2">
      <c r="A243" t="s">
        <v>213</v>
      </c>
      <c r="B243" t="s">
        <v>2328</v>
      </c>
      <c r="C243" t="s">
        <v>1790</v>
      </c>
    </row>
    <row r="244" spans="1:3" x14ac:dyDescent="0.2">
      <c r="A244" t="s">
        <v>2714</v>
      </c>
      <c r="B244" t="s">
        <v>2208</v>
      </c>
      <c r="C244" t="s">
        <v>2045</v>
      </c>
    </row>
    <row r="245" spans="1:3" x14ac:dyDescent="0.2">
      <c r="A245" t="s">
        <v>2723</v>
      </c>
      <c r="B245" t="s">
        <v>3605</v>
      </c>
      <c r="C245" t="s">
        <v>3606</v>
      </c>
    </row>
    <row r="246" spans="1:3" x14ac:dyDescent="0.2">
      <c r="A246" t="s">
        <v>359</v>
      </c>
      <c r="B246" t="s">
        <v>2282</v>
      </c>
      <c r="C246" t="s">
        <v>2170</v>
      </c>
    </row>
    <row r="247" spans="1:3" x14ac:dyDescent="0.2">
      <c r="A247" t="s">
        <v>2747</v>
      </c>
      <c r="B247" t="s">
        <v>3607</v>
      </c>
      <c r="C247" t="s">
        <v>3608</v>
      </c>
    </row>
    <row r="248" spans="1:3" x14ac:dyDescent="0.2">
      <c r="A248" t="s">
        <v>2759</v>
      </c>
      <c r="B248" t="s">
        <v>3609</v>
      </c>
      <c r="C248" t="s">
        <v>3610</v>
      </c>
    </row>
    <row r="249" spans="1:3" x14ac:dyDescent="0.2">
      <c r="A249" t="s">
        <v>2764</v>
      </c>
      <c r="B249" t="s">
        <v>3611</v>
      </c>
      <c r="C249" t="s">
        <v>3612</v>
      </c>
    </row>
    <row r="250" spans="1:3" x14ac:dyDescent="0.2">
      <c r="A250" t="s">
        <v>799</v>
      </c>
      <c r="B250" t="s">
        <v>2242</v>
      </c>
      <c r="C250" t="s">
        <v>1722</v>
      </c>
    </row>
    <row r="251" spans="1:3" x14ac:dyDescent="0.2">
      <c r="A251" t="s">
        <v>120</v>
      </c>
      <c r="B251" t="s">
        <v>2096</v>
      </c>
      <c r="C251" t="s">
        <v>1921</v>
      </c>
    </row>
    <row r="252" spans="1:3" x14ac:dyDescent="0.2">
      <c r="A252" t="s">
        <v>1211</v>
      </c>
      <c r="B252" t="s">
        <v>2267</v>
      </c>
      <c r="C252" t="s">
        <v>2351</v>
      </c>
    </row>
    <row r="253" spans="1:3" x14ac:dyDescent="0.2">
      <c r="A253" t="s">
        <v>562</v>
      </c>
      <c r="B253" t="s">
        <v>2289</v>
      </c>
      <c r="C253" t="s">
        <v>2162</v>
      </c>
    </row>
    <row r="254" spans="1:3" x14ac:dyDescent="0.2">
      <c r="A254" t="s">
        <v>844</v>
      </c>
      <c r="B254" t="s">
        <v>2342</v>
      </c>
      <c r="C254" t="s">
        <v>1758</v>
      </c>
    </row>
    <row r="255" spans="1:3" x14ac:dyDescent="0.2">
      <c r="A255" t="s">
        <v>2873</v>
      </c>
      <c r="B255" t="s">
        <v>3613</v>
      </c>
      <c r="C255" t="s">
        <v>3614</v>
      </c>
    </row>
    <row r="256" spans="1:3" x14ac:dyDescent="0.2">
      <c r="A256" t="s">
        <v>233</v>
      </c>
      <c r="B256" t="s">
        <v>2357</v>
      </c>
      <c r="C256" t="s">
        <v>2243</v>
      </c>
    </row>
    <row r="257" spans="1:3" x14ac:dyDescent="0.2">
      <c r="A257" t="s">
        <v>2910</v>
      </c>
      <c r="B257" t="s">
        <v>3615</v>
      </c>
      <c r="C257" t="s">
        <v>3616</v>
      </c>
    </row>
    <row r="258" spans="1:3" x14ac:dyDescent="0.2">
      <c r="A258" t="s">
        <v>652</v>
      </c>
      <c r="B258" t="s">
        <v>2370</v>
      </c>
      <c r="C258" t="s">
        <v>1867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CHIS</vt:lpstr>
      <vt:lpstr>DSLE</vt:lpstr>
      <vt:lpstr>GSEM</vt:lpstr>
      <vt:lpstr>MSSN</vt:lpstr>
      <vt:lpstr>NTST</vt:lpstr>
      <vt:lpstr>OTST</vt:lpstr>
      <vt:lpstr>PATH</vt:lpstr>
      <vt:lpstr>THST</vt:lpstr>
      <vt:lpstr>MDivHISP</vt:lpstr>
      <vt:lpstr>MAPmENGL</vt:lpstr>
      <vt:lpstr>MAPmHISP</vt:lpstr>
      <vt:lpstr>MA_Religion</vt:lpstr>
      <vt:lpstr>DMIN</vt:lpstr>
      <vt:lpstr>DropDownMenu</vt:lpstr>
      <vt:lpstr>InstructorMap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Oliver Glanz</cp:lastModifiedBy>
  <cp:revision/>
  <dcterms:created xsi:type="dcterms:W3CDTF">2026-03-24T22:13:14Z</dcterms:created>
  <dcterms:modified xsi:type="dcterms:W3CDTF">2026-05-08T17:22:36Z</dcterms:modified>
  <cp:category/>
  <cp:contentStatus/>
</cp:coreProperties>
</file>